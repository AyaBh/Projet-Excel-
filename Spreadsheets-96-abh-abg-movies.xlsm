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c3m-my.sharepoint.com/personal/alejandro_bermejo_alumnos_uc3m_es/Documents/Asignaturas/2-Segundo cuatrimestre/Hojas de cálculo. Nivel avanzado/"/>
    </mc:Choice>
  </mc:AlternateContent>
  <xr:revisionPtr revIDLastSave="4" documentId="8_{234AD6C4-2E15-439D-B4CC-FB4F3A277285}" xr6:coauthVersionLast="45" xr6:coauthVersionMax="45" xr10:uidLastSave="{59261C66-CEE6-4281-AA58-573F5FC38798}"/>
  <bookViews>
    <workbookView xWindow="-120" yWindow="-120" windowWidth="29040" windowHeight="15840" activeTab="5" xr2:uid="{00000000-000D-0000-FFFF-FFFF00000000}"/>
  </bookViews>
  <sheets>
    <sheet name="movie_metadata" sheetId="1" r:id="rId1"/>
    <sheet name="EDA - Pivot Tables" sheetId="8" r:id="rId2"/>
    <sheet name="DB - Pivot Tables" sheetId="3" r:id="rId3"/>
    <sheet name="Exploratory Data Analysis" sheetId="9" r:id="rId4"/>
    <sheet name="Solver" sheetId="10" r:id="rId5"/>
    <sheet name="Dashboard" sheetId="2" r:id="rId6"/>
  </sheets>
  <definedNames>
    <definedName name="solver_adj" localSheetId="4" hidden="1">Solver!$N$2:$N$6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Solver!$N$7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11749507064</definedName>
    <definedName name="solver_ver" localSheetId="4" hidden="1">3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0" l="1"/>
  <c r="C7" i="10"/>
  <c r="D7" i="10"/>
  <c r="E7" i="10"/>
  <c r="F7" i="10"/>
  <c r="J7" i="10"/>
  <c r="K7" i="10"/>
  <c r="L7" i="10"/>
  <c r="M7" i="10"/>
  <c r="N7" i="10"/>
  <c r="I11" i="2"/>
  <c r="I13" i="2"/>
  <c r="I12" i="2"/>
  <c r="I9" i="2"/>
  <c r="I10" i="2"/>
  <c r="N12" i="2"/>
  <c r="N11" i="2" l="1"/>
</calcChain>
</file>

<file path=xl/sharedStrings.xml><?xml version="1.0" encoding="utf-8"?>
<sst xmlns="http://schemas.openxmlformats.org/spreadsheetml/2006/main" count="11744" uniqueCount="3879">
  <si>
    <t>Avatar </t>
  </si>
  <si>
    <t>English</t>
  </si>
  <si>
    <t>USA</t>
  </si>
  <si>
    <t>Pirates of the Caribbean: At World's End </t>
  </si>
  <si>
    <t>Spectre </t>
  </si>
  <si>
    <t>UK</t>
  </si>
  <si>
    <t>The Dark Knight Rises </t>
  </si>
  <si>
    <t>John Carter </t>
  </si>
  <si>
    <t>Spider-Man 3 </t>
  </si>
  <si>
    <t>Tangled </t>
  </si>
  <si>
    <t>Avengers: Age of Ultron </t>
  </si>
  <si>
    <t>Harry Potter and the Half-Blood Prince </t>
  </si>
  <si>
    <t>Batman v Superman: Dawn of Justice </t>
  </si>
  <si>
    <t>Superman Returns </t>
  </si>
  <si>
    <t>Quantum of Solace </t>
  </si>
  <si>
    <t>Pirates of the Caribbean: Dead Man's Chest </t>
  </si>
  <si>
    <t>The Lone Ranger </t>
  </si>
  <si>
    <t>Man of Steel </t>
  </si>
  <si>
    <t>The Chronicles of Narnia: Prince Caspian </t>
  </si>
  <si>
    <t>The Avengers </t>
  </si>
  <si>
    <t>Pirates of the Caribbean: On Stranger Tides </t>
  </si>
  <si>
    <t>Men in Black 3 </t>
  </si>
  <si>
    <t>The Hobbit: The Battle of the Five Armies </t>
  </si>
  <si>
    <t>New Zealand</t>
  </si>
  <si>
    <t>The Amazing Spider-Man </t>
  </si>
  <si>
    <t>Robin Hood </t>
  </si>
  <si>
    <t>The Hobbit: The Desolation of Smaug </t>
  </si>
  <si>
    <t>The Golden Compass </t>
  </si>
  <si>
    <t>King Kong </t>
  </si>
  <si>
    <t>Titanic </t>
  </si>
  <si>
    <t>Captain America: Civil War </t>
  </si>
  <si>
    <t>Battleship </t>
  </si>
  <si>
    <t>Jurassic World </t>
  </si>
  <si>
    <t>Skyfall </t>
  </si>
  <si>
    <t>Spider-Man 2 </t>
  </si>
  <si>
    <t>Iron Man 3 </t>
  </si>
  <si>
    <t>Alice in Wonderland </t>
  </si>
  <si>
    <t>X-Men: The Last Stand </t>
  </si>
  <si>
    <t>Canada</t>
  </si>
  <si>
    <t>Monsters University </t>
  </si>
  <si>
    <t>Transformers: Revenge of the Fallen </t>
  </si>
  <si>
    <t>Transformers: Age of Extinction </t>
  </si>
  <si>
    <t>Oz the Great and Powerful </t>
  </si>
  <si>
    <t>The Amazing Spider-Man 2 </t>
  </si>
  <si>
    <t>TRON: Legacy </t>
  </si>
  <si>
    <t>Cars 2 </t>
  </si>
  <si>
    <t>Green Lantern </t>
  </si>
  <si>
    <t>Toy Story 3 </t>
  </si>
  <si>
    <t>Terminator Salvation </t>
  </si>
  <si>
    <t>Furious 7 </t>
  </si>
  <si>
    <t>World War Z </t>
  </si>
  <si>
    <t>X-Men: Days of Future Past </t>
  </si>
  <si>
    <t>Star Trek Into Darkness </t>
  </si>
  <si>
    <t>Jack the Giant Slayer </t>
  </si>
  <si>
    <t>The Great Gatsby </t>
  </si>
  <si>
    <t>Australia</t>
  </si>
  <si>
    <t>Prince of Persia: The Sands of Time </t>
  </si>
  <si>
    <t>Pacific Rim </t>
  </si>
  <si>
    <t>Transformers: Dark of the Moon </t>
  </si>
  <si>
    <t>Indiana Jones and the Kingdom of the Crystal Skull </t>
  </si>
  <si>
    <t>Brave </t>
  </si>
  <si>
    <t>Star Trek Beyond </t>
  </si>
  <si>
    <t>WALL·E </t>
  </si>
  <si>
    <t>Rush Hour 3 </t>
  </si>
  <si>
    <t>2012 </t>
  </si>
  <si>
    <t>A Christmas Carol </t>
  </si>
  <si>
    <t>Jupiter Ascending </t>
  </si>
  <si>
    <t>The Legend of Tarzan </t>
  </si>
  <si>
    <t>The Chronicles of Narnia: The Lion, the Witch and the Wardrobe </t>
  </si>
  <si>
    <t>X-Men: Apocalypse </t>
  </si>
  <si>
    <t>The Dark Knight </t>
  </si>
  <si>
    <t>Up </t>
  </si>
  <si>
    <t>Monsters vs. Aliens </t>
  </si>
  <si>
    <t>Iron Man </t>
  </si>
  <si>
    <t>Hugo </t>
  </si>
  <si>
    <t>Wild Wild West </t>
  </si>
  <si>
    <t>The Mummy: Tomb of the Dragon Emperor </t>
  </si>
  <si>
    <t>Suicide Squad </t>
  </si>
  <si>
    <t>Evan Almighty </t>
  </si>
  <si>
    <t>Edge of Tomorrow </t>
  </si>
  <si>
    <t>Waterworld </t>
  </si>
  <si>
    <t>G.I. Joe: The Rise of Cobra </t>
  </si>
  <si>
    <t>Inside Out </t>
  </si>
  <si>
    <t>The Jungle Book </t>
  </si>
  <si>
    <t>Iron Man 2 </t>
  </si>
  <si>
    <t>Snow White and the Huntsman </t>
  </si>
  <si>
    <t>Maleficent </t>
  </si>
  <si>
    <t>Dawn of the Planet of the Apes </t>
  </si>
  <si>
    <t>Belgium</t>
  </si>
  <si>
    <t>47 Ronin </t>
  </si>
  <si>
    <t>Captain America: The Winter Soldier </t>
  </si>
  <si>
    <t>Shrek Forever After </t>
  </si>
  <si>
    <t>Tomorrowland </t>
  </si>
  <si>
    <t>Big Hero 6 </t>
  </si>
  <si>
    <t>Wreck-It Ralph </t>
  </si>
  <si>
    <t>The Polar Express </t>
  </si>
  <si>
    <t>Independence Day: Resurgence </t>
  </si>
  <si>
    <t>How to Train Your Dragon </t>
  </si>
  <si>
    <t>Terminator 3: Rise of the Machines </t>
  </si>
  <si>
    <t>Guardians of the Galaxy </t>
  </si>
  <si>
    <t>Interstellar </t>
  </si>
  <si>
    <t>Inception </t>
  </si>
  <si>
    <t>Japanese</t>
  </si>
  <si>
    <t>Japan</t>
  </si>
  <si>
    <t>The Hobbit: An Unexpected Journey </t>
  </si>
  <si>
    <t>The Fast and the Furious </t>
  </si>
  <si>
    <t>The Curious Case of Benjamin Button </t>
  </si>
  <si>
    <t>X-Men: First Class </t>
  </si>
  <si>
    <t>The Hunger Games: Mockingjay - Part 2 </t>
  </si>
  <si>
    <t>The Sorcerer's Apprentice </t>
  </si>
  <si>
    <t>Poseidon </t>
  </si>
  <si>
    <t>Alice Through the Looking Glass </t>
  </si>
  <si>
    <t>Shrek the Third </t>
  </si>
  <si>
    <t>Warcraft </t>
  </si>
  <si>
    <t>Terminator Genisys </t>
  </si>
  <si>
    <t>The Chronicles of Narnia: The Voyage of the Dawn Treader </t>
  </si>
  <si>
    <t>Pearl Harbor </t>
  </si>
  <si>
    <t>Transformers </t>
  </si>
  <si>
    <t>Alexander </t>
  </si>
  <si>
    <t>Germany</t>
  </si>
  <si>
    <t>Harry Potter and the Order of the Phoenix </t>
  </si>
  <si>
    <t>Harry Potter and the Goblet of Fire </t>
  </si>
  <si>
    <t>Hancock </t>
  </si>
  <si>
    <t>I Am Legend </t>
  </si>
  <si>
    <t>Charlie and the Chocolate Factory </t>
  </si>
  <si>
    <t>Ratatouille </t>
  </si>
  <si>
    <t>Batman Begins </t>
  </si>
  <si>
    <t>Madagascar: Escape 2 Africa </t>
  </si>
  <si>
    <t>Night at the Museum: Battle of the Smithsonian </t>
  </si>
  <si>
    <t>X-Men Origins: Wolverine </t>
  </si>
  <si>
    <t>The Matrix Revolutions </t>
  </si>
  <si>
    <t>Frozen </t>
  </si>
  <si>
    <t>The Matrix Reloaded </t>
  </si>
  <si>
    <t>Thor: The Dark World </t>
  </si>
  <si>
    <t>Mad Max: Fury Road </t>
  </si>
  <si>
    <t>Angels &amp; Demons </t>
  </si>
  <si>
    <t>Thor </t>
  </si>
  <si>
    <t>Bolt </t>
  </si>
  <si>
    <t>G-Force </t>
  </si>
  <si>
    <t>Wrath of the Titans </t>
  </si>
  <si>
    <t>Dark Shadows </t>
  </si>
  <si>
    <t>Mission: Impossible - Rogue Nation </t>
  </si>
  <si>
    <t>China</t>
  </si>
  <si>
    <t>The Wolfman </t>
  </si>
  <si>
    <t>Bee Movie </t>
  </si>
  <si>
    <t>Kung Fu Panda 2 </t>
  </si>
  <si>
    <t>The Last Airbender </t>
  </si>
  <si>
    <t>Mission: Impossible III </t>
  </si>
  <si>
    <t>White House Down </t>
  </si>
  <si>
    <t>Mars Needs Moms </t>
  </si>
  <si>
    <t>Flushed Away </t>
  </si>
  <si>
    <t>Pan </t>
  </si>
  <si>
    <t>Mr. Peabody &amp; Sherman </t>
  </si>
  <si>
    <t>Troy </t>
  </si>
  <si>
    <t>Madagascar 3: Europe's Most Wanted </t>
  </si>
  <si>
    <t>Die Another Day </t>
  </si>
  <si>
    <t>Ghostbusters </t>
  </si>
  <si>
    <t>Armageddon </t>
  </si>
  <si>
    <t>Men in Black II </t>
  </si>
  <si>
    <t>Beowulf </t>
  </si>
  <si>
    <t>Kung Fu Panda 3 </t>
  </si>
  <si>
    <t>Mission: Impossible - Ghost Protocol </t>
  </si>
  <si>
    <t>Rise of the Guardians </t>
  </si>
  <si>
    <t>Fun with Dick and Jane </t>
  </si>
  <si>
    <t>The Last Samurai </t>
  </si>
  <si>
    <t>Exodus: Gods and Kings </t>
  </si>
  <si>
    <t>Star Trek </t>
  </si>
  <si>
    <t>Spider-Man </t>
  </si>
  <si>
    <t>How to Train Your Dragon 2 </t>
  </si>
  <si>
    <t>Gods of Egypt </t>
  </si>
  <si>
    <t>Stealth </t>
  </si>
  <si>
    <t>Watchmen </t>
  </si>
  <si>
    <t>Lethal Weapon 4 </t>
  </si>
  <si>
    <t>Hulk </t>
  </si>
  <si>
    <t>G.I. Joe: Retaliation </t>
  </si>
  <si>
    <t>Sahara </t>
  </si>
  <si>
    <t>Final Fantasy: The Spirits Within </t>
  </si>
  <si>
    <t>Captain America: The First Avenger </t>
  </si>
  <si>
    <t>The World Is Not Enough </t>
  </si>
  <si>
    <t>Master and Commander: The Far Side of the World </t>
  </si>
  <si>
    <t>The Twilight Saga: Breaking Dawn - Part 2 </t>
  </si>
  <si>
    <t>Happy Feet 2 </t>
  </si>
  <si>
    <t>The Incredible Hulk </t>
  </si>
  <si>
    <t>The BFG </t>
  </si>
  <si>
    <t>The Revenant </t>
  </si>
  <si>
    <t>Turbo </t>
  </si>
  <si>
    <t>Rango </t>
  </si>
  <si>
    <t>Penguins of Madagascar </t>
  </si>
  <si>
    <t>The Bourne Ultimatum </t>
  </si>
  <si>
    <t>Kung Fu Panda </t>
  </si>
  <si>
    <t>Ant-Man </t>
  </si>
  <si>
    <t>The Hunger Games: Catching Fire </t>
  </si>
  <si>
    <t>Home </t>
  </si>
  <si>
    <t>War of the Worlds </t>
  </si>
  <si>
    <t>Bad Boys II </t>
  </si>
  <si>
    <t>Puss in Boots </t>
  </si>
  <si>
    <t>Salt </t>
  </si>
  <si>
    <t>Noah </t>
  </si>
  <si>
    <t>The Adventures of Tintin </t>
  </si>
  <si>
    <t>Harry Potter and the Prisoner of Azkaban </t>
  </si>
  <si>
    <t>Australia </t>
  </si>
  <si>
    <t>After Earth </t>
  </si>
  <si>
    <t>Dinosaur </t>
  </si>
  <si>
    <t>Night at the Museum: Secret of the Tomb </t>
  </si>
  <si>
    <t>Megamind </t>
  </si>
  <si>
    <t>Harry Potter and the Sorcerer's Stone </t>
  </si>
  <si>
    <t>R.I.P.D. </t>
  </si>
  <si>
    <t>Pirates of the Caribbean: The Curse of the Black Pearl </t>
  </si>
  <si>
    <t>The Hunger Games: Mockingjay - Part 1 </t>
  </si>
  <si>
    <t>The Da Vinci Code </t>
  </si>
  <si>
    <t>Rio 2 </t>
  </si>
  <si>
    <t>X-Men 2 </t>
  </si>
  <si>
    <t>Fast Five </t>
  </si>
  <si>
    <t>Sherlock Holmes: A Game of Shadows </t>
  </si>
  <si>
    <t>Clash of the Titans </t>
  </si>
  <si>
    <t>Total Recall </t>
  </si>
  <si>
    <t>The 13th Warrior </t>
  </si>
  <si>
    <t>The Bourne Legacy </t>
  </si>
  <si>
    <t>Batman &amp; Robin </t>
  </si>
  <si>
    <t>How the Grinch Stole Christmas </t>
  </si>
  <si>
    <t>The Day After Tomorrow </t>
  </si>
  <si>
    <t>Mission: Impossible II </t>
  </si>
  <si>
    <t>The Perfect Storm </t>
  </si>
  <si>
    <t>Fantastic 4: Rise of the Silver Surfer </t>
  </si>
  <si>
    <t>Life of Pi </t>
  </si>
  <si>
    <t>Ghost Rider </t>
  </si>
  <si>
    <t>Jason Bourne </t>
  </si>
  <si>
    <t>Charlie's Angels: Full Throttle </t>
  </si>
  <si>
    <t>Prometheus </t>
  </si>
  <si>
    <t>Stuart Little 2 </t>
  </si>
  <si>
    <t>Elysium </t>
  </si>
  <si>
    <t>The Chronicles of Riddick </t>
  </si>
  <si>
    <t>RoboCop </t>
  </si>
  <si>
    <t>Speed Racer </t>
  </si>
  <si>
    <t>How Do You Know </t>
  </si>
  <si>
    <t>Knight and Day </t>
  </si>
  <si>
    <t>Oblivion </t>
  </si>
  <si>
    <t>Star Wars: Episode III - Revenge of the Sith </t>
  </si>
  <si>
    <t>Star Wars: Episode II - Attack of the Clones </t>
  </si>
  <si>
    <t>Monsters, Inc. </t>
  </si>
  <si>
    <t>The Wolverine </t>
  </si>
  <si>
    <t>Star Wars: Episode I - The Phantom Menace </t>
  </si>
  <si>
    <t>The Croods </t>
  </si>
  <si>
    <t>French</t>
  </si>
  <si>
    <t>France</t>
  </si>
  <si>
    <t>Windtalkers </t>
  </si>
  <si>
    <t>The Huntsman: Winter's War </t>
  </si>
  <si>
    <t>Teenage Mutant Ninja Turtles </t>
  </si>
  <si>
    <t>Gravity </t>
  </si>
  <si>
    <t>Dante's Peak </t>
  </si>
  <si>
    <t>Teenage Mutant Ninja Turtles: Out of the Shadows </t>
  </si>
  <si>
    <t>Fantastic Four </t>
  </si>
  <si>
    <t>Night at the Museum </t>
  </si>
  <si>
    <t>San Andreas </t>
  </si>
  <si>
    <t>Tomorrow Never Dies </t>
  </si>
  <si>
    <t>The Patriot </t>
  </si>
  <si>
    <t>Ocean's Twelve </t>
  </si>
  <si>
    <t>Mr. &amp; Mrs. Smith </t>
  </si>
  <si>
    <t>Insurgent </t>
  </si>
  <si>
    <t>The Aviator </t>
  </si>
  <si>
    <t>Gulliver's Travels </t>
  </si>
  <si>
    <t>The Green Hornet </t>
  </si>
  <si>
    <t>300: Rise of an Empire </t>
  </si>
  <si>
    <t>The Smurfs </t>
  </si>
  <si>
    <t>Home on the Range </t>
  </si>
  <si>
    <t>Allegiant </t>
  </si>
  <si>
    <t>Real Steel </t>
  </si>
  <si>
    <t>The Smurfs 2 </t>
  </si>
  <si>
    <t>Speed 2: Cruise Control </t>
  </si>
  <si>
    <t>Ender's Game </t>
  </si>
  <si>
    <t>Live Free or Die Hard </t>
  </si>
  <si>
    <t>The Lord of the Rings: The Fellowship of the Ring </t>
  </si>
  <si>
    <t>Around the World in 80 Days </t>
  </si>
  <si>
    <t>Ali </t>
  </si>
  <si>
    <t>The Cat in the Hat </t>
  </si>
  <si>
    <t>I, Robot </t>
  </si>
  <si>
    <t>Kingdom of Heaven </t>
  </si>
  <si>
    <t>Stuart Little </t>
  </si>
  <si>
    <t>The Princess and the Frog </t>
  </si>
  <si>
    <t>The Martian </t>
  </si>
  <si>
    <t>The Island </t>
  </si>
  <si>
    <t>Gone in Sixty Seconds </t>
  </si>
  <si>
    <t>Gladiator </t>
  </si>
  <si>
    <t>Minority Report </t>
  </si>
  <si>
    <t>Harry Potter and the Chamber of Secrets </t>
  </si>
  <si>
    <t>Casino Royale </t>
  </si>
  <si>
    <t>Planet of the Apes </t>
  </si>
  <si>
    <t>Terminator 2: Judgment Day </t>
  </si>
  <si>
    <t>Public Enemies </t>
  </si>
  <si>
    <t>American Gangster </t>
  </si>
  <si>
    <t>True Lies </t>
  </si>
  <si>
    <t>The Taking of Pelham 1 2 3 </t>
  </si>
  <si>
    <t>Little Fockers </t>
  </si>
  <si>
    <t>The Other Guys </t>
  </si>
  <si>
    <t>Eraser </t>
  </si>
  <si>
    <t>Django Unchained </t>
  </si>
  <si>
    <t>The Hunchback of Notre Dame </t>
  </si>
  <si>
    <t>The Emperor's New Groove </t>
  </si>
  <si>
    <t>The Expendables 2 </t>
  </si>
  <si>
    <t>National Treasure </t>
  </si>
  <si>
    <t>Eragon </t>
  </si>
  <si>
    <t>Where the Wild Things Are </t>
  </si>
  <si>
    <t>Epic </t>
  </si>
  <si>
    <t>The Tourist </t>
  </si>
  <si>
    <t>End of Days </t>
  </si>
  <si>
    <t>Blood Diamond </t>
  </si>
  <si>
    <t>The Wolf of Wall Street </t>
  </si>
  <si>
    <t>Batman Forever </t>
  </si>
  <si>
    <t>Starship Troopers </t>
  </si>
  <si>
    <t>Cloud Atlas </t>
  </si>
  <si>
    <t>Legend of the Guardians: The Owls of Ga'Hoole </t>
  </si>
  <si>
    <t>Catwoman </t>
  </si>
  <si>
    <t>Hercules </t>
  </si>
  <si>
    <t>Treasure Planet </t>
  </si>
  <si>
    <t>Land of the Lost </t>
  </si>
  <si>
    <t>The Expendables 3 </t>
  </si>
  <si>
    <t>Point Break </t>
  </si>
  <si>
    <t>Son of the Mask </t>
  </si>
  <si>
    <t>In the Heart of the Sea </t>
  </si>
  <si>
    <t>The Adventures of Pluto Nash </t>
  </si>
  <si>
    <t>Green Zone </t>
  </si>
  <si>
    <t>The Peanuts Movie </t>
  </si>
  <si>
    <t>The Spanish Prisoner </t>
  </si>
  <si>
    <t>The Mummy Returns </t>
  </si>
  <si>
    <t>Gangs of New York </t>
  </si>
  <si>
    <t>The Flowers of War </t>
  </si>
  <si>
    <t>Mandarin</t>
  </si>
  <si>
    <t>Surf's Up </t>
  </si>
  <si>
    <t>The Stepford Wives </t>
  </si>
  <si>
    <t>Black Hawk Down </t>
  </si>
  <si>
    <t>The Campaign </t>
  </si>
  <si>
    <t>The Fifth Element </t>
  </si>
  <si>
    <t>Sex and the City 2 </t>
  </si>
  <si>
    <t>The Road to El Dorado </t>
  </si>
  <si>
    <t>Ice Age: Continental Drift </t>
  </si>
  <si>
    <t>Cinderella </t>
  </si>
  <si>
    <t>The Lovely Bones </t>
  </si>
  <si>
    <t>Finding Nemo </t>
  </si>
  <si>
    <t>The Lord of the Rings: The Return of the King </t>
  </si>
  <si>
    <t>The Lord of the Rings: The Two Towers </t>
  </si>
  <si>
    <t>Seventh Son </t>
  </si>
  <si>
    <t>Lara Croft: Tomb Raider </t>
  </si>
  <si>
    <t>Transcendence </t>
  </si>
  <si>
    <t>Jurassic Park III </t>
  </si>
  <si>
    <t>Rise of the Planet of the Apes </t>
  </si>
  <si>
    <t>The Spiderwick Chronicles </t>
  </si>
  <si>
    <t>A Good Day to Die Hard </t>
  </si>
  <si>
    <t>The Alamo </t>
  </si>
  <si>
    <t>The Incredibles </t>
  </si>
  <si>
    <t>Cutthroat Island </t>
  </si>
  <si>
    <t>Percy Jackson &amp; the Olympians: The Lightning Thief </t>
  </si>
  <si>
    <t>Men in Black </t>
  </si>
  <si>
    <t>Toy Story 2 </t>
  </si>
  <si>
    <t>Unstoppable </t>
  </si>
  <si>
    <t>Rush Hour 2 </t>
  </si>
  <si>
    <t>What Lies Beneath </t>
  </si>
  <si>
    <t>Cloudy with a Chance of Meatballs </t>
  </si>
  <si>
    <t>Ice Age: Dawn of the Dinosaurs </t>
  </si>
  <si>
    <t>The Secret Life of Walter Mitty </t>
  </si>
  <si>
    <t>Charlie's Angels </t>
  </si>
  <si>
    <t>The Departed </t>
  </si>
  <si>
    <t>Mulan </t>
  </si>
  <si>
    <t>Tropic Thunder </t>
  </si>
  <si>
    <t>The Girl with the Dragon Tattoo </t>
  </si>
  <si>
    <t>Die Hard with a Vengeance </t>
  </si>
  <si>
    <t>Sherlock Holmes </t>
  </si>
  <si>
    <t>Atlantis: The Lost Empire </t>
  </si>
  <si>
    <t>Alvin and the Chipmunks: The Road Chip </t>
  </si>
  <si>
    <t>Valkyrie </t>
  </si>
  <si>
    <t>You Don't Mess with the Zohan </t>
  </si>
  <si>
    <t>Pixels </t>
  </si>
  <si>
    <t>A.I. Artificial Intelligence </t>
  </si>
  <si>
    <t>The Haunted Mansion </t>
  </si>
  <si>
    <t>Contact </t>
  </si>
  <si>
    <t>Hollow Man </t>
  </si>
  <si>
    <t>The Interpreter </t>
  </si>
  <si>
    <t>Aboriginal</t>
  </si>
  <si>
    <t>Percy Jackson: Sea of Monsters </t>
  </si>
  <si>
    <t>Lara Croft Tomb Raider: The Cradle of Life </t>
  </si>
  <si>
    <t>Now You See Me 2 </t>
  </si>
  <si>
    <t>The Saint </t>
  </si>
  <si>
    <t>Spy Game </t>
  </si>
  <si>
    <t>Mission to Mars </t>
  </si>
  <si>
    <t>Rio </t>
  </si>
  <si>
    <t>Bicentennial Man </t>
  </si>
  <si>
    <t>Volcano </t>
  </si>
  <si>
    <t>The Devil's Own </t>
  </si>
  <si>
    <t>K-19: The Widowmaker </t>
  </si>
  <si>
    <t>Conan the Barbarian </t>
  </si>
  <si>
    <t>Cinderella Man </t>
  </si>
  <si>
    <t>The Nutcracker in 3D </t>
  </si>
  <si>
    <t>Seabiscuit </t>
  </si>
  <si>
    <t>Twister </t>
  </si>
  <si>
    <t>Cast Away </t>
  </si>
  <si>
    <t>Happy Feet </t>
  </si>
  <si>
    <t>The Bourne Supremacy </t>
  </si>
  <si>
    <t>Air Force One </t>
  </si>
  <si>
    <t>Ocean's Eleven </t>
  </si>
  <si>
    <t>The Three Musketeers </t>
  </si>
  <si>
    <t>Hotel Transylvania </t>
  </si>
  <si>
    <t>Enchanted </t>
  </si>
  <si>
    <t>Safe House </t>
  </si>
  <si>
    <t>102 Dalmatians </t>
  </si>
  <si>
    <t>Tower Heist </t>
  </si>
  <si>
    <t>The Holiday </t>
  </si>
  <si>
    <t>Enemy of the State </t>
  </si>
  <si>
    <t>It's Complicated </t>
  </si>
  <si>
    <t>Ocean's Thirteen </t>
  </si>
  <si>
    <t>Open Season </t>
  </si>
  <si>
    <t>Divergent </t>
  </si>
  <si>
    <t>Enemy at the Gates </t>
  </si>
  <si>
    <t>The Rundown </t>
  </si>
  <si>
    <t>Last Action Hero </t>
  </si>
  <si>
    <t>Memoirs of a Geisha </t>
  </si>
  <si>
    <t>The Fast and the Furious: Tokyo Drift </t>
  </si>
  <si>
    <t>Arthur Christmas </t>
  </si>
  <si>
    <t>Meet Joe Black </t>
  </si>
  <si>
    <t>Collateral Damage </t>
  </si>
  <si>
    <t>Mirror Mirror </t>
  </si>
  <si>
    <t>Scott Pilgrim vs. the World </t>
  </si>
  <si>
    <t>The Core </t>
  </si>
  <si>
    <t>Nutty Professor II: The Klumps </t>
  </si>
  <si>
    <t>Scooby-Doo </t>
  </si>
  <si>
    <t>Dredd </t>
  </si>
  <si>
    <t>Click </t>
  </si>
  <si>
    <t>Cats &amp; Dogs: The Revenge of Kitty Galore </t>
  </si>
  <si>
    <t>Jumper </t>
  </si>
  <si>
    <t>Hellboy II: The Golden Army </t>
  </si>
  <si>
    <t>Zodiac </t>
  </si>
  <si>
    <t>The 6th Day </t>
  </si>
  <si>
    <t>Bruce Almighty </t>
  </si>
  <si>
    <t>The Expendables </t>
  </si>
  <si>
    <t>Mission: Impossible </t>
  </si>
  <si>
    <t>The Hunger Games </t>
  </si>
  <si>
    <t>The Hangover Part II </t>
  </si>
  <si>
    <t>Batman Returns </t>
  </si>
  <si>
    <t>Over the Hedge </t>
  </si>
  <si>
    <t>Lilo &amp; Stitch </t>
  </si>
  <si>
    <t>Deep Impact </t>
  </si>
  <si>
    <t>RED 2 </t>
  </si>
  <si>
    <t>The Longest Yard </t>
  </si>
  <si>
    <t>Alvin and the Chipmunks: Chipwrecked </t>
  </si>
  <si>
    <t>Grown Ups 2 </t>
  </si>
  <si>
    <t>Get Smart </t>
  </si>
  <si>
    <t>Something's Gotta Give </t>
  </si>
  <si>
    <t>Shutter Island </t>
  </si>
  <si>
    <t>Four Christmases </t>
  </si>
  <si>
    <t>Robots </t>
  </si>
  <si>
    <t>Face/Off </t>
  </si>
  <si>
    <t>Bedtime Stories </t>
  </si>
  <si>
    <t>Road to Perdition </t>
  </si>
  <si>
    <t>Just Go with It </t>
  </si>
  <si>
    <t>Con Air </t>
  </si>
  <si>
    <t>Eagle Eye </t>
  </si>
  <si>
    <t>Cold Mountain </t>
  </si>
  <si>
    <t>The Book of Eli </t>
  </si>
  <si>
    <t>Flubber </t>
  </si>
  <si>
    <t>The Haunting </t>
  </si>
  <si>
    <t>Space Jam </t>
  </si>
  <si>
    <t>The Pink Panther </t>
  </si>
  <si>
    <t>The Day the Earth Stood Still </t>
  </si>
  <si>
    <t>Conspiracy Theory </t>
  </si>
  <si>
    <t>Fury </t>
  </si>
  <si>
    <t>Six Days Seven Nights </t>
  </si>
  <si>
    <t>Yogi Bear </t>
  </si>
  <si>
    <t>Spirit: Stallion of the Cimarron </t>
  </si>
  <si>
    <t>Zookeeper </t>
  </si>
  <si>
    <t>Lost in Space </t>
  </si>
  <si>
    <t>The Manchurian Candidate </t>
  </si>
  <si>
    <t>Hotel Transylvania 2 </t>
  </si>
  <si>
    <t>Fantasia 2000 </t>
  </si>
  <si>
    <t>The Time Machine </t>
  </si>
  <si>
    <t>Mighty Joe Young </t>
  </si>
  <si>
    <t>Swordfish </t>
  </si>
  <si>
    <t>The Legend of Zorro </t>
  </si>
  <si>
    <t>Spanish</t>
  </si>
  <si>
    <t>What Dreams May Come </t>
  </si>
  <si>
    <t>Little Nicky </t>
  </si>
  <si>
    <t>The Brothers Grimm </t>
  </si>
  <si>
    <t>Mars Attacks! </t>
  </si>
  <si>
    <t>Surrogates </t>
  </si>
  <si>
    <t>Thirteen Days </t>
  </si>
  <si>
    <t>Daylight </t>
  </si>
  <si>
    <t>Walking with Dinosaurs 3D </t>
  </si>
  <si>
    <t>Battlefield Earth </t>
  </si>
  <si>
    <t>Looney Tunes: Back in Action </t>
  </si>
  <si>
    <t>Nine </t>
  </si>
  <si>
    <t>Timeline </t>
  </si>
  <si>
    <t>The Postman </t>
  </si>
  <si>
    <t>Babe: Pig in the City </t>
  </si>
  <si>
    <t>The Last Witch Hunter </t>
  </si>
  <si>
    <t>Red Planet </t>
  </si>
  <si>
    <t>Arthur and the Invisibles </t>
  </si>
  <si>
    <t>Oceans </t>
  </si>
  <si>
    <t>A Sound of Thunder </t>
  </si>
  <si>
    <t>Pompeii </t>
  </si>
  <si>
    <t>Mexico</t>
  </si>
  <si>
    <t>A Beautiful Mind </t>
  </si>
  <si>
    <t>The Lion King </t>
  </si>
  <si>
    <t>Journey 2: The Mysterious Island </t>
  </si>
  <si>
    <t>Cloudy with a Chance of Meatballs 2 </t>
  </si>
  <si>
    <t>Red Dragon </t>
  </si>
  <si>
    <t>Hidalgo </t>
  </si>
  <si>
    <t>Jack and Jill </t>
  </si>
  <si>
    <t>2 Fast 2 Furious </t>
  </si>
  <si>
    <t>The Little Prince </t>
  </si>
  <si>
    <t>The Invasion </t>
  </si>
  <si>
    <t>The Adventures of Rocky &amp; Bullwinkle </t>
  </si>
  <si>
    <t>The Secret Life of Pets </t>
  </si>
  <si>
    <t>The League of Extraordinary Gentlemen </t>
  </si>
  <si>
    <t>Despicable Me 2 </t>
  </si>
  <si>
    <t>Independence Day </t>
  </si>
  <si>
    <t>The Lost World: Jurassic Park </t>
  </si>
  <si>
    <t>Madagascar </t>
  </si>
  <si>
    <t>Children of Men </t>
  </si>
  <si>
    <t>X-Men </t>
  </si>
  <si>
    <t>Wanted </t>
  </si>
  <si>
    <t>The Rock </t>
  </si>
  <si>
    <t>Ice Age: The Meltdown </t>
  </si>
  <si>
    <t>50 First Dates </t>
  </si>
  <si>
    <t>Hairspray </t>
  </si>
  <si>
    <t>Exorcist: The Beginning </t>
  </si>
  <si>
    <t>Inspector Gadget </t>
  </si>
  <si>
    <t>Now You See Me </t>
  </si>
  <si>
    <t>Grown Ups </t>
  </si>
  <si>
    <t>The Terminal </t>
  </si>
  <si>
    <t>Hotel for Dogs </t>
  </si>
  <si>
    <t>Vertical Limit </t>
  </si>
  <si>
    <t>Charlie Wilson's War </t>
  </si>
  <si>
    <t>Shark Tale </t>
  </si>
  <si>
    <t>Dreamgirls </t>
  </si>
  <si>
    <t>Be Cool </t>
  </si>
  <si>
    <t>Munich </t>
  </si>
  <si>
    <t>Tears of the Sun </t>
  </si>
  <si>
    <t>Killers </t>
  </si>
  <si>
    <t>The Man from U.N.C.L.E. </t>
  </si>
  <si>
    <t>Spanglish </t>
  </si>
  <si>
    <t>Monster House </t>
  </si>
  <si>
    <t>Bandits </t>
  </si>
  <si>
    <t>First Knight </t>
  </si>
  <si>
    <t>Anna and the King </t>
  </si>
  <si>
    <t>Immortals </t>
  </si>
  <si>
    <t>Hostage </t>
  </si>
  <si>
    <t>Titan A.E. </t>
  </si>
  <si>
    <t>Hollywood Homicide </t>
  </si>
  <si>
    <t>Soldier </t>
  </si>
  <si>
    <t>Monkeybone </t>
  </si>
  <si>
    <t>Flight of the Phoenix </t>
  </si>
  <si>
    <t>Unbreakable </t>
  </si>
  <si>
    <t>Minions </t>
  </si>
  <si>
    <t>Sucker Punch </t>
  </si>
  <si>
    <t>Snake Eyes </t>
  </si>
  <si>
    <t>Sphere </t>
  </si>
  <si>
    <t>The Angry Birds Movie </t>
  </si>
  <si>
    <t>Fool's Gold </t>
  </si>
  <si>
    <t>Funny People </t>
  </si>
  <si>
    <t>The Kingdom </t>
  </si>
  <si>
    <t>Talladega Nights: The Ballad of Ricky Bobby </t>
  </si>
  <si>
    <t>Dr. Dolittle 2 </t>
  </si>
  <si>
    <t>Braveheart </t>
  </si>
  <si>
    <t>Jarhead </t>
  </si>
  <si>
    <t>The Simpsons Movie </t>
  </si>
  <si>
    <t>The Majestic </t>
  </si>
  <si>
    <t>Driven </t>
  </si>
  <si>
    <t>Two Brothers </t>
  </si>
  <si>
    <t>The Village </t>
  </si>
  <si>
    <t>Doctor Dolittle </t>
  </si>
  <si>
    <t>Signs </t>
  </si>
  <si>
    <t>Shrek 2 </t>
  </si>
  <si>
    <t>Cars </t>
  </si>
  <si>
    <t>Runaway Bride </t>
  </si>
  <si>
    <t>xXx </t>
  </si>
  <si>
    <t>The SpongeBob Movie: Sponge Out of Water </t>
  </si>
  <si>
    <t>Ransom </t>
  </si>
  <si>
    <t>Inglourious Basterds </t>
  </si>
  <si>
    <t>Hook </t>
  </si>
  <si>
    <t>Die Hard 2 </t>
  </si>
  <si>
    <t>S.W.A.T. </t>
  </si>
  <si>
    <t>Vanilla Sky </t>
  </si>
  <si>
    <t>Lady in the Water </t>
  </si>
  <si>
    <t>AVP: Alien vs. Predator </t>
  </si>
  <si>
    <t>Alvin and the Chipmunks: The Squeakquel </t>
  </si>
  <si>
    <t>We Were Soldiers </t>
  </si>
  <si>
    <t>Olympus Has Fallen </t>
  </si>
  <si>
    <t>Star Trek: Insurrection </t>
  </si>
  <si>
    <t>Battle Los Angeles </t>
  </si>
  <si>
    <t>Big Fish </t>
  </si>
  <si>
    <t>Wolf </t>
  </si>
  <si>
    <t>War Horse </t>
  </si>
  <si>
    <t>The Monuments Men </t>
  </si>
  <si>
    <t>The Abyss </t>
  </si>
  <si>
    <t>Wall Street: Money Never Sleeps </t>
  </si>
  <si>
    <t>Dracula Untold </t>
  </si>
  <si>
    <t>The Siege </t>
  </si>
  <si>
    <t>Stardust </t>
  </si>
  <si>
    <t>Seven Years in Tibet </t>
  </si>
  <si>
    <t>The Dilemma </t>
  </si>
  <si>
    <t>Bad Company </t>
  </si>
  <si>
    <t>Doom </t>
  </si>
  <si>
    <t>I Spy </t>
  </si>
  <si>
    <t>Underworld: Awakening </t>
  </si>
  <si>
    <t>Rock of Ages </t>
  </si>
  <si>
    <t>Hart's War </t>
  </si>
  <si>
    <t>Killer Elite </t>
  </si>
  <si>
    <t>Rollerball </t>
  </si>
  <si>
    <t>Ballistic: Ecks vs. Sever </t>
  </si>
  <si>
    <t>Hard Rain </t>
  </si>
  <si>
    <t>Osmosis Jones </t>
  </si>
  <si>
    <t>Blackhat </t>
  </si>
  <si>
    <t>Sky Captain and the World of Tomorrow </t>
  </si>
  <si>
    <t>Basic Instinct 2 </t>
  </si>
  <si>
    <t>Escape Plan </t>
  </si>
  <si>
    <t>The Legend of Hercules </t>
  </si>
  <si>
    <t>The Sum of All Fears </t>
  </si>
  <si>
    <t>The Twilight Saga: Eclipse </t>
  </si>
  <si>
    <t>The Score </t>
  </si>
  <si>
    <t>Despicable Me </t>
  </si>
  <si>
    <t>Money Train </t>
  </si>
  <si>
    <t>Ted 2 </t>
  </si>
  <si>
    <t>Agora </t>
  </si>
  <si>
    <t>Spain</t>
  </si>
  <si>
    <t>Mystery Men </t>
  </si>
  <si>
    <t>Hall Pass </t>
  </si>
  <si>
    <t>The Insider </t>
  </si>
  <si>
    <t>Body of Lies </t>
  </si>
  <si>
    <t>Abraham Lincoln: Vampire Hunter </t>
  </si>
  <si>
    <t>Entrapment </t>
  </si>
  <si>
    <t>The X Files </t>
  </si>
  <si>
    <t>The Last Legion </t>
  </si>
  <si>
    <t>Saving Private Ryan </t>
  </si>
  <si>
    <t>Need for Speed </t>
  </si>
  <si>
    <t>What Women Want </t>
  </si>
  <si>
    <t>Ice Age </t>
  </si>
  <si>
    <t>Dreamcatcher </t>
  </si>
  <si>
    <t>Lincoln </t>
  </si>
  <si>
    <t>The Matrix </t>
  </si>
  <si>
    <t>Apollo 13 </t>
  </si>
  <si>
    <t>The Santa Clause 2 </t>
  </si>
  <si>
    <t>Les Misérables </t>
  </si>
  <si>
    <t>You've Got Mail </t>
  </si>
  <si>
    <t>Step Brothers </t>
  </si>
  <si>
    <t>The Mask of Zorro </t>
  </si>
  <si>
    <t>Due Date </t>
  </si>
  <si>
    <t>Unbroken </t>
  </si>
  <si>
    <t>Space Cowboys </t>
  </si>
  <si>
    <t>Cliffhanger </t>
  </si>
  <si>
    <t>Broken Arrow </t>
  </si>
  <si>
    <t>The Kid </t>
  </si>
  <si>
    <t>World Trade Center </t>
  </si>
  <si>
    <t>Mona Lisa Smile </t>
  </si>
  <si>
    <t>The Dictator </t>
  </si>
  <si>
    <t>Eyes Wide Shut </t>
  </si>
  <si>
    <t>Annie </t>
  </si>
  <si>
    <t>Focus </t>
  </si>
  <si>
    <t>This Means War </t>
  </si>
  <si>
    <t>Blade: Trinity </t>
  </si>
  <si>
    <t>Primary Colors </t>
  </si>
  <si>
    <t>Resident Evil: Retribution </t>
  </si>
  <si>
    <t>Death Race </t>
  </si>
  <si>
    <t>The Long Kiss Goodnight </t>
  </si>
  <si>
    <t>Proof of Life </t>
  </si>
  <si>
    <t>Zathura: A Space Adventure </t>
  </si>
  <si>
    <t>Fight Club </t>
  </si>
  <si>
    <t>We Are Marshall </t>
  </si>
  <si>
    <t>Hudson Hawk </t>
  </si>
  <si>
    <t>Lucky Numbers </t>
  </si>
  <si>
    <t>I, Frankenstein </t>
  </si>
  <si>
    <t>Oliver Twist </t>
  </si>
  <si>
    <t>Elektra </t>
  </si>
  <si>
    <t>Sin City: A Dame to Kill For </t>
  </si>
  <si>
    <t>Random Hearts </t>
  </si>
  <si>
    <t>Everest </t>
  </si>
  <si>
    <t>Perfume: The Story of a Murderer </t>
  </si>
  <si>
    <t>Austin Powers in Goldmember </t>
  </si>
  <si>
    <t>Astro Boy </t>
  </si>
  <si>
    <t>Hong Kong</t>
  </si>
  <si>
    <t>Jurassic Park </t>
  </si>
  <si>
    <t>Wyatt Earp </t>
  </si>
  <si>
    <t>Clear and Present Danger </t>
  </si>
  <si>
    <t>Dragon Blade </t>
  </si>
  <si>
    <t>Littleman </t>
  </si>
  <si>
    <t>U-571 </t>
  </si>
  <si>
    <t>The American President </t>
  </si>
  <si>
    <t>The Love Guru </t>
  </si>
  <si>
    <t>3000 Miles to Graceland </t>
  </si>
  <si>
    <t>The Hateful Eight </t>
  </si>
  <si>
    <t>Blades of Glory </t>
  </si>
  <si>
    <t>Hop </t>
  </si>
  <si>
    <t>300 </t>
  </si>
  <si>
    <t>Meet the Fockers </t>
  </si>
  <si>
    <t>Marley &amp; Me </t>
  </si>
  <si>
    <t>The Green Mile </t>
  </si>
  <si>
    <t>Chicken Little </t>
  </si>
  <si>
    <t>Gone Girl </t>
  </si>
  <si>
    <t>The Bourne Identity </t>
  </si>
  <si>
    <t>GoldenEye </t>
  </si>
  <si>
    <t>The General's Daughter </t>
  </si>
  <si>
    <t>The Truman Show </t>
  </si>
  <si>
    <t>The Prince of Egypt </t>
  </si>
  <si>
    <t>Daddy Day Care </t>
  </si>
  <si>
    <t>2 Guns </t>
  </si>
  <si>
    <t>Cats &amp; Dogs </t>
  </si>
  <si>
    <t>The Italian Job </t>
  </si>
  <si>
    <t>Two Weeks Notice </t>
  </si>
  <si>
    <t>Antz </t>
  </si>
  <si>
    <t>Couples Retreat </t>
  </si>
  <si>
    <t>Days of Thunder </t>
  </si>
  <si>
    <t>Cheaper by the Dozen 2 </t>
  </si>
  <si>
    <t>The Scorch Trials </t>
  </si>
  <si>
    <t>Eat Pray Love </t>
  </si>
  <si>
    <t>The Family Man </t>
  </si>
  <si>
    <t>RED </t>
  </si>
  <si>
    <t>Any Given Sunday </t>
  </si>
  <si>
    <t>The Horse Whisperer </t>
  </si>
  <si>
    <t>Collateral </t>
  </si>
  <si>
    <t>The Scorpion King </t>
  </si>
  <si>
    <t>Ladder 49 </t>
  </si>
  <si>
    <t>Jack Reacher </t>
  </si>
  <si>
    <t>Deep Blue Sea </t>
  </si>
  <si>
    <t>This Is It </t>
  </si>
  <si>
    <t>Contagion </t>
  </si>
  <si>
    <t>Kangaroo Jack </t>
  </si>
  <si>
    <t>Coraline </t>
  </si>
  <si>
    <t>The Happening </t>
  </si>
  <si>
    <t>Man on Fire </t>
  </si>
  <si>
    <t>The Shaggy Dog </t>
  </si>
  <si>
    <t>Starsky &amp; Hutch </t>
  </si>
  <si>
    <t>Jingle All the Way </t>
  </si>
  <si>
    <t>Hellboy </t>
  </si>
  <si>
    <t>A Civil Action </t>
  </si>
  <si>
    <t>ParaNorman </t>
  </si>
  <si>
    <t>The Jackal </t>
  </si>
  <si>
    <t>Paycheck </t>
  </si>
  <si>
    <t>Up Close &amp; Personal </t>
  </si>
  <si>
    <t>The Tale of Despereaux </t>
  </si>
  <si>
    <t>The Tuxedo </t>
  </si>
  <si>
    <t>Under Siege 2: Dark Territory </t>
  </si>
  <si>
    <t>Jack Ryan: Shadow Recruit </t>
  </si>
  <si>
    <t>Joy </t>
  </si>
  <si>
    <t>London Has Fallen </t>
  </si>
  <si>
    <t>Alien: Resurrection </t>
  </si>
  <si>
    <t>Shooter </t>
  </si>
  <si>
    <t>The Boxtrolls </t>
  </si>
  <si>
    <t>Practical Magic </t>
  </si>
  <si>
    <t>The Lego Movie </t>
  </si>
  <si>
    <t>Miss Congeniality 2: Armed and Fabulous </t>
  </si>
  <si>
    <t>Reign of Fire </t>
  </si>
  <si>
    <t>Gangster Squad </t>
  </si>
  <si>
    <t>Year One </t>
  </si>
  <si>
    <t>Invictus </t>
  </si>
  <si>
    <t>Duplicity </t>
  </si>
  <si>
    <t>My Favorite Martian </t>
  </si>
  <si>
    <t>The Sentinel </t>
  </si>
  <si>
    <t>Planet 51 </t>
  </si>
  <si>
    <t>Star Trek: Nemesis </t>
  </si>
  <si>
    <t>Intolerable Cruelty </t>
  </si>
  <si>
    <t>Edge of Darkness </t>
  </si>
  <si>
    <t>The Relic </t>
  </si>
  <si>
    <t>Analyze That </t>
  </si>
  <si>
    <t>Righteous Kill </t>
  </si>
  <si>
    <t>Mercury Rising </t>
  </si>
  <si>
    <t>The Soloist </t>
  </si>
  <si>
    <t>The Legend of Bagger Vance </t>
  </si>
  <si>
    <t>Almost Famous </t>
  </si>
  <si>
    <t>xXx: State of the Union </t>
  </si>
  <si>
    <t>Priest </t>
  </si>
  <si>
    <t>Sinbad: Legend of the Seven Seas </t>
  </si>
  <si>
    <t>Event Horizon </t>
  </si>
  <si>
    <t>Dragonfly </t>
  </si>
  <si>
    <t>The Black Dahlia </t>
  </si>
  <si>
    <t>Flyboys </t>
  </si>
  <si>
    <t>The Last Castle </t>
  </si>
  <si>
    <t>Supernova </t>
  </si>
  <si>
    <t>Winter's Tale </t>
  </si>
  <si>
    <t>The Mortal Instruments: City of Bones </t>
  </si>
  <si>
    <t>Meet Dave </t>
  </si>
  <si>
    <t>Dark Water </t>
  </si>
  <si>
    <t>Edtv </t>
  </si>
  <si>
    <t>Inkheart </t>
  </si>
  <si>
    <t>The Spirit </t>
  </si>
  <si>
    <t>Mortdecai </t>
  </si>
  <si>
    <t>In the Name of the King: A Dungeon Siege Tale </t>
  </si>
  <si>
    <t>Beyond Borders </t>
  </si>
  <si>
    <t>The Great Raid </t>
  </si>
  <si>
    <t>Filipino</t>
  </si>
  <si>
    <t>Deadpool </t>
  </si>
  <si>
    <t>Holy Man </t>
  </si>
  <si>
    <t>American Sniper </t>
  </si>
  <si>
    <t>Goosebumps </t>
  </si>
  <si>
    <t>Just Like Heaven </t>
  </si>
  <si>
    <t>The Flintstones in Viva Rock Vegas </t>
  </si>
  <si>
    <t>Rambo III </t>
  </si>
  <si>
    <t>Leatherheads </t>
  </si>
  <si>
    <t>Did You Hear About the Morgans? </t>
  </si>
  <si>
    <t>The Internship </t>
  </si>
  <si>
    <t>Resident Evil: Afterlife </t>
  </si>
  <si>
    <t>Red Tails </t>
  </si>
  <si>
    <t>The Devil's Advocate </t>
  </si>
  <si>
    <t>That's My Boy </t>
  </si>
  <si>
    <t>DragonHeart </t>
  </si>
  <si>
    <t>After the Sunset </t>
  </si>
  <si>
    <t>Ghost Rider: Spirit of Vengeance </t>
  </si>
  <si>
    <t>Captain Corelli's Mandolin </t>
  </si>
  <si>
    <t>The Pacifier </t>
  </si>
  <si>
    <t>Walking Tall </t>
  </si>
  <si>
    <t>Forrest Gump </t>
  </si>
  <si>
    <t>Alvin and the Chipmunks </t>
  </si>
  <si>
    <t>Meet the Parents </t>
  </si>
  <si>
    <t>Pocahontas </t>
  </si>
  <si>
    <t>Superman </t>
  </si>
  <si>
    <t>The Nutty Professor </t>
  </si>
  <si>
    <t>Hitch </t>
  </si>
  <si>
    <t>George of the Jungle </t>
  </si>
  <si>
    <t>American Wedding </t>
  </si>
  <si>
    <t>Captain Phillips </t>
  </si>
  <si>
    <t>Date Night </t>
  </si>
  <si>
    <t>Casper </t>
  </si>
  <si>
    <t>The Equalizer </t>
  </si>
  <si>
    <t>Maid in Manhattan </t>
  </si>
  <si>
    <t>Crimson Tide </t>
  </si>
  <si>
    <t>The Pursuit of Happyness </t>
  </si>
  <si>
    <t>Flightplan </t>
  </si>
  <si>
    <t>Disclosure </t>
  </si>
  <si>
    <t>City of Angels </t>
  </si>
  <si>
    <t>Kill Bill: Vol. 1 </t>
  </si>
  <si>
    <t>Bowfinger </t>
  </si>
  <si>
    <t>Kill Bill: Vol. 2 </t>
  </si>
  <si>
    <t>Tango &amp; Cash </t>
  </si>
  <si>
    <t>Death Becomes Her </t>
  </si>
  <si>
    <t>Shanghai Noon </t>
  </si>
  <si>
    <t>Executive Decision </t>
  </si>
  <si>
    <t>Mr. Popper's Penguins </t>
  </si>
  <si>
    <t>The Forbidden Kingdom </t>
  </si>
  <si>
    <t>Free Birds </t>
  </si>
  <si>
    <t>Alien 3 </t>
  </si>
  <si>
    <t>Evita </t>
  </si>
  <si>
    <t>Ronin </t>
  </si>
  <si>
    <t>The Ghost and the Darkness </t>
  </si>
  <si>
    <t>Paddington </t>
  </si>
  <si>
    <t>The Watch </t>
  </si>
  <si>
    <t>The Hunted </t>
  </si>
  <si>
    <t>Instinct </t>
  </si>
  <si>
    <t>Stuck on You </t>
  </si>
  <si>
    <t>Semi-Pro </t>
  </si>
  <si>
    <t>The Pirates! Band of Misfits </t>
  </si>
  <si>
    <t>Changeling </t>
  </si>
  <si>
    <t>Chain Reaction </t>
  </si>
  <si>
    <t>The Fan </t>
  </si>
  <si>
    <t>The Phantom of the Opera </t>
  </si>
  <si>
    <t>Elizabeth: The Golden Age </t>
  </si>
  <si>
    <t>Æon Flux </t>
  </si>
  <si>
    <t>Gods and Generals </t>
  </si>
  <si>
    <t>Turbulence </t>
  </si>
  <si>
    <t>Imagine That </t>
  </si>
  <si>
    <t>Muppets Most Wanted </t>
  </si>
  <si>
    <t>Thunderbirds </t>
  </si>
  <si>
    <t>Burlesque </t>
  </si>
  <si>
    <t>A Very Long Engagement </t>
  </si>
  <si>
    <t>Blade II </t>
  </si>
  <si>
    <t>Seven Pounds </t>
  </si>
  <si>
    <t>Bullet to the Head </t>
  </si>
  <si>
    <t>The Godfather: Part III </t>
  </si>
  <si>
    <t>Elizabethtown </t>
  </si>
  <si>
    <t>You, Me and Dupree </t>
  </si>
  <si>
    <t>Superman II </t>
  </si>
  <si>
    <t>Gigli </t>
  </si>
  <si>
    <t>All the King's Men </t>
  </si>
  <si>
    <t>Shaft </t>
  </si>
  <si>
    <t>Anastasia </t>
  </si>
  <si>
    <t>Moulin Rouge! </t>
  </si>
  <si>
    <t>Domestic Disturbance </t>
  </si>
  <si>
    <t>Black Mass </t>
  </si>
  <si>
    <t>Flags of Our Fathers </t>
  </si>
  <si>
    <t>Law Abiding Citizen </t>
  </si>
  <si>
    <t>Grindhouse </t>
  </si>
  <si>
    <t>Beloved </t>
  </si>
  <si>
    <t>Lucky You </t>
  </si>
  <si>
    <t>Catch Me If You Can </t>
  </si>
  <si>
    <t>Zero Dark Thirty </t>
  </si>
  <si>
    <t>The Break-Up </t>
  </si>
  <si>
    <t>Mamma Mia! </t>
  </si>
  <si>
    <t>Valentine's Day </t>
  </si>
  <si>
    <t>The Dukes of Hazzard </t>
  </si>
  <si>
    <t>The Thin Red Line </t>
  </si>
  <si>
    <t>The Change-Up </t>
  </si>
  <si>
    <t>Man on the Moon </t>
  </si>
  <si>
    <t>Casino </t>
  </si>
  <si>
    <t>From Paris with Love </t>
  </si>
  <si>
    <t>Bulletproof Monk </t>
  </si>
  <si>
    <t>Me, Myself &amp; Irene </t>
  </si>
  <si>
    <t>Barnyard </t>
  </si>
  <si>
    <t>The Twilight Saga: New Moon </t>
  </si>
  <si>
    <t>Shrek </t>
  </si>
  <si>
    <t>The Adjustment Bureau </t>
  </si>
  <si>
    <t>Robin Hood: Prince of Thieves </t>
  </si>
  <si>
    <t>Jerry Maguire </t>
  </si>
  <si>
    <t>Ted </t>
  </si>
  <si>
    <t>As Good as It Gets </t>
  </si>
  <si>
    <t>Patch Adams </t>
  </si>
  <si>
    <t>Anchorman 2: The Legend Continues </t>
  </si>
  <si>
    <t>Mr. Deeds </t>
  </si>
  <si>
    <t>Super 8 </t>
  </si>
  <si>
    <t>Erin Brockovich </t>
  </si>
  <si>
    <t>How to Lose a Guy in 10 Days </t>
  </si>
  <si>
    <t>22 Jump Street </t>
  </si>
  <si>
    <t>Interview with the Vampire: The Vampire Chronicles </t>
  </si>
  <si>
    <t>Yes Man </t>
  </si>
  <si>
    <t>Central Intelligence </t>
  </si>
  <si>
    <t>Stepmom </t>
  </si>
  <si>
    <t>Daddy's Home </t>
  </si>
  <si>
    <t>Into the Woods </t>
  </si>
  <si>
    <t>Inside Man </t>
  </si>
  <si>
    <t>Payback </t>
  </si>
  <si>
    <t>Congo </t>
  </si>
  <si>
    <t>Knowing </t>
  </si>
  <si>
    <t>Failure to Launch </t>
  </si>
  <si>
    <t>Crazy, Stupid, Love. </t>
  </si>
  <si>
    <t>Garfield </t>
  </si>
  <si>
    <t>Christmas with the Kranks </t>
  </si>
  <si>
    <t>Moneyball </t>
  </si>
  <si>
    <t>Outbreak </t>
  </si>
  <si>
    <t>Non-Stop </t>
  </si>
  <si>
    <t>Race to Witch Mountain </t>
  </si>
  <si>
    <t>V for Vendetta </t>
  </si>
  <si>
    <t>Shanghai Knights </t>
  </si>
  <si>
    <t>Curious George </t>
  </si>
  <si>
    <t>Herbie Fully Loaded </t>
  </si>
  <si>
    <t>Don't Say a Word </t>
  </si>
  <si>
    <t>Hansel &amp; Gretel: Witch Hunters </t>
  </si>
  <si>
    <t>Unfaithful </t>
  </si>
  <si>
    <t>I Am Number Four </t>
  </si>
  <si>
    <t>Syriana </t>
  </si>
  <si>
    <t>13 Hours </t>
  </si>
  <si>
    <t>The Book of Life </t>
  </si>
  <si>
    <t>Firewall </t>
  </si>
  <si>
    <t>Absolute Power </t>
  </si>
  <si>
    <t>G.I. Jane </t>
  </si>
  <si>
    <t>The Game </t>
  </si>
  <si>
    <t>Silent Hill </t>
  </si>
  <si>
    <t>The Replacements </t>
  </si>
  <si>
    <t>American Reunion </t>
  </si>
  <si>
    <t>The Negotiator </t>
  </si>
  <si>
    <t>Into the Storm </t>
  </si>
  <si>
    <t>Beverly Hills Cop III </t>
  </si>
  <si>
    <t>Gremlins 2: The New Batch </t>
  </si>
  <si>
    <t>The Judge </t>
  </si>
  <si>
    <t>The Peacemaker </t>
  </si>
  <si>
    <t>Resident Evil: Apocalypse </t>
  </si>
  <si>
    <t>Bridget Jones: The Edge of Reason </t>
  </si>
  <si>
    <t>Out of Time </t>
  </si>
  <si>
    <t>On Deadly Ground </t>
  </si>
  <si>
    <t>The Adventures of Sharkboy and Lavagirl 3-D </t>
  </si>
  <si>
    <t>The Beach </t>
  </si>
  <si>
    <t>Raising Helen </t>
  </si>
  <si>
    <t>Ninja Assassin </t>
  </si>
  <si>
    <t>For Love of the Game </t>
  </si>
  <si>
    <t>Striptease </t>
  </si>
  <si>
    <t>Marmaduke </t>
  </si>
  <si>
    <t>Hereafter </t>
  </si>
  <si>
    <t>Murder by Numbers </t>
  </si>
  <si>
    <t>Assassins </t>
  </si>
  <si>
    <t>Hannibal Rising </t>
  </si>
  <si>
    <t>The Story of Us </t>
  </si>
  <si>
    <t>The Host </t>
  </si>
  <si>
    <t>Basic </t>
  </si>
  <si>
    <t>Blood Work </t>
  </si>
  <si>
    <t>The International </t>
  </si>
  <si>
    <t>Escape from L.A. </t>
  </si>
  <si>
    <t>The Iron Giant </t>
  </si>
  <si>
    <t>The Life Aquatic with Steve Zissou </t>
  </si>
  <si>
    <t>Free State of Jones </t>
  </si>
  <si>
    <t>The Life of David Gale </t>
  </si>
  <si>
    <t>Man of the House </t>
  </si>
  <si>
    <t>Run All Night </t>
  </si>
  <si>
    <t>Eastern Promises </t>
  </si>
  <si>
    <t>Into the Blue </t>
  </si>
  <si>
    <t>The Messenger: The Story of Joan of Arc </t>
  </si>
  <si>
    <t>Your Highness </t>
  </si>
  <si>
    <t>Dream House </t>
  </si>
  <si>
    <t>Mad City </t>
  </si>
  <si>
    <t>Baby's Day Out </t>
  </si>
  <si>
    <t>The Scarlet Letter </t>
  </si>
  <si>
    <t>Fair Game </t>
  </si>
  <si>
    <t>Domino </t>
  </si>
  <si>
    <t>Jade </t>
  </si>
  <si>
    <t>Gamer </t>
  </si>
  <si>
    <t>Beautiful Creatures </t>
  </si>
  <si>
    <t>Death to Smoochy </t>
  </si>
  <si>
    <t>Zoolander 2 </t>
  </si>
  <si>
    <t>The Big Bounce </t>
  </si>
  <si>
    <t>What Planet Are You From? </t>
  </si>
  <si>
    <t>Drive Angry </t>
  </si>
  <si>
    <t>Street Fighter: The Legend of Chun-Li </t>
  </si>
  <si>
    <t>The One </t>
  </si>
  <si>
    <t>The Adventures of Ford Fairlane </t>
  </si>
  <si>
    <t>Traffic </t>
  </si>
  <si>
    <t>Indiana Jones and the Last Crusade </t>
  </si>
  <si>
    <t>Chappie </t>
  </si>
  <si>
    <t>The Bone Collector </t>
  </si>
  <si>
    <t>Panic Room </t>
  </si>
  <si>
    <t>Three Kings </t>
  </si>
  <si>
    <t>Child 44 </t>
  </si>
  <si>
    <t>Czech Republic</t>
  </si>
  <si>
    <t>Rat Race </t>
  </si>
  <si>
    <t>K-PAX </t>
  </si>
  <si>
    <t>Kate &amp; Leopold </t>
  </si>
  <si>
    <t>Bedazzled </t>
  </si>
  <si>
    <t>The Cotton Club </t>
  </si>
  <si>
    <t>3:10 to Yuma </t>
  </si>
  <si>
    <t>Taken 3 </t>
  </si>
  <si>
    <t>Out of Sight </t>
  </si>
  <si>
    <t>The Cable Guy </t>
  </si>
  <si>
    <t>Hindi</t>
  </si>
  <si>
    <t>India</t>
  </si>
  <si>
    <t>Dick Tracy </t>
  </si>
  <si>
    <t>The Thomas Crown Affair </t>
  </si>
  <si>
    <t>Riding in Cars with Boys </t>
  </si>
  <si>
    <t>Russian</t>
  </si>
  <si>
    <t>Happily N'Ever After </t>
  </si>
  <si>
    <t>Mary Reilly </t>
  </si>
  <si>
    <t>My Best Friend's Wedding </t>
  </si>
  <si>
    <t>America's Sweethearts </t>
  </si>
  <si>
    <t>Insomnia </t>
  </si>
  <si>
    <t>Star Trek: First Contact </t>
  </si>
  <si>
    <t>Jonah Hex </t>
  </si>
  <si>
    <t>Courage Under Fire </t>
  </si>
  <si>
    <t>Liar Liar </t>
  </si>
  <si>
    <t>The Infiltrator </t>
  </si>
  <si>
    <t>South Korea</t>
  </si>
  <si>
    <t>The Flintstones </t>
  </si>
  <si>
    <t>Taken 2 </t>
  </si>
  <si>
    <t>Scary Movie 3 </t>
  </si>
  <si>
    <t>Miss Congeniality </t>
  </si>
  <si>
    <t>Journey to the Center of the Earth </t>
  </si>
  <si>
    <t>The Princess Diaries 2: Royal Engagement </t>
  </si>
  <si>
    <t>The Pelican Brief </t>
  </si>
  <si>
    <t>The Client </t>
  </si>
  <si>
    <t>The Bucket List </t>
  </si>
  <si>
    <t>Patriot Games </t>
  </si>
  <si>
    <t>Monster-in-Law </t>
  </si>
  <si>
    <t>Prisoners </t>
  </si>
  <si>
    <t>Training Day </t>
  </si>
  <si>
    <t>Galaxy Quest </t>
  </si>
  <si>
    <t>Scary Movie 2 </t>
  </si>
  <si>
    <t>The Muppets </t>
  </si>
  <si>
    <t>Blade </t>
  </si>
  <si>
    <t>Coach Carter </t>
  </si>
  <si>
    <t>Changing Lanes </t>
  </si>
  <si>
    <t>Anaconda </t>
  </si>
  <si>
    <t>Coyote Ugly </t>
  </si>
  <si>
    <t>Love Actually </t>
  </si>
  <si>
    <t>A Bug's Life </t>
  </si>
  <si>
    <t>From Hell </t>
  </si>
  <si>
    <t>The Specialist </t>
  </si>
  <si>
    <t>Peru</t>
  </si>
  <si>
    <t>Tin Cup </t>
  </si>
  <si>
    <t>Kicking &amp; Screaming </t>
  </si>
  <si>
    <t>The Hitchhiker's Guide to the Galaxy </t>
  </si>
  <si>
    <t>Fat Albert </t>
  </si>
  <si>
    <t>Resident Evil: Extinction </t>
  </si>
  <si>
    <t>Blended </t>
  </si>
  <si>
    <t>Last Holiday </t>
  </si>
  <si>
    <t>The River Wild </t>
  </si>
  <si>
    <t>The Indian in the Cupboard </t>
  </si>
  <si>
    <t>Savages </t>
  </si>
  <si>
    <t>Cellular </t>
  </si>
  <si>
    <t>Johnny English </t>
  </si>
  <si>
    <t>The Ant Bully </t>
  </si>
  <si>
    <t>Dune </t>
  </si>
  <si>
    <t>Across the Universe </t>
  </si>
  <si>
    <t>Revolutionary Road </t>
  </si>
  <si>
    <t>16 Blocks </t>
  </si>
  <si>
    <t>Babylon A.D. </t>
  </si>
  <si>
    <t>The Glimmer Man </t>
  </si>
  <si>
    <t>Multiplicity </t>
  </si>
  <si>
    <t>Aliens in the Attic </t>
  </si>
  <si>
    <t>The Pledge </t>
  </si>
  <si>
    <t>The Producers </t>
  </si>
  <si>
    <t>The Phantom </t>
  </si>
  <si>
    <t>All the Pretty Horses </t>
  </si>
  <si>
    <t>Nixon </t>
  </si>
  <si>
    <t>The Ghost Writer </t>
  </si>
  <si>
    <t>Deep Rising </t>
  </si>
  <si>
    <t>Miracle at St. Anna </t>
  </si>
  <si>
    <t>Curse of the Golden Flower </t>
  </si>
  <si>
    <t>Bangkok Dangerous </t>
  </si>
  <si>
    <t>Big Trouble </t>
  </si>
  <si>
    <t>Love in the Time of Cholera </t>
  </si>
  <si>
    <t>Shadow Conspiracy </t>
  </si>
  <si>
    <t>Johnny English Reborn </t>
  </si>
  <si>
    <t>Argo </t>
  </si>
  <si>
    <t>The Fugitive </t>
  </si>
  <si>
    <t>The Bounty Hunter </t>
  </si>
  <si>
    <t>Sleepers </t>
  </si>
  <si>
    <t>Rambo: First Blood Part II </t>
  </si>
  <si>
    <t>The Juror </t>
  </si>
  <si>
    <t>Pinocchio </t>
  </si>
  <si>
    <t>Heaven's Gate </t>
  </si>
  <si>
    <t>Underworld: Evolution </t>
  </si>
  <si>
    <t>Victor Frankenstein </t>
  </si>
  <si>
    <t>Finding Forrester </t>
  </si>
  <si>
    <t>28 Days </t>
  </si>
  <si>
    <t>Unleashed </t>
  </si>
  <si>
    <t>The Sweetest Thing </t>
  </si>
  <si>
    <t>The Firm </t>
  </si>
  <si>
    <t>Charlie St. Cloud </t>
  </si>
  <si>
    <t>The Mechanic </t>
  </si>
  <si>
    <t>21 Jump Street </t>
  </si>
  <si>
    <t>Notting Hill </t>
  </si>
  <si>
    <t>Chicken Run </t>
  </si>
  <si>
    <t>Along Came Polly </t>
  </si>
  <si>
    <t>Boomerang </t>
  </si>
  <si>
    <t>The Heat </t>
  </si>
  <si>
    <t>Cleopatra </t>
  </si>
  <si>
    <t>Here Comes the Boom </t>
  </si>
  <si>
    <t>High Crimes </t>
  </si>
  <si>
    <t>The Mirror Has Two Faces </t>
  </si>
  <si>
    <t>The Mothman Prophecies </t>
  </si>
  <si>
    <t>Brüno </t>
  </si>
  <si>
    <t>Licence to Kill </t>
  </si>
  <si>
    <t>Red Riding Hood </t>
  </si>
  <si>
    <t>15 Minutes </t>
  </si>
  <si>
    <t>Super Mario Bros. </t>
  </si>
  <si>
    <t>Lord of War </t>
  </si>
  <si>
    <t>Hero </t>
  </si>
  <si>
    <t>One for the Money </t>
  </si>
  <si>
    <t>The Interview </t>
  </si>
  <si>
    <t>The Warrior's Way </t>
  </si>
  <si>
    <t>Micmacs </t>
  </si>
  <si>
    <t>8 Mile </t>
  </si>
  <si>
    <t>A Knight's Tale </t>
  </si>
  <si>
    <t>The Medallion </t>
  </si>
  <si>
    <t>The Sixth Sense </t>
  </si>
  <si>
    <t>Man on a Ledge </t>
  </si>
  <si>
    <t>The Big Year </t>
  </si>
  <si>
    <t>The Karate Kid </t>
  </si>
  <si>
    <t>American Hustle </t>
  </si>
  <si>
    <t>The Proposal </t>
  </si>
  <si>
    <t>Double Jeopardy </t>
  </si>
  <si>
    <t>Back to the Future Part II </t>
  </si>
  <si>
    <t>Lucy </t>
  </si>
  <si>
    <t>Fifty Shades of Grey </t>
  </si>
  <si>
    <t>Spy Kids 3-D: Game Over </t>
  </si>
  <si>
    <t>A Time to Kill </t>
  </si>
  <si>
    <t>Cheaper by the Dozen </t>
  </si>
  <si>
    <t>Lone Survivor </t>
  </si>
  <si>
    <t>A League of Their Own </t>
  </si>
  <si>
    <t>The Conjuring 2 </t>
  </si>
  <si>
    <t>The Social Network </t>
  </si>
  <si>
    <t>He's Just Not That Into You </t>
  </si>
  <si>
    <t>Scary Movie 4 </t>
  </si>
  <si>
    <t>Scream 3 </t>
  </si>
  <si>
    <t>Back to the Future Part III </t>
  </si>
  <si>
    <t>Get Hard </t>
  </si>
  <si>
    <t>Bram Stoker's Dracula </t>
  </si>
  <si>
    <t>Julie &amp; Julia </t>
  </si>
  <si>
    <t>42 </t>
  </si>
  <si>
    <t>The Talented Mr. Ripley </t>
  </si>
  <si>
    <t>Dumb and Dumber To </t>
  </si>
  <si>
    <t>Eight Below </t>
  </si>
  <si>
    <t>The Intern </t>
  </si>
  <si>
    <t>Ride Along 2 </t>
  </si>
  <si>
    <t>The Last of the Mohicans </t>
  </si>
  <si>
    <t>Ray </t>
  </si>
  <si>
    <t>Sin City </t>
  </si>
  <si>
    <t>Vantage Point </t>
  </si>
  <si>
    <t>I Love You, Man </t>
  </si>
  <si>
    <t>Shallow Hal </t>
  </si>
  <si>
    <t>JFK </t>
  </si>
  <si>
    <t>Big Momma's House 2 </t>
  </si>
  <si>
    <t>The Mexican </t>
  </si>
  <si>
    <t>17 Again </t>
  </si>
  <si>
    <t>The Other Woman </t>
  </si>
  <si>
    <t>The Final Destination </t>
  </si>
  <si>
    <t>Bridge of Spies </t>
  </si>
  <si>
    <t>Behind Enemy Lines </t>
  </si>
  <si>
    <t>Shall We Dance </t>
  </si>
  <si>
    <t>Small Soldiers </t>
  </si>
  <si>
    <t>Spawn </t>
  </si>
  <si>
    <t>The Count of Monte Cristo </t>
  </si>
  <si>
    <t>The Lincoln Lawyer </t>
  </si>
  <si>
    <t>Unknown </t>
  </si>
  <si>
    <t>The Prestige </t>
  </si>
  <si>
    <t>Horrible Bosses 2 </t>
  </si>
  <si>
    <t>Escape from Planet Earth </t>
  </si>
  <si>
    <t>Apocalypto </t>
  </si>
  <si>
    <t>Maya</t>
  </si>
  <si>
    <t>The Living Daylights </t>
  </si>
  <si>
    <t>Predators </t>
  </si>
  <si>
    <t>Legal Eagles </t>
  </si>
  <si>
    <t>Secret Window </t>
  </si>
  <si>
    <t>The Lake House </t>
  </si>
  <si>
    <t>The Skeleton Key </t>
  </si>
  <si>
    <t>The Odd Life of Timothy Green </t>
  </si>
  <si>
    <t>Made of Honor </t>
  </si>
  <si>
    <t>Jersey Boys </t>
  </si>
  <si>
    <t>The Rainmaker </t>
  </si>
  <si>
    <t>Gothika </t>
  </si>
  <si>
    <t>Amistad </t>
  </si>
  <si>
    <t>Medicine Man </t>
  </si>
  <si>
    <t>Aliens vs. Predator: Requiem </t>
  </si>
  <si>
    <t>Ri¢hie Ri¢h </t>
  </si>
  <si>
    <t>Autumn in New York </t>
  </si>
  <si>
    <t>Paul </t>
  </si>
  <si>
    <t>The Guilt Trip </t>
  </si>
  <si>
    <t>Scream 4 </t>
  </si>
  <si>
    <t>8MM </t>
  </si>
  <si>
    <t>The Doors </t>
  </si>
  <si>
    <t>Sex Tape </t>
  </si>
  <si>
    <t>Hanging Up </t>
  </si>
  <si>
    <t>Final Destination 5 </t>
  </si>
  <si>
    <t>Mickey Blue Eyes </t>
  </si>
  <si>
    <t>Pay It Forward </t>
  </si>
  <si>
    <t>Fever Pitch </t>
  </si>
  <si>
    <t>Drillbit Taylor </t>
  </si>
  <si>
    <t>A Million Ways to Die in the West </t>
  </si>
  <si>
    <t>The Shadow </t>
  </si>
  <si>
    <t>Extremely Loud &amp; Incredibly Close </t>
  </si>
  <si>
    <t>Morning Glory </t>
  </si>
  <si>
    <t>Get Rich or Die Tryin' </t>
  </si>
  <si>
    <t>The Art of War </t>
  </si>
  <si>
    <t>Rent </t>
  </si>
  <si>
    <t>Bless the Child </t>
  </si>
  <si>
    <t>The Out-of-Towners </t>
  </si>
  <si>
    <t>The Island of Dr. Moreau </t>
  </si>
  <si>
    <t>The Musketeer </t>
  </si>
  <si>
    <t>The Other Boleyn Girl </t>
  </si>
  <si>
    <t>Sweet November </t>
  </si>
  <si>
    <t>The Reaping </t>
  </si>
  <si>
    <t>Mean Streets </t>
  </si>
  <si>
    <t>Renaissance Man </t>
  </si>
  <si>
    <t>Colombiana </t>
  </si>
  <si>
    <t>The Magic Sword: Quest for Camelot </t>
  </si>
  <si>
    <t>City by the Sea </t>
  </si>
  <si>
    <t>At First Sight </t>
  </si>
  <si>
    <t>Torque </t>
  </si>
  <si>
    <t>City Hall </t>
  </si>
  <si>
    <t>Showgirls </t>
  </si>
  <si>
    <t>Marie Antoinette </t>
  </si>
  <si>
    <t>Kiss of Death </t>
  </si>
  <si>
    <t>Get Carter </t>
  </si>
  <si>
    <t>The Impossible </t>
  </si>
  <si>
    <t>Ishtar </t>
  </si>
  <si>
    <t>Fantastic Mr. Fox </t>
  </si>
  <si>
    <t>Life or Something Like It </t>
  </si>
  <si>
    <t>Memoirs of an Invisible Man </t>
  </si>
  <si>
    <t>Amélie </t>
  </si>
  <si>
    <t>New York Minute </t>
  </si>
  <si>
    <t>Alfie </t>
  </si>
  <si>
    <t>Big Miracle </t>
  </si>
  <si>
    <t>The Deep End of the Ocean </t>
  </si>
  <si>
    <t>Feardotcom </t>
  </si>
  <si>
    <t>Cirque du Freak: The Vampire's Assistant </t>
  </si>
  <si>
    <t>Duplex </t>
  </si>
  <si>
    <t>Raise the Titanic </t>
  </si>
  <si>
    <t>Universal Soldier: The Return </t>
  </si>
  <si>
    <t>Pandorum </t>
  </si>
  <si>
    <t>Impostor </t>
  </si>
  <si>
    <t>Extreme Ops </t>
  </si>
  <si>
    <t>Just Visiting </t>
  </si>
  <si>
    <t>Sunshine </t>
  </si>
  <si>
    <t>A Thousand Words </t>
  </si>
  <si>
    <t>Delgo </t>
  </si>
  <si>
    <t>The Gunman </t>
  </si>
  <si>
    <t>Alex Rider: Operation Stormbreaker </t>
  </si>
  <si>
    <t>Disturbia </t>
  </si>
  <si>
    <t>Hackers </t>
  </si>
  <si>
    <t>The Hunting Party </t>
  </si>
  <si>
    <t>The Hudsucker Proxy </t>
  </si>
  <si>
    <t>The Warlords </t>
  </si>
  <si>
    <t>Nomad: The Warrior </t>
  </si>
  <si>
    <t>Kazakh</t>
  </si>
  <si>
    <t>Snowpiercer </t>
  </si>
  <si>
    <t>The Crow </t>
  </si>
  <si>
    <t>Baahubali: The Beginning </t>
  </si>
  <si>
    <t>Telugu</t>
  </si>
  <si>
    <t>The Time Traveler's Wife </t>
  </si>
  <si>
    <t>Frankenweenie </t>
  </si>
  <si>
    <t>Serenity </t>
  </si>
  <si>
    <t>Against the Ropes </t>
  </si>
  <si>
    <t>Superman III </t>
  </si>
  <si>
    <t>Grudge Match </t>
  </si>
  <si>
    <t>Red Cliff </t>
  </si>
  <si>
    <t>Sweet Home Alabama </t>
  </si>
  <si>
    <t>The Ugly Truth </t>
  </si>
  <si>
    <t>Sgt. Bilko </t>
  </si>
  <si>
    <t>Spy Kids 2: Island of Lost Dreams </t>
  </si>
  <si>
    <t>Star Trek: Generations </t>
  </si>
  <si>
    <t>The Grandmaster </t>
  </si>
  <si>
    <t>Water for Elephants </t>
  </si>
  <si>
    <t>The Hurricane </t>
  </si>
  <si>
    <t>Enough </t>
  </si>
  <si>
    <t>Heartbreakers </t>
  </si>
  <si>
    <t>Paul Blart: Mall Cop 2 </t>
  </si>
  <si>
    <t>Angel Eyes </t>
  </si>
  <si>
    <t>Joe Somebody </t>
  </si>
  <si>
    <t>The Ninth Gate </t>
  </si>
  <si>
    <t>Extreme Measures </t>
  </si>
  <si>
    <t>Rock Star </t>
  </si>
  <si>
    <t>Precious </t>
  </si>
  <si>
    <t>White Squall </t>
  </si>
  <si>
    <t>The Thing </t>
  </si>
  <si>
    <t>Riddick </t>
  </si>
  <si>
    <t>Switchback </t>
  </si>
  <si>
    <t>Texas Rangers </t>
  </si>
  <si>
    <t>City of Ember </t>
  </si>
  <si>
    <t>The Master </t>
  </si>
  <si>
    <t>Italy</t>
  </si>
  <si>
    <t>The Express </t>
  </si>
  <si>
    <t>The 5th Wave </t>
  </si>
  <si>
    <t>Creed </t>
  </si>
  <si>
    <t>The Town </t>
  </si>
  <si>
    <t>What to Expect When You're Expecting </t>
  </si>
  <si>
    <t>Burn After Reading </t>
  </si>
  <si>
    <t>Nim's Island </t>
  </si>
  <si>
    <t>Rush </t>
  </si>
  <si>
    <t>Magnolia </t>
  </si>
  <si>
    <t>Cop Out </t>
  </si>
  <si>
    <t>How to Be Single </t>
  </si>
  <si>
    <t>Dolphin Tale </t>
  </si>
  <si>
    <t>Twilight </t>
  </si>
  <si>
    <t>John Q </t>
  </si>
  <si>
    <t>Blue Streak </t>
  </si>
  <si>
    <t>We're the Millers </t>
  </si>
  <si>
    <t>Russia</t>
  </si>
  <si>
    <t>Breakdown </t>
  </si>
  <si>
    <t>Never Say Never Again </t>
  </si>
  <si>
    <t>Hot Tub Time Machine </t>
  </si>
  <si>
    <t>Dolphin Tale 2 </t>
  </si>
  <si>
    <t>Reindeer Games </t>
  </si>
  <si>
    <t>A Man Apart </t>
  </si>
  <si>
    <t>Aloha </t>
  </si>
  <si>
    <t>Ghosts of Mississippi </t>
  </si>
  <si>
    <t>Snow Falling on Cedars </t>
  </si>
  <si>
    <t>The Rite </t>
  </si>
  <si>
    <t>Gattaca </t>
  </si>
  <si>
    <t>Isn't She Great </t>
  </si>
  <si>
    <t>Space Chimps </t>
  </si>
  <si>
    <t>Head of State </t>
  </si>
  <si>
    <t>The Hangover </t>
  </si>
  <si>
    <t>Ip Man 3 </t>
  </si>
  <si>
    <t>Cantonese</t>
  </si>
  <si>
    <t>Austin Powers: The Spy Who Shagged Me </t>
  </si>
  <si>
    <t>Batman </t>
  </si>
  <si>
    <t>There Be Dragons </t>
  </si>
  <si>
    <t>Lethal Weapon 3 </t>
  </si>
  <si>
    <t>The Blind Side </t>
  </si>
  <si>
    <t>Spy Kids </t>
  </si>
  <si>
    <t>Horrible Bosses </t>
  </si>
  <si>
    <t>True Grit </t>
  </si>
  <si>
    <t>The Devil Wears Prada </t>
  </si>
  <si>
    <t>Star Trek: The Motion Picture </t>
  </si>
  <si>
    <t>Identity Thief </t>
  </si>
  <si>
    <t>Cape Fear </t>
  </si>
  <si>
    <t>21 </t>
  </si>
  <si>
    <t>Trainwreck </t>
  </si>
  <si>
    <t>Guess Who </t>
  </si>
  <si>
    <t>The English Patient </t>
  </si>
  <si>
    <t>L.A. Confidential </t>
  </si>
  <si>
    <t>Sky High </t>
  </si>
  <si>
    <t>In &amp; Out </t>
  </si>
  <si>
    <t>Species </t>
  </si>
  <si>
    <t>A Nightmare on Elm Street </t>
  </si>
  <si>
    <t>The Cell </t>
  </si>
  <si>
    <t>The Man in the Iron Mask </t>
  </si>
  <si>
    <t>Secretariat </t>
  </si>
  <si>
    <t>TMNT </t>
  </si>
  <si>
    <t>Radio </t>
  </si>
  <si>
    <t>Friends with Benefits </t>
  </si>
  <si>
    <t>Neighbors 2: Sorority Rising </t>
  </si>
  <si>
    <t>Saving Mr. Banks </t>
  </si>
  <si>
    <t>Malcolm X </t>
  </si>
  <si>
    <t>This Is 40 </t>
  </si>
  <si>
    <t>Old Dogs </t>
  </si>
  <si>
    <t>Underworld: Rise of the Lycans </t>
  </si>
  <si>
    <t>License to Wed </t>
  </si>
  <si>
    <t>The Benchwarmers </t>
  </si>
  <si>
    <t>Must Love Dogs </t>
  </si>
  <si>
    <t>Donnie Brasco </t>
  </si>
  <si>
    <t>Resident Evil </t>
  </si>
  <si>
    <t>Poltergeist </t>
  </si>
  <si>
    <t>The Ladykillers </t>
  </si>
  <si>
    <t>Max Payne </t>
  </si>
  <si>
    <t>In Time </t>
  </si>
  <si>
    <t>The Back-up Plan </t>
  </si>
  <si>
    <t>Something Borrowed </t>
  </si>
  <si>
    <t>Black Knight </t>
  </si>
  <si>
    <t>Street Fighter </t>
  </si>
  <si>
    <t>The Pianist </t>
  </si>
  <si>
    <t>The Nativity Story </t>
  </si>
  <si>
    <t>House of Wax </t>
  </si>
  <si>
    <t>Closer </t>
  </si>
  <si>
    <t>J. Edgar </t>
  </si>
  <si>
    <t>Mirrors </t>
  </si>
  <si>
    <t>Queen of the Damned </t>
  </si>
  <si>
    <t>Predator 2 </t>
  </si>
  <si>
    <t>Untraceable </t>
  </si>
  <si>
    <t>Blast from the Past </t>
  </si>
  <si>
    <t>Jersey Girl </t>
  </si>
  <si>
    <t>Alex Cross </t>
  </si>
  <si>
    <t>Midnight in the Garden of Good and Evil </t>
  </si>
  <si>
    <t>Nanny McPhee Returns </t>
  </si>
  <si>
    <t>Hoffa </t>
  </si>
  <si>
    <t>The X Files: I Want to Believe </t>
  </si>
  <si>
    <t>Ella Enchanted </t>
  </si>
  <si>
    <t>Concussion </t>
  </si>
  <si>
    <t>Abduction </t>
  </si>
  <si>
    <t>Valiant </t>
  </si>
  <si>
    <t>Wonder Boys </t>
  </si>
  <si>
    <t>Superhero Movie </t>
  </si>
  <si>
    <t>Broken City </t>
  </si>
  <si>
    <t>Cursed </t>
  </si>
  <si>
    <t>Premium Rush </t>
  </si>
  <si>
    <t>Hot Pursuit </t>
  </si>
  <si>
    <t>The Four Feathers </t>
  </si>
  <si>
    <t>Parker </t>
  </si>
  <si>
    <t>Wimbledon </t>
  </si>
  <si>
    <t>Furry Vengeance </t>
  </si>
  <si>
    <t>Lions for Lambs </t>
  </si>
  <si>
    <t>Flight of the Intruder </t>
  </si>
  <si>
    <t>Walk Hard: The Dewey Cox Story </t>
  </si>
  <si>
    <t>The Shipping News </t>
  </si>
  <si>
    <t>American Outlaws </t>
  </si>
  <si>
    <t>The Young Victoria </t>
  </si>
  <si>
    <t>Whiteout </t>
  </si>
  <si>
    <t>The Tree of Life </t>
  </si>
  <si>
    <t>Knock Off </t>
  </si>
  <si>
    <t>Aruba</t>
  </si>
  <si>
    <t>Sabotage </t>
  </si>
  <si>
    <t>The Order </t>
  </si>
  <si>
    <t>Punisher: War Zone </t>
  </si>
  <si>
    <t>Zoom </t>
  </si>
  <si>
    <t>The Walk </t>
  </si>
  <si>
    <t>Warriors of Virtue </t>
  </si>
  <si>
    <t>A Good Year </t>
  </si>
  <si>
    <t>Radio Flyer </t>
  </si>
  <si>
    <t>Blood In, Blood Out </t>
  </si>
  <si>
    <t>Smilla's Sense of Snow </t>
  </si>
  <si>
    <t>Denmark</t>
  </si>
  <si>
    <t>Femme Fatale </t>
  </si>
  <si>
    <t>Ride with the Devil </t>
  </si>
  <si>
    <t>The Maze Runner </t>
  </si>
  <si>
    <t>Unfinished Business </t>
  </si>
  <si>
    <t>The Age of Innocence </t>
  </si>
  <si>
    <t>The Fountain </t>
  </si>
  <si>
    <t>Chill Factor </t>
  </si>
  <si>
    <t>Stolen </t>
  </si>
  <si>
    <t>Ponyo </t>
  </si>
  <si>
    <t>The Longest Ride </t>
  </si>
  <si>
    <t>The Astronaut's Wife </t>
  </si>
  <si>
    <t>I Dreamed of Africa </t>
  </si>
  <si>
    <t>Playing for Keeps </t>
  </si>
  <si>
    <t>Mandela: Long Walk to Freedom </t>
  </si>
  <si>
    <t>A Few Good Men </t>
  </si>
  <si>
    <t>Exit Wounds </t>
  </si>
  <si>
    <t>Big Momma's House </t>
  </si>
  <si>
    <t>Thunder and the House of Magic </t>
  </si>
  <si>
    <t>The Darkest Hour </t>
  </si>
  <si>
    <t>Step Up Revolution </t>
  </si>
  <si>
    <t>Snakes on a Plane </t>
  </si>
  <si>
    <t>The Watcher </t>
  </si>
  <si>
    <t>The Punisher </t>
  </si>
  <si>
    <t>Goal! The Dream Begins </t>
  </si>
  <si>
    <t>Safe </t>
  </si>
  <si>
    <t>Pushing Tin </t>
  </si>
  <si>
    <t>Star Wars: Episode VI - Return of the Jedi </t>
  </si>
  <si>
    <t>Doomsday </t>
  </si>
  <si>
    <t>The Reader </t>
  </si>
  <si>
    <t>Elf </t>
  </si>
  <si>
    <t>Phenomenon </t>
  </si>
  <si>
    <t>Snow Dogs </t>
  </si>
  <si>
    <t>Scrooged </t>
  </si>
  <si>
    <t>Nacho Libre </t>
  </si>
  <si>
    <t>Bridesmaids </t>
  </si>
  <si>
    <t>This Is the End </t>
  </si>
  <si>
    <t>Stigmata </t>
  </si>
  <si>
    <t>Men of Honor </t>
  </si>
  <si>
    <t>Takers </t>
  </si>
  <si>
    <t>The Big Wedding </t>
  </si>
  <si>
    <t>Big Mommas: Like Father, Like Son </t>
  </si>
  <si>
    <t>Source Code </t>
  </si>
  <si>
    <t>Alive </t>
  </si>
  <si>
    <t>The Number 23 </t>
  </si>
  <si>
    <t>The Young and Prodigious T.S. Spivet </t>
  </si>
  <si>
    <t>Dreamer: Inspired by a True Story </t>
  </si>
  <si>
    <t>A History of Violence </t>
  </si>
  <si>
    <t>Transporter 2 </t>
  </si>
  <si>
    <t>The Quick and the Dead </t>
  </si>
  <si>
    <t>Laws of Attraction </t>
  </si>
  <si>
    <t>Ireland</t>
  </si>
  <si>
    <t>Bringing Out the Dead </t>
  </si>
  <si>
    <t>Repo Men </t>
  </si>
  <si>
    <t>Dragon Wars: D-War </t>
  </si>
  <si>
    <t>Bogus </t>
  </si>
  <si>
    <t>The Incredible Burt Wonderstone </t>
  </si>
  <si>
    <t>Cats Don't Dance </t>
  </si>
  <si>
    <t>Cradle Will Rock </t>
  </si>
  <si>
    <t>The Good German </t>
  </si>
  <si>
    <t>Apocalypse Now </t>
  </si>
  <si>
    <t>Going the Distance </t>
  </si>
  <si>
    <t>Mr. Holland's Opus </t>
  </si>
  <si>
    <t>Criminal </t>
  </si>
  <si>
    <t>Out of Africa </t>
  </si>
  <si>
    <t>Flight </t>
  </si>
  <si>
    <t>Moonraker </t>
  </si>
  <si>
    <t>The Grand Budapest Hotel </t>
  </si>
  <si>
    <t>Hearts in Atlantis </t>
  </si>
  <si>
    <t>Arachnophobia </t>
  </si>
  <si>
    <t>Frequency </t>
  </si>
  <si>
    <t>Vacation </t>
  </si>
  <si>
    <t>Get Shorty </t>
  </si>
  <si>
    <t>Chicago </t>
  </si>
  <si>
    <t>Big Daddy </t>
  </si>
  <si>
    <t>American Pie 2 </t>
  </si>
  <si>
    <t>Toy Story </t>
  </si>
  <si>
    <t>Speed </t>
  </si>
  <si>
    <t>The Vow </t>
  </si>
  <si>
    <t>Extraordinary Measures </t>
  </si>
  <si>
    <t>Remember the Titans </t>
  </si>
  <si>
    <t>The Hunt for Red October </t>
  </si>
  <si>
    <t>Lee Daniels' The Butler </t>
  </si>
  <si>
    <t>Dodgeball: A True Underdog Story </t>
  </si>
  <si>
    <t>The Addams Family </t>
  </si>
  <si>
    <t>Ace Ventura: When Nature Calls </t>
  </si>
  <si>
    <t>The Princess Diaries </t>
  </si>
  <si>
    <t>The First Wives Club </t>
  </si>
  <si>
    <t>Se7en </t>
  </si>
  <si>
    <t>District 9 </t>
  </si>
  <si>
    <t>South Africa</t>
  </si>
  <si>
    <t>The SpongeBob SquarePants Movie </t>
  </si>
  <si>
    <t>Mystic River </t>
  </si>
  <si>
    <t>Million Dollar Baby </t>
  </si>
  <si>
    <t>Analyze This </t>
  </si>
  <si>
    <t>The Notebook </t>
  </si>
  <si>
    <t>27 Dresses </t>
  </si>
  <si>
    <t>Hannah Montana: The Movie </t>
  </si>
  <si>
    <t>Rugrats in Paris: The Movie </t>
  </si>
  <si>
    <t>The Prince of Tides </t>
  </si>
  <si>
    <t>Legends of the Fall </t>
  </si>
  <si>
    <t>Up in the Air </t>
  </si>
  <si>
    <t>About Schmidt </t>
  </si>
  <si>
    <t>Warm Bodies </t>
  </si>
  <si>
    <t>Looper </t>
  </si>
  <si>
    <t>Down to Earth </t>
  </si>
  <si>
    <t>Babe </t>
  </si>
  <si>
    <t>Hope Springs </t>
  </si>
  <si>
    <t>Forgetting Sarah Marshall </t>
  </si>
  <si>
    <t>Four Brothers </t>
  </si>
  <si>
    <t>Baby Mama </t>
  </si>
  <si>
    <t>Hope Floats </t>
  </si>
  <si>
    <t>Bride Wars </t>
  </si>
  <si>
    <t>Without a Paddle </t>
  </si>
  <si>
    <t>13 Going on 30 </t>
  </si>
  <si>
    <t>Midnight in Paris </t>
  </si>
  <si>
    <t>The Nut Job </t>
  </si>
  <si>
    <t>Blow </t>
  </si>
  <si>
    <t>Message in a Bottle </t>
  </si>
  <si>
    <t>Star Trek V: The Final Frontier </t>
  </si>
  <si>
    <t>Like Mike </t>
  </si>
  <si>
    <t>Naked Gun 33 1/3: The Final Insult </t>
  </si>
  <si>
    <t>A View to a Kill </t>
  </si>
  <si>
    <t>The Curse of the Were-Rabbit </t>
  </si>
  <si>
    <t>P.S. I Love You </t>
  </si>
  <si>
    <t>Atonement </t>
  </si>
  <si>
    <t>Letters to Juliet </t>
  </si>
  <si>
    <t>Black Rain </t>
  </si>
  <si>
    <t>Corpse Bride </t>
  </si>
  <si>
    <t>Sicario </t>
  </si>
  <si>
    <t>Southpaw </t>
  </si>
  <si>
    <t>Drag Me to Hell </t>
  </si>
  <si>
    <t>The Age of Adaline </t>
  </si>
  <si>
    <t>Secondhand Lions </t>
  </si>
  <si>
    <t>Step Up 3D </t>
  </si>
  <si>
    <t>Blue Crush </t>
  </si>
  <si>
    <t>Stranger Than Fiction </t>
  </si>
  <si>
    <t>30 Days of Night </t>
  </si>
  <si>
    <t>The Cabin in the Woods </t>
  </si>
  <si>
    <t>Meet the Spartans </t>
  </si>
  <si>
    <t>Midnight Run </t>
  </si>
  <si>
    <t>The Running Man </t>
  </si>
  <si>
    <t>Little Shop of Horrors </t>
  </si>
  <si>
    <t>Hanna </t>
  </si>
  <si>
    <t>Mortal Kombat: Annihilation </t>
  </si>
  <si>
    <t>Larry Crowne </t>
  </si>
  <si>
    <t>Carrie </t>
  </si>
  <si>
    <t>Take the Lead </t>
  </si>
  <si>
    <t>Gridiron Gang </t>
  </si>
  <si>
    <t>What's the Worst That Could Happen? </t>
  </si>
  <si>
    <t>9 </t>
  </si>
  <si>
    <t>Side Effects </t>
  </si>
  <si>
    <t>Winnie the Pooh </t>
  </si>
  <si>
    <t>Dumb and Dumberer: When Harry Met Lloyd </t>
  </si>
  <si>
    <t>Bulworth </t>
  </si>
  <si>
    <t>Get on Up </t>
  </si>
  <si>
    <t>One True Thing </t>
  </si>
  <si>
    <t>Virtuosity </t>
  </si>
  <si>
    <t>My Super Ex-Girlfriend </t>
  </si>
  <si>
    <t>Deliver Us from Evil </t>
  </si>
  <si>
    <t>Sanctum </t>
  </si>
  <si>
    <t>Little Black Book </t>
  </si>
  <si>
    <t>The Five-Year Engagement </t>
  </si>
  <si>
    <t>Mr 3000 </t>
  </si>
  <si>
    <t>The Next Three Days </t>
  </si>
  <si>
    <t>Ultraviolet </t>
  </si>
  <si>
    <t>Assault on Precinct 13 </t>
  </si>
  <si>
    <t>The Replacement Killers </t>
  </si>
  <si>
    <t>Fled </t>
  </si>
  <si>
    <t>Eight Legged Freaks </t>
  </si>
  <si>
    <t>Love &amp; Other Drugs </t>
  </si>
  <si>
    <t>88 Minutes </t>
  </si>
  <si>
    <t>North Country </t>
  </si>
  <si>
    <t>The Whole Ten Yards </t>
  </si>
  <si>
    <t>Splice </t>
  </si>
  <si>
    <t>Howard the Duck </t>
  </si>
  <si>
    <t>Pride and Glory </t>
  </si>
  <si>
    <t>The Cave </t>
  </si>
  <si>
    <t>Alex &amp; Emma </t>
  </si>
  <si>
    <t>Wicker Park </t>
  </si>
  <si>
    <t>Fright Night </t>
  </si>
  <si>
    <t>The New World </t>
  </si>
  <si>
    <t>Wing Commander </t>
  </si>
  <si>
    <t>In Dreams </t>
  </si>
  <si>
    <t>Dragonball: Evolution </t>
  </si>
  <si>
    <t>The Last Stand </t>
  </si>
  <si>
    <t>Godsend </t>
  </si>
  <si>
    <t>Chasing Liberty </t>
  </si>
  <si>
    <t>Hoodwinked Too! Hood vs. Evil </t>
  </si>
  <si>
    <t>An Unfinished Life </t>
  </si>
  <si>
    <t>The Imaginarium of Doctor Parnassus </t>
  </si>
  <si>
    <t>Icelandic</t>
  </si>
  <si>
    <t>Iceland</t>
  </si>
  <si>
    <t>Runner Runner </t>
  </si>
  <si>
    <t>Antitrust </t>
  </si>
  <si>
    <t>Glory </t>
  </si>
  <si>
    <t>Once Upon a Time in America </t>
  </si>
  <si>
    <t>Dead Man Down </t>
  </si>
  <si>
    <t>The Merchant of Venice </t>
  </si>
  <si>
    <t>The Good Thief </t>
  </si>
  <si>
    <t>Miss Potter </t>
  </si>
  <si>
    <t>The Promise </t>
  </si>
  <si>
    <t>DOA: Dead or Alive </t>
  </si>
  <si>
    <t>The Assassination of Jesse James by the Coward Robert Ford </t>
  </si>
  <si>
    <t>1911 </t>
  </si>
  <si>
    <t>Machine Gun Preacher </t>
  </si>
  <si>
    <t>German</t>
  </si>
  <si>
    <t>Pitch Perfect 2 </t>
  </si>
  <si>
    <t>Walk the Line </t>
  </si>
  <si>
    <t>Keeping the Faith </t>
  </si>
  <si>
    <t>The Borrowers </t>
  </si>
  <si>
    <t>Frost/Nixon </t>
  </si>
  <si>
    <t>Serving Sara </t>
  </si>
  <si>
    <t>The Boss </t>
  </si>
  <si>
    <t>Cry Freedom </t>
  </si>
  <si>
    <t>Mumford </t>
  </si>
  <si>
    <t>Seed of Chucky </t>
  </si>
  <si>
    <t>Romania</t>
  </si>
  <si>
    <t>The Jacket </t>
  </si>
  <si>
    <t>Aladdin </t>
  </si>
  <si>
    <t>Straight Outta Compton </t>
  </si>
  <si>
    <t>Indiana Jones and the Temple of Doom </t>
  </si>
  <si>
    <t>The Rugrats Movie </t>
  </si>
  <si>
    <t>Along Came a Spider </t>
  </si>
  <si>
    <t>Once Upon a Time in Mexico </t>
  </si>
  <si>
    <t>Die Hard </t>
  </si>
  <si>
    <t>Role Models </t>
  </si>
  <si>
    <t>The Big Short </t>
  </si>
  <si>
    <t>Taking Woodstock </t>
  </si>
  <si>
    <t>Miracle </t>
  </si>
  <si>
    <t>Dawn of the Dead </t>
  </si>
  <si>
    <t>The Wedding Planner </t>
  </si>
  <si>
    <t>The Royal Tenenbaums </t>
  </si>
  <si>
    <t>Identity </t>
  </si>
  <si>
    <t>Last Vegas </t>
  </si>
  <si>
    <t>For Your Eyes Only </t>
  </si>
  <si>
    <t>Serendipity </t>
  </si>
  <si>
    <t>Timecop </t>
  </si>
  <si>
    <t>Zoolander </t>
  </si>
  <si>
    <t>Safe Haven </t>
  </si>
  <si>
    <t>Hocus Pocus </t>
  </si>
  <si>
    <t>No Reservations </t>
  </si>
  <si>
    <t>Kick-Ass </t>
  </si>
  <si>
    <t>30 Minutes or Less </t>
  </si>
  <si>
    <t>Dracula 2000 </t>
  </si>
  <si>
    <t>Alexander and the Terrible, Horrible, No Good, Very Bad Day </t>
  </si>
  <si>
    <t>Pride &amp; Prejudice </t>
  </si>
  <si>
    <t>Blade Runner </t>
  </si>
  <si>
    <t>Rob Roy </t>
  </si>
  <si>
    <t>3 Days to Kill </t>
  </si>
  <si>
    <t>We Own the Night </t>
  </si>
  <si>
    <t>Lost Souls </t>
  </si>
  <si>
    <t>Winged Migration </t>
  </si>
  <si>
    <t>Just My Luck </t>
  </si>
  <si>
    <t>Mystery, Alaska </t>
  </si>
  <si>
    <t>The Spy Next Door </t>
  </si>
  <si>
    <t>A Simple Wish </t>
  </si>
  <si>
    <t>Ghosts of Mars </t>
  </si>
  <si>
    <t>Our Brand Is Crisis </t>
  </si>
  <si>
    <t>Pride and Prejudice and Zombies </t>
  </si>
  <si>
    <t>Kundun </t>
  </si>
  <si>
    <t>How to Lose Friends &amp; Alienate People </t>
  </si>
  <si>
    <t>Kick-Ass 2 </t>
  </si>
  <si>
    <t>Brick Mansions </t>
  </si>
  <si>
    <t>Octopussy </t>
  </si>
  <si>
    <t>Knocked Up </t>
  </si>
  <si>
    <t>My Sister's Keeper </t>
  </si>
  <si>
    <t>Welcome Home, Roscoe Jenkins </t>
  </si>
  <si>
    <t>A Passage to India </t>
  </si>
  <si>
    <t>Notes on a Scandal </t>
  </si>
  <si>
    <t>Rendition </t>
  </si>
  <si>
    <t>Star Trek VI: The Undiscovered Country </t>
  </si>
  <si>
    <t>Divine Secrets of the Ya-Ya Sisterhood </t>
  </si>
  <si>
    <t>Kiss the Girls </t>
  </si>
  <si>
    <t>The Blues Brothers </t>
  </si>
  <si>
    <t>Joyful Noise </t>
  </si>
  <si>
    <t>About a Boy </t>
  </si>
  <si>
    <t>Lake Placid </t>
  </si>
  <si>
    <t>Lucky Number Slevin </t>
  </si>
  <si>
    <t>The Right Stuff </t>
  </si>
  <si>
    <t>Anonymous </t>
  </si>
  <si>
    <t>West Germany</t>
  </si>
  <si>
    <t>Dark City </t>
  </si>
  <si>
    <t>The Duchess </t>
  </si>
  <si>
    <t>The Newton Boys </t>
  </si>
  <si>
    <t>Case 39 </t>
  </si>
  <si>
    <t>Suspect Zero </t>
  </si>
  <si>
    <t>Martian Child </t>
  </si>
  <si>
    <t>Spy Kids: All the Time in the World in 4D </t>
  </si>
  <si>
    <t>Money Monster </t>
  </si>
  <si>
    <t>Formula 51 </t>
  </si>
  <si>
    <t>Flawless </t>
  </si>
  <si>
    <t>Mindhunters </t>
  </si>
  <si>
    <t>What Just Happened </t>
  </si>
  <si>
    <t>The Statement </t>
  </si>
  <si>
    <t>Paul Blart: Mall Cop </t>
  </si>
  <si>
    <t>Freaky Friday </t>
  </si>
  <si>
    <t>The 40-Year-Old Virgin </t>
  </si>
  <si>
    <t>Shakespeare in Love </t>
  </si>
  <si>
    <t>A Walk Among the Tombstones </t>
  </si>
  <si>
    <t>Kindergarten Cop </t>
  </si>
  <si>
    <t>Pineapple Express </t>
  </si>
  <si>
    <t>Ever After: A Cinderella Story </t>
  </si>
  <si>
    <t>Open Range </t>
  </si>
  <si>
    <t>Flatliners </t>
  </si>
  <si>
    <t>A Bridge Too Far </t>
  </si>
  <si>
    <t>Red Eye </t>
  </si>
  <si>
    <t>Final Destination 2 </t>
  </si>
  <si>
    <t>O Brother, Where Art Thou? </t>
  </si>
  <si>
    <t>Legion </t>
  </si>
  <si>
    <t>Pain &amp; Gain </t>
  </si>
  <si>
    <t>In Good Company </t>
  </si>
  <si>
    <t>Clockstoppers </t>
  </si>
  <si>
    <t>Silverado </t>
  </si>
  <si>
    <t>Brothers </t>
  </si>
  <si>
    <t>Agent Cody Banks 2: Destination London </t>
  </si>
  <si>
    <t>New Year's Eve </t>
  </si>
  <si>
    <t>Original Sin </t>
  </si>
  <si>
    <t>The Raven </t>
  </si>
  <si>
    <t>Welcome to Mooseport </t>
  </si>
  <si>
    <t>Highlander: The Final Dimension </t>
  </si>
  <si>
    <t>Blood and Wine </t>
  </si>
  <si>
    <t>The Curse of the Jade Scorpion </t>
  </si>
  <si>
    <t>Flipper </t>
  </si>
  <si>
    <t>Self/less </t>
  </si>
  <si>
    <t>The Constant Gardener </t>
  </si>
  <si>
    <t>The Passion of the Christ </t>
  </si>
  <si>
    <t>Aramaic</t>
  </si>
  <si>
    <t>Mrs. Doubtfire </t>
  </si>
  <si>
    <t>Rain Man </t>
  </si>
  <si>
    <t>Gran Torino </t>
  </si>
  <si>
    <t>W. </t>
  </si>
  <si>
    <t>Taken </t>
  </si>
  <si>
    <t>The Best of Me </t>
  </si>
  <si>
    <t>The Bodyguard </t>
  </si>
  <si>
    <t>Schindler's List </t>
  </si>
  <si>
    <t>The Help </t>
  </si>
  <si>
    <t>The Fifth Estate </t>
  </si>
  <si>
    <t>Scooby-Doo 2: Monsters Unleashed </t>
  </si>
  <si>
    <t>Freddy vs. Jason </t>
  </si>
  <si>
    <t>Jimmy Neutron: Boy Genius </t>
  </si>
  <si>
    <t>Cloverfield </t>
  </si>
  <si>
    <t>Teenage Mutant Ninja Turtles II: The Secret of the Ooze </t>
  </si>
  <si>
    <t>The Untouchables </t>
  </si>
  <si>
    <t>No Country for Old Men </t>
  </si>
  <si>
    <t>Ride Along </t>
  </si>
  <si>
    <t>Bridget Jones's Diary </t>
  </si>
  <si>
    <t>Chocolat </t>
  </si>
  <si>
    <t>Legally Blonde 2: Red, White &amp; Blonde </t>
  </si>
  <si>
    <t>Parental Guidance </t>
  </si>
  <si>
    <t>No Strings Attached </t>
  </si>
  <si>
    <t>Tombstone </t>
  </si>
  <si>
    <t>Romeo Must Die </t>
  </si>
  <si>
    <t>Final Destination 3 </t>
  </si>
  <si>
    <t>The Lucky One </t>
  </si>
  <si>
    <t>Bridge to Terabithia </t>
  </si>
  <si>
    <t>Finding Neverland </t>
  </si>
  <si>
    <t>A Madea Christmas </t>
  </si>
  <si>
    <t>The Grey </t>
  </si>
  <si>
    <t>Hide and Seek </t>
  </si>
  <si>
    <t>Anchorman: The Legend of Ron Burgundy </t>
  </si>
  <si>
    <t>Goodfellas </t>
  </si>
  <si>
    <t>Agent Cody Banks </t>
  </si>
  <si>
    <t>Nanny McPhee </t>
  </si>
  <si>
    <t>Scarface </t>
  </si>
  <si>
    <t>Nothing to Lose </t>
  </si>
  <si>
    <t>The Last Emperor </t>
  </si>
  <si>
    <t>Contraband </t>
  </si>
  <si>
    <t>Money Talks </t>
  </si>
  <si>
    <t>There Will Be Blood </t>
  </si>
  <si>
    <t>The Wild Thornberrys Movie </t>
  </si>
  <si>
    <t>Rugrats Go Wild </t>
  </si>
  <si>
    <t>Undercover Brother </t>
  </si>
  <si>
    <t>The Sisterhood of the Traveling Pants </t>
  </si>
  <si>
    <t>Kiss of the Dragon </t>
  </si>
  <si>
    <t>The House Bunny </t>
  </si>
  <si>
    <t>Million Dollar Arm </t>
  </si>
  <si>
    <t>The Giver </t>
  </si>
  <si>
    <t>What a Girl Wants </t>
  </si>
  <si>
    <t>Jeepers Creepers II </t>
  </si>
  <si>
    <t>Good Luck Chuck </t>
  </si>
  <si>
    <t>Cradle 2 the Grave </t>
  </si>
  <si>
    <t>The Hours </t>
  </si>
  <si>
    <t>She's the Man </t>
  </si>
  <si>
    <t>Mr. Bean's Holiday </t>
  </si>
  <si>
    <t>Anacondas: The Hunt for the Blood Orchid </t>
  </si>
  <si>
    <t>Blood Ties </t>
  </si>
  <si>
    <t>August Rush </t>
  </si>
  <si>
    <t>Elizabeth </t>
  </si>
  <si>
    <t>Bride of Chucky </t>
  </si>
  <si>
    <t>Tora! Tora! Tora! </t>
  </si>
  <si>
    <t>Spice World </t>
  </si>
  <si>
    <t>Dance Flick </t>
  </si>
  <si>
    <t>The Shawshank Redemption </t>
  </si>
  <si>
    <t>Crocodile Dundee in Los Angeles </t>
  </si>
  <si>
    <t>Kingpin </t>
  </si>
  <si>
    <t>The Gambler </t>
  </si>
  <si>
    <t>August: Osage County </t>
  </si>
  <si>
    <t>A Lot Like Love </t>
  </si>
  <si>
    <t>Eddie the Eagle </t>
  </si>
  <si>
    <t>He Got Game </t>
  </si>
  <si>
    <t>Don Juan DeMarco </t>
  </si>
  <si>
    <t>Dear John </t>
  </si>
  <si>
    <t>The Losers </t>
  </si>
  <si>
    <t>Don't Be Afraid of the Dark </t>
  </si>
  <si>
    <t>War </t>
  </si>
  <si>
    <t>Punch-Drunk Love </t>
  </si>
  <si>
    <t>EuroTrip </t>
  </si>
  <si>
    <t>Half Past Dead </t>
  </si>
  <si>
    <t>Unaccompanied Minors </t>
  </si>
  <si>
    <t>Bright Lights, Big City </t>
  </si>
  <si>
    <t>The Adventures of Pinocchio </t>
  </si>
  <si>
    <t>Italian</t>
  </si>
  <si>
    <t>The Box </t>
  </si>
  <si>
    <t>The Ruins </t>
  </si>
  <si>
    <t>The Next Best Thing </t>
  </si>
  <si>
    <t>My Soul to Take </t>
  </si>
  <si>
    <t>The Girl Next Door </t>
  </si>
  <si>
    <t>Maximum Risk </t>
  </si>
  <si>
    <t>Stealing Harvard </t>
  </si>
  <si>
    <t>Legend </t>
  </si>
  <si>
    <t>Shark Night 3D </t>
  </si>
  <si>
    <t>Angela's Ashes </t>
  </si>
  <si>
    <t>Draft Day </t>
  </si>
  <si>
    <t>The Conspirator </t>
  </si>
  <si>
    <t>Lords of Dogtown </t>
  </si>
  <si>
    <t>The 33 </t>
  </si>
  <si>
    <t>Chile</t>
  </si>
  <si>
    <t>Big Trouble in Little China </t>
  </si>
  <si>
    <t>Warrior </t>
  </si>
  <si>
    <t>Michael Collins </t>
  </si>
  <si>
    <t>Gettysburg </t>
  </si>
  <si>
    <t>Stop-Loss </t>
  </si>
  <si>
    <t>Abandon </t>
  </si>
  <si>
    <t>Brokedown Palace </t>
  </si>
  <si>
    <t>The Possession </t>
  </si>
  <si>
    <t>Mrs. Winterbourne </t>
  </si>
  <si>
    <t>Straw Dogs </t>
  </si>
  <si>
    <t>The Hoax </t>
  </si>
  <si>
    <t>Stone Cold </t>
  </si>
  <si>
    <t>The Road </t>
  </si>
  <si>
    <t>Underclassman </t>
  </si>
  <si>
    <t>Say It Isn't So </t>
  </si>
  <si>
    <t>The World's Fastest Indian </t>
  </si>
  <si>
    <t>Tank Girl </t>
  </si>
  <si>
    <t>King's Ransom </t>
  </si>
  <si>
    <t>Blindness </t>
  </si>
  <si>
    <t>BloodRayne </t>
  </si>
  <si>
    <t>Where the Truth Lies </t>
  </si>
  <si>
    <t>Without Limits </t>
  </si>
  <si>
    <t>Me and Orson Welles </t>
  </si>
  <si>
    <t>The Best Offer </t>
  </si>
  <si>
    <t>Bad Lieutenant: Port of Call New Orleans </t>
  </si>
  <si>
    <t>Little White Lies </t>
  </si>
  <si>
    <t>Love Ranch </t>
  </si>
  <si>
    <t>The Counselor </t>
  </si>
  <si>
    <t>Kung Fu Killer </t>
  </si>
  <si>
    <t>Dangerous Liaisons </t>
  </si>
  <si>
    <t>On the Road </t>
  </si>
  <si>
    <t>Star Trek IV: The Voyage Home </t>
  </si>
  <si>
    <t>Rocky Balboa </t>
  </si>
  <si>
    <t>Scream 2 </t>
  </si>
  <si>
    <t>Jane Got a Gun </t>
  </si>
  <si>
    <t>Think Like a Man Too </t>
  </si>
  <si>
    <t>The Whole Nine Yards </t>
  </si>
  <si>
    <t>Footloose </t>
  </si>
  <si>
    <t>Old School </t>
  </si>
  <si>
    <t>The Fisher King </t>
  </si>
  <si>
    <t>I Still Know What You Did Last Summer </t>
  </si>
  <si>
    <t>Return to Me </t>
  </si>
  <si>
    <t>Zack and Miri Make a Porno </t>
  </si>
  <si>
    <t>Nurse Betty </t>
  </si>
  <si>
    <t>The Men Who Stare at Goats </t>
  </si>
  <si>
    <t>Double Take </t>
  </si>
  <si>
    <t>Girl, Interrupted </t>
  </si>
  <si>
    <t>Win a Date with Tad Hamilton! </t>
  </si>
  <si>
    <t>Muppets from Space </t>
  </si>
  <si>
    <t>The Wiz </t>
  </si>
  <si>
    <t>Ready to Rumble </t>
  </si>
  <si>
    <t>Play It to the Bone </t>
  </si>
  <si>
    <t>I Don't Know How She Does It </t>
  </si>
  <si>
    <t>Piranha 3D </t>
  </si>
  <si>
    <t>Beyond the Sea </t>
  </si>
  <si>
    <t>The Princess and the Cobbler </t>
  </si>
  <si>
    <t>The Bridge of San Luis Rey </t>
  </si>
  <si>
    <t>Faster </t>
  </si>
  <si>
    <t>Howl's Moving Castle </t>
  </si>
  <si>
    <t>Zombieland </t>
  </si>
  <si>
    <t>The Waterboy </t>
  </si>
  <si>
    <t>Star Wars: Episode V - The Empire Strikes Back </t>
  </si>
  <si>
    <t>Bad Boys </t>
  </si>
  <si>
    <t>The Naked Gun 2½: The Smell of Fear </t>
  </si>
  <si>
    <t>Final Destination </t>
  </si>
  <si>
    <t>The Ides of March </t>
  </si>
  <si>
    <t>Pitch Black </t>
  </si>
  <si>
    <t>Someone Like You... </t>
  </si>
  <si>
    <t>Her </t>
  </si>
  <si>
    <t>Joy Ride </t>
  </si>
  <si>
    <t>The Adventurer: The Curse of the Midas Box </t>
  </si>
  <si>
    <t>Anywhere But Here </t>
  </si>
  <si>
    <t>The Crew </t>
  </si>
  <si>
    <t>Haywire </t>
  </si>
  <si>
    <t>Jaws: The Revenge </t>
  </si>
  <si>
    <t>Marvin's Room </t>
  </si>
  <si>
    <t>The Longshots </t>
  </si>
  <si>
    <t>The End of the Affair </t>
  </si>
  <si>
    <t>Harley Davidson and the Marlboro Man </t>
  </si>
  <si>
    <t>Coco Before Chanel </t>
  </si>
  <si>
    <t>Chéri </t>
  </si>
  <si>
    <t>Vanity Fair </t>
  </si>
  <si>
    <t>1408 </t>
  </si>
  <si>
    <t>Spaceballs </t>
  </si>
  <si>
    <t>The Water Diviner </t>
  </si>
  <si>
    <t>Ghost </t>
  </si>
  <si>
    <t>There's Something About Mary </t>
  </si>
  <si>
    <t>The Santa Clause </t>
  </si>
  <si>
    <t>The Rookie </t>
  </si>
  <si>
    <t>The Game Plan </t>
  </si>
  <si>
    <t>The Bridges of Madison County </t>
  </si>
  <si>
    <t>The Animal </t>
  </si>
  <si>
    <t>The Hundred-Foot Journey </t>
  </si>
  <si>
    <t>The Net </t>
  </si>
  <si>
    <t>I Am Sam </t>
  </si>
  <si>
    <t>Son of God </t>
  </si>
  <si>
    <t>Underworld </t>
  </si>
  <si>
    <t>Derailed </t>
  </si>
  <si>
    <t>The Informant! </t>
  </si>
  <si>
    <t>Shadowlands </t>
  </si>
  <si>
    <t>Deuce Bigalow: European Gigolo </t>
  </si>
  <si>
    <t>Delivery Man </t>
  </si>
  <si>
    <t>Saving Silverman </t>
  </si>
  <si>
    <t>Diary of a Wimpy Kid: Dog Days </t>
  </si>
  <si>
    <t>Summer of Sam </t>
  </si>
  <si>
    <t>Jay and Silent Bob Strike Back </t>
  </si>
  <si>
    <t>The Glass House </t>
  </si>
  <si>
    <t>Hail, Caesar! </t>
  </si>
  <si>
    <t>Josie and the Pussycats </t>
  </si>
  <si>
    <t>Homefront </t>
  </si>
  <si>
    <t>The Little Vampire </t>
  </si>
  <si>
    <t>I Heart Huckabees </t>
  </si>
  <si>
    <t>RoboCop 3 </t>
  </si>
  <si>
    <t>Megiddo: The Omega Code 2 </t>
  </si>
  <si>
    <t>Darling Lili </t>
  </si>
  <si>
    <t>Dudley Do-Right </t>
  </si>
  <si>
    <t>The Transporter Refueled </t>
  </si>
  <si>
    <t>Black Book </t>
  </si>
  <si>
    <t>Dutch</t>
  </si>
  <si>
    <t>Netherlands</t>
  </si>
  <si>
    <t>Joyeux Noel </t>
  </si>
  <si>
    <t>Hit and Run </t>
  </si>
  <si>
    <t>Mad Money </t>
  </si>
  <si>
    <t>Before I Go to Sleep </t>
  </si>
  <si>
    <t>Stone </t>
  </si>
  <si>
    <t>Molière </t>
  </si>
  <si>
    <t>Out of the Furnace </t>
  </si>
  <si>
    <t>Michael Clayton </t>
  </si>
  <si>
    <t>My Fellow Americans </t>
  </si>
  <si>
    <t>Arlington Road </t>
  </si>
  <si>
    <t>To Rome with Love </t>
  </si>
  <si>
    <t>Firefox </t>
  </si>
  <si>
    <t>South Park: Bigger Longer &amp; Uncut </t>
  </si>
  <si>
    <t>Death at a Funeral </t>
  </si>
  <si>
    <t>Teenage Mutant Ninja Turtles III </t>
  </si>
  <si>
    <t>Hardball </t>
  </si>
  <si>
    <t>Silver Linings Playbook </t>
  </si>
  <si>
    <t>Freedom Writers </t>
  </si>
  <si>
    <t>The Transporter </t>
  </si>
  <si>
    <t>Never Back Down </t>
  </si>
  <si>
    <t>The Rage: Carrie 2 </t>
  </si>
  <si>
    <t>Away We Go </t>
  </si>
  <si>
    <t>Swing Vote </t>
  </si>
  <si>
    <t>Moonlight Mile </t>
  </si>
  <si>
    <t>Tinker Tailor Soldier Spy </t>
  </si>
  <si>
    <t>Molly </t>
  </si>
  <si>
    <t>The Beaver </t>
  </si>
  <si>
    <t>The Best Little Whorehouse in Texas </t>
  </si>
  <si>
    <t>eXistenZ </t>
  </si>
  <si>
    <t>Raiders of the Lost Ark </t>
  </si>
  <si>
    <t>Home Alone 2: Lost in New York </t>
  </si>
  <si>
    <t>Close Encounters of the Third Kind </t>
  </si>
  <si>
    <t>Pulse </t>
  </si>
  <si>
    <t>Beverly Hills Cop II </t>
  </si>
  <si>
    <t>Bringing Down the House </t>
  </si>
  <si>
    <t>The Silence of the Lambs </t>
  </si>
  <si>
    <t>Wayne's World </t>
  </si>
  <si>
    <t>Jackass 3D </t>
  </si>
  <si>
    <t>Jaws 2 </t>
  </si>
  <si>
    <t>Beverly Hills Chihuahua </t>
  </si>
  <si>
    <t>The Conjuring </t>
  </si>
  <si>
    <t>Are We There Yet? </t>
  </si>
  <si>
    <t>Tammy </t>
  </si>
  <si>
    <t>School of Rock </t>
  </si>
  <si>
    <t>Mortal Kombat </t>
  </si>
  <si>
    <t>White Chicks </t>
  </si>
  <si>
    <t>The Descendants </t>
  </si>
  <si>
    <t>Holes </t>
  </si>
  <si>
    <t>The Last Song </t>
  </si>
  <si>
    <t>12 Years a Slave </t>
  </si>
  <si>
    <t>Drumline </t>
  </si>
  <si>
    <t>Why Did I Get Married Too? </t>
  </si>
  <si>
    <t>Edward Scissorhands </t>
  </si>
  <si>
    <t>Me Before You </t>
  </si>
  <si>
    <t>Madea's Witness Protection </t>
  </si>
  <si>
    <t>Date Movie </t>
  </si>
  <si>
    <t>Return to Never Land </t>
  </si>
  <si>
    <t>Selma </t>
  </si>
  <si>
    <t>The Jungle Book 2 </t>
  </si>
  <si>
    <t>Boogeyman </t>
  </si>
  <si>
    <t>Premonition </t>
  </si>
  <si>
    <t>The Tigger Movie </t>
  </si>
  <si>
    <t>Max </t>
  </si>
  <si>
    <t>Epic Movie </t>
  </si>
  <si>
    <t>Spotlight </t>
  </si>
  <si>
    <t>Lakeview Terrace </t>
  </si>
  <si>
    <t>The Grudge 2 </t>
  </si>
  <si>
    <t>How Stella Got Her Groove Back </t>
  </si>
  <si>
    <t>Bill &amp; Ted's Bogus Journey </t>
  </si>
  <si>
    <t>Man of the Year </t>
  </si>
  <si>
    <t>The American </t>
  </si>
  <si>
    <t>Selena </t>
  </si>
  <si>
    <t>Vampires Suck </t>
  </si>
  <si>
    <t>Babel </t>
  </si>
  <si>
    <t>This Is Where I Leave You </t>
  </si>
  <si>
    <t>Doubt </t>
  </si>
  <si>
    <t>Team America: World Police </t>
  </si>
  <si>
    <t>Texas Chainsaw 3D </t>
  </si>
  <si>
    <t>Copycat </t>
  </si>
  <si>
    <t>Scary Movie 5 </t>
  </si>
  <si>
    <t>Milk </t>
  </si>
  <si>
    <t>Risen </t>
  </si>
  <si>
    <t>Ghost Ship </t>
  </si>
  <si>
    <t>A Very Harold &amp; Kumar 3D Christmas </t>
  </si>
  <si>
    <t>Wild Things </t>
  </si>
  <si>
    <t>The Debt </t>
  </si>
  <si>
    <t>High Fidelity </t>
  </si>
  <si>
    <t>One Missed Call </t>
  </si>
  <si>
    <t>Eye for an Eye </t>
  </si>
  <si>
    <t>The Bank Job </t>
  </si>
  <si>
    <t>Eternal Sunshine of the Spotless Mind </t>
  </si>
  <si>
    <t>You Again </t>
  </si>
  <si>
    <t>Street Kings </t>
  </si>
  <si>
    <t>The World's End </t>
  </si>
  <si>
    <t>Nancy Drew </t>
  </si>
  <si>
    <t>Daybreakers </t>
  </si>
  <si>
    <t>She's Out of My League </t>
  </si>
  <si>
    <t>Monte Carlo </t>
  </si>
  <si>
    <t>Hungary</t>
  </si>
  <si>
    <t>Stay Alive </t>
  </si>
  <si>
    <t>Quigley Down Under </t>
  </si>
  <si>
    <t>Alpha and Omega </t>
  </si>
  <si>
    <t>The Covenant </t>
  </si>
  <si>
    <t>Shorts </t>
  </si>
  <si>
    <t>To Die For </t>
  </si>
  <si>
    <t>Vampires </t>
  </si>
  <si>
    <t>Psycho </t>
  </si>
  <si>
    <t>My Best Friend's Girl </t>
  </si>
  <si>
    <t>Endless Love </t>
  </si>
  <si>
    <t>Georgia Rule </t>
  </si>
  <si>
    <t>Under the Rainbow </t>
  </si>
  <si>
    <t>Simon Birch </t>
  </si>
  <si>
    <t>Reign Over Me </t>
  </si>
  <si>
    <t>Into the Wild </t>
  </si>
  <si>
    <t>School for Scoundrels </t>
  </si>
  <si>
    <t>Silent Hill: Revelation 3D </t>
  </si>
  <si>
    <t>From Dusk Till Dawn </t>
  </si>
  <si>
    <t>Pooh's Heffalump Movie </t>
  </si>
  <si>
    <t>Home for the Holidays </t>
  </si>
  <si>
    <t>Kung Fu Hustle </t>
  </si>
  <si>
    <t>The Country Bears </t>
  </si>
  <si>
    <t>The Kite Runner </t>
  </si>
  <si>
    <t>Dari</t>
  </si>
  <si>
    <t>21 Grams </t>
  </si>
  <si>
    <t>Paparazzi </t>
  </si>
  <si>
    <t>A Guy Thing </t>
  </si>
  <si>
    <t>Loser </t>
  </si>
  <si>
    <t>The Greatest Story Ever Told </t>
  </si>
  <si>
    <t>Disaster Movie </t>
  </si>
  <si>
    <t>Armored </t>
  </si>
  <si>
    <t>The Man Who Knew Too Little </t>
  </si>
  <si>
    <t>What's Your Number? </t>
  </si>
  <si>
    <t>Lockout </t>
  </si>
  <si>
    <t>Envy </t>
  </si>
  <si>
    <t>Crank: High Voltage </t>
  </si>
  <si>
    <t>Bullets Over Broadway </t>
  </si>
  <si>
    <t>One Night with the King </t>
  </si>
  <si>
    <t>The Quiet American </t>
  </si>
  <si>
    <t>The Weather Man </t>
  </si>
  <si>
    <t>Undisputed </t>
  </si>
  <si>
    <t>Ghost Town </t>
  </si>
  <si>
    <t>12 Rounds </t>
  </si>
  <si>
    <t>Let Me In </t>
  </si>
  <si>
    <t>3 Ninjas Kick Back </t>
  </si>
  <si>
    <t>Be Kind Rewind </t>
  </si>
  <si>
    <t>Mrs Henderson Presents </t>
  </si>
  <si>
    <t>Triple 9 </t>
  </si>
  <si>
    <t>Deconstructing Harry </t>
  </si>
  <si>
    <t>Three to Tango </t>
  </si>
  <si>
    <t>Burnt </t>
  </si>
  <si>
    <t>We're No Angels </t>
  </si>
  <si>
    <t>Everyone Says I Love You </t>
  </si>
  <si>
    <t>Death Sentence </t>
  </si>
  <si>
    <t>Everybody's Fine </t>
  </si>
  <si>
    <t>Superbabies: Baby Geniuses 2 </t>
  </si>
  <si>
    <t>The Man </t>
  </si>
  <si>
    <t>Code Name: The Cleaner </t>
  </si>
  <si>
    <t>Connie and Carla </t>
  </si>
  <si>
    <t>Inherent Vice </t>
  </si>
  <si>
    <t>Doogal </t>
  </si>
  <si>
    <t>Battle of the Year </t>
  </si>
  <si>
    <t>An American Carol </t>
  </si>
  <si>
    <t>Machete Kills </t>
  </si>
  <si>
    <t>Willard </t>
  </si>
  <si>
    <t>Strange Wilderness </t>
  </si>
  <si>
    <t>Topsy-Turvy </t>
  </si>
  <si>
    <t>Little Boy </t>
  </si>
  <si>
    <t>A Dangerous Method </t>
  </si>
  <si>
    <t>A Scanner Darkly </t>
  </si>
  <si>
    <t>Chasing Mavericks </t>
  </si>
  <si>
    <t>Alone in the Dark </t>
  </si>
  <si>
    <t>Bandslam </t>
  </si>
  <si>
    <t>Birth </t>
  </si>
  <si>
    <t>A Most Violent Year </t>
  </si>
  <si>
    <t>Flash of Genius </t>
  </si>
  <si>
    <t>I'm Not There. </t>
  </si>
  <si>
    <t>The Cold Light of Day </t>
  </si>
  <si>
    <t>The Brothers Bloom </t>
  </si>
  <si>
    <t>Synecdoche, New York </t>
  </si>
  <si>
    <t>Princess Mononoke </t>
  </si>
  <si>
    <t>Bon voyage </t>
  </si>
  <si>
    <t>Can't Stop the Music </t>
  </si>
  <si>
    <t>The Proposition </t>
  </si>
  <si>
    <t>Courage </t>
  </si>
  <si>
    <t>Marci X </t>
  </si>
  <si>
    <t>Equilibrium </t>
  </si>
  <si>
    <t>The Children of Huang Shi </t>
  </si>
  <si>
    <t>The Yards </t>
  </si>
  <si>
    <t>By the Sea </t>
  </si>
  <si>
    <t>Steamboy </t>
  </si>
  <si>
    <t>The Game of Their Lives </t>
  </si>
  <si>
    <t>Rapa Nui </t>
  </si>
  <si>
    <t>Les couloirs du temps: Les visiteurs II </t>
  </si>
  <si>
    <t>Dylan Dog: Dead of Night </t>
  </si>
  <si>
    <t>People I Know </t>
  </si>
  <si>
    <t>The Tempest </t>
  </si>
  <si>
    <t>The Painted Veil </t>
  </si>
  <si>
    <t>The Baader Meinhof Complex </t>
  </si>
  <si>
    <t>Dances with Wolves </t>
  </si>
  <si>
    <t>Bad Teacher </t>
  </si>
  <si>
    <t>Sea of Love </t>
  </si>
  <si>
    <t>A Cinderella Story </t>
  </si>
  <si>
    <t>Scream </t>
  </si>
  <si>
    <t>Thir13en Ghosts </t>
  </si>
  <si>
    <t>Back to the Future </t>
  </si>
  <si>
    <t>House on Haunted Hill </t>
  </si>
  <si>
    <t>I Can Do Bad All by Myself </t>
  </si>
  <si>
    <t>The Switch </t>
  </si>
  <si>
    <t>Just Married </t>
  </si>
  <si>
    <t>The Devil's Double </t>
  </si>
  <si>
    <t>Thomas and the Magic Railroad </t>
  </si>
  <si>
    <t>The Crazies </t>
  </si>
  <si>
    <t>Spirited Away </t>
  </si>
  <si>
    <t>The Bounty </t>
  </si>
  <si>
    <t>The Book Thief </t>
  </si>
  <si>
    <t>Sex Drive </t>
  </si>
  <si>
    <t>Leap Year </t>
  </si>
  <si>
    <t>Take Me Home Tonight </t>
  </si>
  <si>
    <t>The Nutcracker </t>
  </si>
  <si>
    <t>Kansas City </t>
  </si>
  <si>
    <t>Hebrew</t>
  </si>
  <si>
    <t>The Amityville Horror </t>
  </si>
  <si>
    <t>Adaptation. </t>
  </si>
  <si>
    <t>Land of the Dead </t>
  </si>
  <si>
    <t>Fear and Loathing in Las Vegas </t>
  </si>
  <si>
    <t>The Invention of Lying </t>
  </si>
  <si>
    <t>Neighbors </t>
  </si>
  <si>
    <t>The Mask </t>
  </si>
  <si>
    <t>Big </t>
  </si>
  <si>
    <t>Borat: Cultural Learnings of America for Make Benefit Glorious Nation of Kazakhstan </t>
  </si>
  <si>
    <t>Legally Blonde </t>
  </si>
  <si>
    <t>Star Trek III: The Search for Spock </t>
  </si>
  <si>
    <t>The Exorcism of Emily Rose </t>
  </si>
  <si>
    <t>Deuce Bigalow: Male Gigolo </t>
  </si>
  <si>
    <t>Left Behind </t>
  </si>
  <si>
    <t>The Family Stone </t>
  </si>
  <si>
    <t>Barbershop 2: Back in Business </t>
  </si>
  <si>
    <t>Bad Santa </t>
  </si>
  <si>
    <t>Austin Powers: International Man of Mystery </t>
  </si>
  <si>
    <t>My Big Fat Greek Wedding 2 </t>
  </si>
  <si>
    <t>Diary of a Wimpy Kid: Rodrick Rules </t>
  </si>
  <si>
    <t>Predator </t>
  </si>
  <si>
    <t>Amadeus </t>
  </si>
  <si>
    <t>Prom Night </t>
  </si>
  <si>
    <t>Mean Girls </t>
  </si>
  <si>
    <t>Under the Tuscan Sun </t>
  </si>
  <si>
    <t>Gosford Park </t>
  </si>
  <si>
    <t>Peggy Sue Got Married </t>
  </si>
  <si>
    <t>Birdman or (The Unexpected Virtue of Ignorance) </t>
  </si>
  <si>
    <t>Blue Jasmine </t>
  </si>
  <si>
    <t>United 93 </t>
  </si>
  <si>
    <t>Honey </t>
  </si>
  <si>
    <t>Spy Hard </t>
  </si>
  <si>
    <t>The Fog </t>
  </si>
  <si>
    <t>Soul Surfer </t>
  </si>
  <si>
    <t>Observe and Report </t>
  </si>
  <si>
    <t>Conan the Destroyer </t>
  </si>
  <si>
    <t>Raging Bull </t>
  </si>
  <si>
    <t>Love Happens </t>
  </si>
  <si>
    <t>Young Sherlock Holmes </t>
  </si>
  <si>
    <t>Fame </t>
  </si>
  <si>
    <t>127 Hours </t>
  </si>
  <si>
    <t>Small Time Crooks </t>
  </si>
  <si>
    <t>Center Stage </t>
  </si>
  <si>
    <t>Love the Coopers </t>
  </si>
  <si>
    <t>Catch That Kid </t>
  </si>
  <si>
    <t>Life as a House </t>
  </si>
  <si>
    <t>Steve Jobs </t>
  </si>
  <si>
    <t>I Love You, Beth Cooper </t>
  </si>
  <si>
    <t>Youth in Revolt </t>
  </si>
  <si>
    <t>The Legend of the Lone Ranger </t>
  </si>
  <si>
    <t>The Tailor of Panama </t>
  </si>
  <si>
    <t>Getaway </t>
  </si>
  <si>
    <t>The Ice Storm </t>
  </si>
  <si>
    <t>And So It Goes </t>
  </si>
  <si>
    <t>Troop Beverly Hills </t>
  </si>
  <si>
    <t>Being Julia </t>
  </si>
  <si>
    <t>9½ Weeks </t>
  </si>
  <si>
    <t>Dragonslayer </t>
  </si>
  <si>
    <t>The Last Station </t>
  </si>
  <si>
    <t>Ed Wood </t>
  </si>
  <si>
    <t>Labor Day </t>
  </si>
  <si>
    <t>Mongol: The Rise of Genghis Khan </t>
  </si>
  <si>
    <t>Mongolian</t>
  </si>
  <si>
    <t>RocknRolla </t>
  </si>
  <si>
    <t>Megaforce </t>
  </si>
  <si>
    <t>Hamlet </t>
  </si>
  <si>
    <t>Midnight Special </t>
  </si>
  <si>
    <t>Greece</t>
  </si>
  <si>
    <t>Anything Else </t>
  </si>
  <si>
    <t>The Railway Man </t>
  </si>
  <si>
    <t>The White Ribbon </t>
  </si>
  <si>
    <t>The Wraith </t>
  </si>
  <si>
    <t>The Salton Sea </t>
  </si>
  <si>
    <t>One Man's Hero </t>
  </si>
  <si>
    <t>Renaissance </t>
  </si>
  <si>
    <t>Superbad </t>
  </si>
  <si>
    <t>Step Up 2: The Streets </t>
  </si>
  <si>
    <t>Hoodwinked! </t>
  </si>
  <si>
    <t>Hotel Rwanda </t>
  </si>
  <si>
    <t>Hitman </t>
  </si>
  <si>
    <t>Black Nativity </t>
  </si>
  <si>
    <t>City of Ghosts </t>
  </si>
  <si>
    <t>The Others </t>
  </si>
  <si>
    <t>Aliens </t>
  </si>
  <si>
    <t>My Fair Lady </t>
  </si>
  <si>
    <t>I Know What You Did Last Summer </t>
  </si>
  <si>
    <t>Let's Be Cops </t>
  </si>
  <si>
    <t>Sideways </t>
  </si>
  <si>
    <t>Beerfest </t>
  </si>
  <si>
    <t>Halloween </t>
  </si>
  <si>
    <t>Good Boy! </t>
  </si>
  <si>
    <t>The Best Man Holiday </t>
  </si>
  <si>
    <t>Smokin' Aces </t>
  </si>
  <si>
    <t>Saw 3D: The Final Chapter </t>
  </si>
  <si>
    <t>40 Days and 40 Nights </t>
  </si>
  <si>
    <t>A Night at the Roxbury </t>
  </si>
  <si>
    <t>Beastly </t>
  </si>
  <si>
    <t>The Hills Have Eyes </t>
  </si>
  <si>
    <t>Dickie Roberts: Former Child Star </t>
  </si>
  <si>
    <t>McFarland, USA </t>
  </si>
  <si>
    <t>Pitch Perfect </t>
  </si>
  <si>
    <t>Summer Catch </t>
  </si>
  <si>
    <t>A Simple Plan </t>
  </si>
  <si>
    <t>They </t>
  </si>
  <si>
    <t>Larry the Cable Guy: Health Inspector </t>
  </si>
  <si>
    <t>The Adventures of Elmo in Grouchland </t>
  </si>
  <si>
    <t>Brooklyn's Finest </t>
  </si>
  <si>
    <t>Evil Dead </t>
  </si>
  <si>
    <t>My Life in Ruins </t>
  </si>
  <si>
    <t>American Dreamz </t>
  </si>
  <si>
    <t>Superman IV: The Quest for Peace </t>
  </si>
  <si>
    <t>Running Scared </t>
  </si>
  <si>
    <t>Shanghai Surprise </t>
  </si>
  <si>
    <t>The Illusionist </t>
  </si>
  <si>
    <t>Roar </t>
  </si>
  <si>
    <t>Veronica Guerin </t>
  </si>
  <si>
    <t>Southland Tales </t>
  </si>
  <si>
    <t>The Apparition </t>
  </si>
  <si>
    <t>My Girl </t>
  </si>
  <si>
    <t>Fur: An Imaginary Portrait of Diane Arbus </t>
  </si>
  <si>
    <t>Wall Street </t>
  </si>
  <si>
    <t>Sense and Sensibility </t>
  </si>
  <si>
    <t>Becoming Jane </t>
  </si>
  <si>
    <t>Sydney White </t>
  </si>
  <si>
    <t>House of Sand and Fog </t>
  </si>
  <si>
    <t>Dead Poets Society </t>
  </si>
  <si>
    <t>Dumb &amp; Dumber </t>
  </si>
  <si>
    <t>When Harry Met Sally... </t>
  </si>
  <si>
    <t>The Verdict </t>
  </si>
  <si>
    <t>Road Trip </t>
  </si>
  <si>
    <t>Varsity Blues </t>
  </si>
  <si>
    <t>The Artist </t>
  </si>
  <si>
    <t>The Unborn </t>
  </si>
  <si>
    <t>Moonrise Kingdom </t>
  </si>
  <si>
    <t>The Texas Chainsaw Massacre: The Beginning </t>
  </si>
  <si>
    <t>The Young Messiah </t>
  </si>
  <si>
    <t>The Master of Disguise </t>
  </si>
  <si>
    <t>Pan's Labyrinth </t>
  </si>
  <si>
    <t>See Spot Run </t>
  </si>
  <si>
    <t>Baby Boy </t>
  </si>
  <si>
    <t>The Roommate </t>
  </si>
  <si>
    <t>Joe Dirt </t>
  </si>
  <si>
    <t>Double Impact </t>
  </si>
  <si>
    <t>Hot Fuzz </t>
  </si>
  <si>
    <t>The Women </t>
  </si>
  <si>
    <t>Vicky Cristina Barcelona </t>
  </si>
  <si>
    <t>Swedish</t>
  </si>
  <si>
    <t>Sweden</t>
  </si>
  <si>
    <t>Boys and Girls </t>
  </si>
  <si>
    <t>White Oleander </t>
  </si>
  <si>
    <t>Jennifer's Body </t>
  </si>
  <si>
    <t>Drowning Mona </t>
  </si>
  <si>
    <t>Radio Days </t>
  </si>
  <si>
    <t>Remember Me </t>
  </si>
  <si>
    <t>How to Deal </t>
  </si>
  <si>
    <t>My Stepmother Is an Alien </t>
  </si>
  <si>
    <t>Philadelphia </t>
  </si>
  <si>
    <t>The Thirteenth Floor </t>
  </si>
  <si>
    <t>Duets </t>
  </si>
  <si>
    <t>Hollywood Ending </t>
  </si>
  <si>
    <t>Detroit Rock City </t>
  </si>
  <si>
    <t>Highlander </t>
  </si>
  <si>
    <t>Things We Lost in the Fire </t>
  </si>
  <si>
    <t>Steel </t>
  </si>
  <si>
    <t>The Immigrant </t>
  </si>
  <si>
    <t>The White Countess </t>
  </si>
  <si>
    <t>Trance </t>
  </si>
  <si>
    <t>Soul Plane </t>
  </si>
  <si>
    <t>Good </t>
  </si>
  <si>
    <t>Enter the Void </t>
  </si>
  <si>
    <t>Vamps </t>
  </si>
  <si>
    <t>The Homesman </t>
  </si>
  <si>
    <t>Juwanna Mann </t>
  </si>
  <si>
    <t>Norway</t>
  </si>
  <si>
    <t>Slow Burn </t>
  </si>
  <si>
    <t>Wasabi </t>
  </si>
  <si>
    <t>Slither </t>
  </si>
  <si>
    <t>Beverly Hills Cop </t>
  </si>
  <si>
    <t>Home Alone </t>
  </si>
  <si>
    <t>3 Men and a Baby </t>
  </si>
  <si>
    <t>Tootsie </t>
  </si>
  <si>
    <t>Top Gun </t>
  </si>
  <si>
    <t>Crouching Tiger, Hidden Dragon </t>
  </si>
  <si>
    <t>Taiwan</t>
  </si>
  <si>
    <t>American Beauty </t>
  </si>
  <si>
    <t>The King's Speech </t>
  </si>
  <si>
    <t>Twins </t>
  </si>
  <si>
    <t>The Yellow Handkerchief </t>
  </si>
  <si>
    <t>The Color Purple </t>
  </si>
  <si>
    <t>Korean</t>
  </si>
  <si>
    <t>The Imitation Game </t>
  </si>
  <si>
    <t>Private Benjamin </t>
  </si>
  <si>
    <t>Diary of a Wimpy Kid </t>
  </si>
  <si>
    <t>Mama </t>
  </si>
  <si>
    <t>National Lampoon's Vacation </t>
  </si>
  <si>
    <t>Bad Grandpa </t>
  </si>
  <si>
    <t>The Queen </t>
  </si>
  <si>
    <t>Beetlejuice </t>
  </si>
  <si>
    <t>Why Did I Get Married? </t>
  </si>
  <si>
    <t>Little Women </t>
  </si>
  <si>
    <t>The Woman in Black </t>
  </si>
  <si>
    <t>When a Stranger Calls </t>
  </si>
  <si>
    <t>Big Fat Liar </t>
  </si>
  <si>
    <t>Wag the Dog </t>
  </si>
  <si>
    <t>The Lizzie McGuire Movie </t>
  </si>
  <si>
    <t>Snitch </t>
  </si>
  <si>
    <t>Krampus </t>
  </si>
  <si>
    <t>The Faculty </t>
  </si>
  <si>
    <t>Cop Land </t>
  </si>
  <si>
    <t>Not Another Teen Movie </t>
  </si>
  <si>
    <t>End of Watch </t>
  </si>
  <si>
    <t>The Skulls </t>
  </si>
  <si>
    <t>The Theory of Everything </t>
  </si>
  <si>
    <t>Malibu's Most Wanted </t>
  </si>
  <si>
    <t>Where the Heart Is </t>
  </si>
  <si>
    <t>Lawrence of Arabia </t>
  </si>
  <si>
    <t>Halloween II </t>
  </si>
  <si>
    <t>Wild </t>
  </si>
  <si>
    <t>The Last House on the Left </t>
  </si>
  <si>
    <t>The Wedding Date </t>
  </si>
  <si>
    <t>Halloween: Resurrection </t>
  </si>
  <si>
    <t>The Princess Bride </t>
  </si>
  <si>
    <t>The Great Debaters </t>
  </si>
  <si>
    <t>Drive </t>
  </si>
  <si>
    <t>Confessions of a Teenage Drama Queen </t>
  </si>
  <si>
    <t>The Object of My Affection </t>
  </si>
  <si>
    <t>28 Weeks Later </t>
  </si>
  <si>
    <t>When the Game Stands Tall </t>
  </si>
  <si>
    <t>Because of Winn-Dixie </t>
  </si>
  <si>
    <t>Love &amp; Basketball </t>
  </si>
  <si>
    <t>Grosse Pointe Blank </t>
  </si>
  <si>
    <t>All About Steve </t>
  </si>
  <si>
    <t>Book of Shadows: Blair Witch 2 </t>
  </si>
  <si>
    <t>The Craft </t>
  </si>
  <si>
    <t>Match Point </t>
  </si>
  <si>
    <t>Ramona and Beezus </t>
  </si>
  <si>
    <t>The Remains of the Day </t>
  </si>
  <si>
    <t>Boogie Nights </t>
  </si>
  <si>
    <t>Nowhere to Run </t>
  </si>
  <si>
    <t>Flicka </t>
  </si>
  <si>
    <t>The Hills Have Eyes II </t>
  </si>
  <si>
    <t>Urban Legends: Final Cut </t>
  </si>
  <si>
    <t>Tuck Everlasting </t>
  </si>
  <si>
    <t>The Marine </t>
  </si>
  <si>
    <t>Keanu </t>
  </si>
  <si>
    <t>Disturbing Behavior </t>
  </si>
  <si>
    <t>The Place Beyond the Pines </t>
  </si>
  <si>
    <t>The November Man </t>
  </si>
  <si>
    <t>Eye of the Beholder </t>
  </si>
  <si>
    <t>The Hurt Locker </t>
  </si>
  <si>
    <t>Firestarter </t>
  </si>
  <si>
    <t>Killing Them Softly </t>
  </si>
  <si>
    <t>A Most Wanted Man </t>
  </si>
  <si>
    <t>Freddy Got Fingered </t>
  </si>
  <si>
    <t>The Pirates Who Don't Do Anything: A VeggieTales Movie </t>
  </si>
  <si>
    <t>Highlander: Endgame </t>
  </si>
  <si>
    <t>Idlewild </t>
  </si>
  <si>
    <t>One Day </t>
  </si>
  <si>
    <t>Whip It </t>
  </si>
  <si>
    <t>Confidence </t>
  </si>
  <si>
    <t>The Muse </t>
  </si>
  <si>
    <t>De-Lovely </t>
  </si>
  <si>
    <t>New York Stories </t>
  </si>
  <si>
    <t>Barney's Great Adventure </t>
  </si>
  <si>
    <t>The Man with the Iron Fists </t>
  </si>
  <si>
    <t>Home Fries </t>
  </si>
  <si>
    <t>Here on Earth </t>
  </si>
  <si>
    <t>Brazil </t>
  </si>
  <si>
    <t>Raise Your Voice </t>
  </si>
  <si>
    <t>The Big Lebowski </t>
  </si>
  <si>
    <t>Black Snake Moan </t>
  </si>
  <si>
    <t>Dark Blue </t>
  </si>
  <si>
    <t>A Mighty Heart </t>
  </si>
  <si>
    <t>Whatever It Takes </t>
  </si>
  <si>
    <t>Boat Trip </t>
  </si>
  <si>
    <t>The Importance of Being Earnest </t>
  </si>
  <si>
    <t>Hoot </t>
  </si>
  <si>
    <t>In Bruges </t>
  </si>
  <si>
    <t>Peeples </t>
  </si>
  <si>
    <t>The Rocker </t>
  </si>
  <si>
    <t>Post Grad </t>
  </si>
  <si>
    <t>Promised Land </t>
  </si>
  <si>
    <t>Whatever Works </t>
  </si>
  <si>
    <t>The In Crowd </t>
  </si>
  <si>
    <t>Three Burials </t>
  </si>
  <si>
    <t>Jakob the Liar </t>
  </si>
  <si>
    <t>Kiss Kiss Bang Bang </t>
  </si>
  <si>
    <t>Idle Hands </t>
  </si>
  <si>
    <t>Mulholland Drive </t>
  </si>
  <si>
    <t>You Will Meet a Tall Dark Stranger </t>
  </si>
  <si>
    <t>Never Let Me Go </t>
  </si>
  <si>
    <t>Transsiberian </t>
  </si>
  <si>
    <t>The Clan of the Cave Bear </t>
  </si>
  <si>
    <t>Crazy in Alabama </t>
  </si>
  <si>
    <t>Funny Games </t>
  </si>
  <si>
    <t>Metropolis </t>
  </si>
  <si>
    <t>District B13 </t>
  </si>
  <si>
    <t>Things to Do in Denver When You're Dead </t>
  </si>
  <si>
    <t>The Assassin </t>
  </si>
  <si>
    <t>Buffalo Soldiers </t>
  </si>
  <si>
    <t>Ong-bak 2 </t>
  </si>
  <si>
    <t>Thai</t>
  </si>
  <si>
    <t>Thailand</t>
  </si>
  <si>
    <t>The Midnight Meat Train </t>
  </si>
  <si>
    <t>The Son of No One </t>
  </si>
  <si>
    <t>All the Queen's Men </t>
  </si>
  <si>
    <t>The Good Night </t>
  </si>
  <si>
    <t>Groundhog Day </t>
  </si>
  <si>
    <t>Magic Mike XXL </t>
  </si>
  <si>
    <t>Romeo + Juliet </t>
  </si>
  <si>
    <t>Sarah's Key </t>
  </si>
  <si>
    <t>Unforgiven </t>
  </si>
  <si>
    <t>Manderlay </t>
  </si>
  <si>
    <t>Slumdog Millionaire </t>
  </si>
  <si>
    <t>Fatal Attraction </t>
  </si>
  <si>
    <t>Pretty Woman </t>
  </si>
  <si>
    <t>Crocodile Dundee II </t>
  </si>
  <si>
    <t>Born on the Fourth of July </t>
  </si>
  <si>
    <t>Cool Runnings </t>
  </si>
  <si>
    <t>My Bloody Valentine </t>
  </si>
  <si>
    <t>Stomp the Yard </t>
  </si>
  <si>
    <t>The Spy Who Loved Me </t>
  </si>
  <si>
    <t>Urban Legend </t>
  </si>
  <si>
    <t>White Fang </t>
  </si>
  <si>
    <t>Superstar </t>
  </si>
  <si>
    <t>The Iron Lady </t>
  </si>
  <si>
    <t>Jonah: A VeggieTales Movie </t>
  </si>
  <si>
    <t>Poetic Justice </t>
  </si>
  <si>
    <t>All About the Benjamins </t>
  </si>
  <si>
    <t>Vampire in Brooklyn </t>
  </si>
  <si>
    <t>An American Haunting </t>
  </si>
  <si>
    <t>My Boss's Daughter </t>
  </si>
  <si>
    <t>A Perfect Getaway </t>
  </si>
  <si>
    <t>Our Family Wedding </t>
  </si>
  <si>
    <t>Dead Man on Campus </t>
  </si>
  <si>
    <t>Tea with Mussolini </t>
  </si>
  <si>
    <t>Thinner </t>
  </si>
  <si>
    <t>Crooklyn </t>
  </si>
  <si>
    <t>Jason X </t>
  </si>
  <si>
    <t>Bobby </t>
  </si>
  <si>
    <t>Head Over Heels </t>
  </si>
  <si>
    <t>Fun Size </t>
  </si>
  <si>
    <t>Little Children </t>
  </si>
  <si>
    <t>Gossip </t>
  </si>
  <si>
    <t>A Walk on the Moon </t>
  </si>
  <si>
    <t>Catch a Fire </t>
  </si>
  <si>
    <t>Soul Survivors </t>
  </si>
  <si>
    <t>Jefferson in Paris </t>
  </si>
  <si>
    <t>Caravans </t>
  </si>
  <si>
    <t>Iran</t>
  </si>
  <si>
    <t>Mr. Turner </t>
  </si>
  <si>
    <t>Amen. </t>
  </si>
  <si>
    <t>The Lucky Ones </t>
  </si>
  <si>
    <t>Margaret </t>
  </si>
  <si>
    <t>Flipped </t>
  </si>
  <si>
    <t>Brokeback Mountain </t>
  </si>
  <si>
    <t>Clueless </t>
  </si>
  <si>
    <t>Far from Heaven </t>
  </si>
  <si>
    <t>Hot Tub Time Machine 2 </t>
  </si>
  <si>
    <t>Poland</t>
  </si>
  <si>
    <t>Quills </t>
  </si>
  <si>
    <t>Seven Psychopaths </t>
  </si>
  <si>
    <t>Downfall </t>
  </si>
  <si>
    <t>The Sea Inside </t>
  </si>
  <si>
    <t>Good Morning, Vietnam </t>
  </si>
  <si>
    <t>The Last Godfather </t>
  </si>
  <si>
    <t>Justin Bieber: Never Say Never </t>
  </si>
  <si>
    <t>Black Swan </t>
  </si>
  <si>
    <t>The Godfather: Part II </t>
  </si>
  <si>
    <t>Save the Last Dance </t>
  </si>
  <si>
    <t>A Nightmare on Elm Street 4: The Dream Master </t>
  </si>
  <si>
    <t>Miracles from Heaven </t>
  </si>
  <si>
    <t>Dude, Where's My Car? </t>
  </si>
  <si>
    <t>Young Guns </t>
  </si>
  <si>
    <t>St. Vincent </t>
  </si>
  <si>
    <t>About Last Night </t>
  </si>
  <si>
    <t>10 Things I Hate About You </t>
  </si>
  <si>
    <t>The New Guy </t>
  </si>
  <si>
    <t>Loaded Weapon 1 </t>
  </si>
  <si>
    <t>The Shallows </t>
  </si>
  <si>
    <t>The Butterfly Effect </t>
  </si>
  <si>
    <t>Snow Day </t>
  </si>
  <si>
    <t>This Christmas </t>
  </si>
  <si>
    <t>Baby Geniuses </t>
  </si>
  <si>
    <t>The Big Hit </t>
  </si>
  <si>
    <t>Harriet the Spy </t>
  </si>
  <si>
    <t>Child's Play 2 </t>
  </si>
  <si>
    <t>No Good Deed </t>
  </si>
  <si>
    <t>The Mist </t>
  </si>
  <si>
    <t>Ex Machina </t>
  </si>
  <si>
    <t>Being John Malkovich </t>
  </si>
  <si>
    <t>Two Can Play That Game </t>
  </si>
  <si>
    <t>Earth to Echo </t>
  </si>
  <si>
    <t>Crazy/Beautiful </t>
  </si>
  <si>
    <t>Letters from Iwo Jima </t>
  </si>
  <si>
    <t>The Astronaut Farmer </t>
  </si>
  <si>
    <t>Room </t>
  </si>
  <si>
    <t>Dirty Work </t>
  </si>
  <si>
    <t>Serial Mom </t>
  </si>
  <si>
    <t>Dick </t>
  </si>
  <si>
    <t>Light It Up </t>
  </si>
  <si>
    <t>54 </t>
  </si>
  <si>
    <t>Bubble Boy </t>
  </si>
  <si>
    <t>Birthday Girl </t>
  </si>
  <si>
    <t>21 &amp; Over </t>
  </si>
  <si>
    <t>Paris, je t'aime </t>
  </si>
  <si>
    <t>Resurrecting the Champ </t>
  </si>
  <si>
    <t>Admission </t>
  </si>
  <si>
    <t>The Widow of Saint-Pierre </t>
  </si>
  <si>
    <t>Chloe </t>
  </si>
  <si>
    <t>Faithful </t>
  </si>
  <si>
    <t>Find Me Guilty </t>
  </si>
  <si>
    <t>The Perks of Being a Wallflower </t>
  </si>
  <si>
    <t>Excessive Force </t>
  </si>
  <si>
    <t>Infamous </t>
  </si>
  <si>
    <t>The Claim </t>
  </si>
  <si>
    <t>The Vatican Tapes </t>
  </si>
  <si>
    <t>Attack the Block </t>
  </si>
  <si>
    <t>In the Land of Blood and Honey </t>
  </si>
  <si>
    <t>Bosnian</t>
  </si>
  <si>
    <t>The Call </t>
  </si>
  <si>
    <t>The Crocodile Hunter: Collision Course </t>
  </si>
  <si>
    <t>I Love You Phillip Morris </t>
  </si>
  <si>
    <t>None</t>
  </si>
  <si>
    <t>Antwone Fisher </t>
  </si>
  <si>
    <t>The Emperor's Club </t>
  </si>
  <si>
    <t>True Romance </t>
  </si>
  <si>
    <t>Glengarry Glen Ross </t>
  </si>
  <si>
    <t>The Killer Inside Me </t>
  </si>
  <si>
    <t>Sorority Row </t>
  </si>
  <si>
    <t>Lars and the Real Girl </t>
  </si>
  <si>
    <t>The Boy in the Striped Pajamas </t>
  </si>
  <si>
    <t>Dancer in the Dark </t>
  </si>
  <si>
    <t>Oscar and Lucinda </t>
  </si>
  <si>
    <t>The Funeral </t>
  </si>
  <si>
    <t>Solitary Man </t>
  </si>
  <si>
    <t>Machete </t>
  </si>
  <si>
    <t>Casino Jack </t>
  </si>
  <si>
    <t>The Land Before Time </t>
  </si>
  <si>
    <t>Tae Guk Gi: The Brotherhood of War </t>
  </si>
  <si>
    <t>The Perfect Game </t>
  </si>
  <si>
    <t>The Exorcist </t>
  </si>
  <si>
    <t>Jaws </t>
  </si>
  <si>
    <t>American Pie </t>
  </si>
  <si>
    <t>Ernest &amp; Celestine </t>
  </si>
  <si>
    <t>The Golden Child </t>
  </si>
  <si>
    <t>Think Like a Man </t>
  </si>
  <si>
    <t>Barbershop </t>
  </si>
  <si>
    <t>Star Trek II: The Wrath of Khan </t>
  </si>
  <si>
    <t>Ace Ventura: Pet Detective </t>
  </si>
  <si>
    <t>WarGames </t>
  </si>
  <si>
    <t>Witness </t>
  </si>
  <si>
    <t>Act of Valor </t>
  </si>
  <si>
    <t>Step Up </t>
  </si>
  <si>
    <t>Beavis and Butt-Head Do America </t>
  </si>
  <si>
    <t>Jackie Brown </t>
  </si>
  <si>
    <t>Harold &amp; Kumar Escape from Guantanamo Bay </t>
  </si>
  <si>
    <t>Chronicle </t>
  </si>
  <si>
    <t>Yentl </t>
  </si>
  <si>
    <t>Time Bandits </t>
  </si>
  <si>
    <t>Crossroads </t>
  </si>
  <si>
    <t>Project X </t>
  </si>
  <si>
    <t>One Hour Photo </t>
  </si>
  <si>
    <t>Quarantine </t>
  </si>
  <si>
    <t>The Eye </t>
  </si>
  <si>
    <t>Johnson Family Vacation </t>
  </si>
  <si>
    <t>How High </t>
  </si>
  <si>
    <t>The Muppet Christmas Carol </t>
  </si>
  <si>
    <t>Frida </t>
  </si>
  <si>
    <t>Katy Perry: Part of Me </t>
  </si>
  <si>
    <t>The Fault in Our Stars </t>
  </si>
  <si>
    <t>Rounders </t>
  </si>
  <si>
    <t>Top Five </t>
  </si>
  <si>
    <t>Stir of Echoes </t>
  </si>
  <si>
    <t>Philomena </t>
  </si>
  <si>
    <t>The Upside of Anger </t>
  </si>
  <si>
    <t>Aquamarine </t>
  </si>
  <si>
    <t>Paper Towns </t>
  </si>
  <si>
    <t>Nebraska </t>
  </si>
  <si>
    <t>Tales from the Crypt: Demon Knight </t>
  </si>
  <si>
    <t>Max Keeble's Big Move </t>
  </si>
  <si>
    <t>Young Adult </t>
  </si>
  <si>
    <t>Crank </t>
  </si>
  <si>
    <t>Living Out Loud </t>
  </si>
  <si>
    <t>Das Boot </t>
  </si>
  <si>
    <t>Sorority Boys </t>
  </si>
  <si>
    <t>About Time </t>
  </si>
  <si>
    <t>House of Flying Daggers </t>
  </si>
  <si>
    <t>Arbitrage </t>
  </si>
  <si>
    <t>Project Almanac </t>
  </si>
  <si>
    <t>Cadillac Records </t>
  </si>
  <si>
    <t>Screwed </t>
  </si>
  <si>
    <t>Fortress </t>
  </si>
  <si>
    <t>For Your Consideration </t>
  </si>
  <si>
    <t>Celebrity </t>
  </si>
  <si>
    <t>Running with Scissors </t>
  </si>
  <si>
    <t>From Justin to Kelly </t>
  </si>
  <si>
    <t>Girl 6 </t>
  </si>
  <si>
    <t>In the Cut </t>
  </si>
  <si>
    <t>Two Lovers </t>
  </si>
  <si>
    <t>Last Orders </t>
  </si>
  <si>
    <t>Ravenous </t>
  </si>
  <si>
    <t>Charlie Bartlett </t>
  </si>
  <si>
    <t>The Great Beauty </t>
  </si>
  <si>
    <t>The Dangerous Lives of Altar Boys </t>
  </si>
  <si>
    <t>Stoker </t>
  </si>
  <si>
    <t>2046 </t>
  </si>
  <si>
    <t>Married Life </t>
  </si>
  <si>
    <t>Duma </t>
  </si>
  <si>
    <t>Ondine </t>
  </si>
  <si>
    <t>Brother </t>
  </si>
  <si>
    <t>Welcome to Collinwood </t>
  </si>
  <si>
    <t>Critical Care </t>
  </si>
  <si>
    <t>The Life Before Her Eyes </t>
  </si>
  <si>
    <t>Trade </t>
  </si>
  <si>
    <t>Fateless </t>
  </si>
  <si>
    <t>Hungarian</t>
  </si>
  <si>
    <t>Breakfast of Champions </t>
  </si>
  <si>
    <t>City of Life and Death </t>
  </si>
  <si>
    <t>5 Days of War </t>
  </si>
  <si>
    <t>Georgia</t>
  </si>
  <si>
    <t>10 Days in a Madhouse </t>
  </si>
  <si>
    <t>Heaven Is for Real </t>
  </si>
  <si>
    <t>Snatch </t>
  </si>
  <si>
    <t>Pet Sematary </t>
  </si>
  <si>
    <t>Madadayo </t>
  </si>
  <si>
    <t>Gremlins </t>
  </si>
  <si>
    <t>Star Wars: Episode IV - A New Hope </t>
  </si>
  <si>
    <t>Dirty Grandpa </t>
  </si>
  <si>
    <t>Doctor Zhivago </t>
  </si>
  <si>
    <t>Portuguese</t>
  </si>
  <si>
    <t>High School Musical 3: Senior Year </t>
  </si>
  <si>
    <t>The Fighter </t>
  </si>
  <si>
    <t>My Cousin Vinny </t>
  </si>
  <si>
    <t>If I Stay </t>
  </si>
  <si>
    <t>Major League </t>
  </si>
  <si>
    <t>Phone Booth </t>
  </si>
  <si>
    <t>A Walk to Remember </t>
  </si>
  <si>
    <t>Dead Man Walking </t>
  </si>
  <si>
    <t>Cruel Intentions </t>
  </si>
  <si>
    <t>Saw VI </t>
  </si>
  <si>
    <t>The Secret Life of Bees </t>
  </si>
  <si>
    <t>Corky Romano </t>
  </si>
  <si>
    <t>Raising Cain </t>
  </si>
  <si>
    <t>Invaders from Mars </t>
  </si>
  <si>
    <t>Brooklyn </t>
  </si>
  <si>
    <t>Out Cold </t>
  </si>
  <si>
    <t>The Ladies Man </t>
  </si>
  <si>
    <t>Quartet </t>
  </si>
  <si>
    <t>Tomcats </t>
  </si>
  <si>
    <t>Frailty </t>
  </si>
  <si>
    <t>Woman in Gold </t>
  </si>
  <si>
    <t>Kinsey </t>
  </si>
  <si>
    <t>Army of Darkness </t>
  </si>
  <si>
    <t>Slackers </t>
  </si>
  <si>
    <t>What's Eating Gilbert Grape </t>
  </si>
  <si>
    <t>The Visual Bible: The Gospel of John </t>
  </si>
  <si>
    <t>Vera Drake </t>
  </si>
  <si>
    <t>The Guru </t>
  </si>
  <si>
    <t>The Perez Family </t>
  </si>
  <si>
    <t>Inside Llewyn Davis </t>
  </si>
  <si>
    <t>O </t>
  </si>
  <si>
    <t>Return to the Blue Lagoon </t>
  </si>
  <si>
    <t>Copying Beethoven </t>
  </si>
  <si>
    <t>Saw V </t>
  </si>
  <si>
    <t>Jindabyne </t>
  </si>
  <si>
    <t>Kabhi Alvida Naa Kehna </t>
  </si>
  <si>
    <t>An Ideal Husband </t>
  </si>
  <si>
    <t>The Last Days on Mars </t>
  </si>
  <si>
    <t>Darkness </t>
  </si>
  <si>
    <t>2001: A Space Odyssey </t>
  </si>
  <si>
    <t>E.T. the Extra-Terrestrial </t>
  </si>
  <si>
    <t>In the Land of Women </t>
  </si>
  <si>
    <t>For Greater Glory: The True Story of Cristiada </t>
  </si>
  <si>
    <t>Good Will Hunting </t>
  </si>
  <si>
    <t>Saw III </t>
  </si>
  <si>
    <t>Stripes </t>
  </si>
  <si>
    <t>Bring It On </t>
  </si>
  <si>
    <t>The Purge: Election Year </t>
  </si>
  <si>
    <t>She's All That </t>
  </si>
  <si>
    <t>Saw IV </t>
  </si>
  <si>
    <t>White Noise </t>
  </si>
  <si>
    <t>Madea's Family Reunion </t>
  </si>
  <si>
    <t>The Color of Money </t>
  </si>
  <si>
    <t>The Mighty Ducks </t>
  </si>
  <si>
    <t>The Grudge </t>
  </si>
  <si>
    <t>Happy Gilmore </t>
  </si>
  <si>
    <t>Jeepers Creepers </t>
  </si>
  <si>
    <t>Bill &amp; Ted's Excellent Adventure </t>
  </si>
  <si>
    <t>Oliver! </t>
  </si>
  <si>
    <t>The Best Exotic Marigold Hotel </t>
  </si>
  <si>
    <t>Recess: School's Out </t>
  </si>
  <si>
    <t>Mad Max Beyond Thunderdome </t>
  </si>
  <si>
    <t>The Boy </t>
  </si>
  <si>
    <t>Devil </t>
  </si>
  <si>
    <t>Friday After Next </t>
  </si>
  <si>
    <t>Insidious: Chapter 3 </t>
  </si>
  <si>
    <t>The Last Dragon </t>
  </si>
  <si>
    <t>The Lawnmower Man </t>
  </si>
  <si>
    <t>Nick and Norah's Infinite Playlist </t>
  </si>
  <si>
    <t>Dogma </t>
  </si>
  <si>
    <t>The Banger Sisters </t>
  </si>
  <si>
    <t>Twilight Zone: The Movie </t>
  </si>
  <si>
    <t>Road House </t>
  </si>
  <si>
    <t>A Low Down Dirty Shame </t>
  </si>
  <si>
    <t>Swimfan </t>
  </si>
  <si>
    <t>Employee of the Month </t>
  </si>
  <si>
    <t>Can't Hardly Wait </t>
  </si>
  <si>
    <t>The Outsiders </t>
  </si>
  <si>
    <t>Sinister 2 </t>
  </si>
  <si>
    <t>Sparkle </t>
  </si>
  <si>
    <t>Valentine </t>
  </si>
  <si>
    <t>The Fourth Kind </t>
  </si>
  <si>
    <t>A Prairie Home Companion </t>
  </si>
  <si>
    <t>Sugar Hill </t>
  </si>
  <si>
    <t>Rushmore </t>
  </si>
  <si>
    <t>Skyline </t>
  </si>
  <si>
    <t>The Second Best Exotic Marigold Hotel </t>
  </si>
  <si>
    <t>Kit Kittredge: An American Girl </t>
  </si>
  <si>
    <t>The Perfect Man </t>
  </si>
  <si>
    <t>Mo' Better Blues </t>
  </si>
  <si>
    <t>Kung Pow: Enter the Fist </t>
  </si>
  <si>
    <t>Tremors </t>
  </si>
  <si>
    <t>Wrong Turn </t>
  </si>
  <si>
    <t>The Corruptor </t>
  </si>
  <si>
    <t>Mud </t>
  </si>
  <si>
    <t>Reno 911!: Miami </t>
  </si>
  <si>
    <t>One Direction: This Is Us </t>
  </si>
  <si>
    <t>Hey Arnold! The Movie </t>
  </si>
  <si>
    <t>My Week with Marilyn </t>
  </si>
  <si>
    <t>The Matador </t>
  </si>
  <si>
    <t>Love Jones </t>
  </si>
  <si>
    <t>The Gift </t>
  </si>
  <si>
    <t>End of the Spear </t>
  </si>
  <si>
    <t>Get Over It </t>
  </si>
  <si>
    <t>Office Space </t>
  </si>
  <si>
    <t>Drop Dead Gorgeous </t>
  </si>
  <si>
    <t>Big Eyes </t>
  </si>
  <si>
    <t>Very Bad Things </t>
  </si>
  <si>
    <t>Sleepover </t>
  </si>
  <si>
    <t>MacGruber </t>
  </si>
  <si>
    <t>Dirty Pretty Things </t>
  </si>
  <si>
    <t>Movie 43 </t>
  </si>
  <si>
    <t>Over Her Dead Body </t>
  </si>
  <si>
    <t>Seeking a Friend for the End of the World </t>
  </si>
  <si>
    <t>American History X </t>
  </si>
  <si>
    <t>The Collection </t>
  </si>
  <si>
    <t>Teacher's Pet </t>
  </si>
  <si>
    <t>The Red Violin </t>
  </si>
  <si>
    <t>The Straight Story </t>
  </si>
  <si>
    <t>Deuces Wild </t>
  </si>
  <si>
    <t>Bad Words </t>
  </si>
  <si>
    <t>Black or White </t>
  </si>
  <si>
    <t>On the Line </t>
  </si>
  <si>
    <t>Rescue Dawn </t>
  </si>
  <si>
    <t>Jeff, Who Lives at Home </t>
  </si>
  <si>
    <t>I Am Love </t>
  </si>
  <si>
    <t>Atlas Shrugged II: The Strike </t>
  </si>
  <si>
    <t>Romeo Is Bleeding </t>
  </si>
  <si>
    <t>The Limey </t>
  </si>
  <si>
    <t>Crash </t>
  </si>
  <si>
    <t>The House of Mirth </t>
  </si>
  <si>
    <t>Malone </t>
  </si>
  <si>
    <t>Peaceful Warrior </t>
  </si>
  <si>
    <t>Bucky Larson: Born to Be a Star </t>
  </si>
  <si>
    <t>Bamboozled </t>
  </si>
  <si>
    <t>The Forest </t>
  </si>
  <si>
    <t>Sphinx </t>
  </si>
  <si>
    <t>While We're Young </t>
  </si>
  <si>
    <t>A Better Life </t>
  </si>
  <si>
    <t>Spider </t>
  </si>
  <si>
    <t>Gun Shy </t>
  </si>
  <si>
    <t>Nicholas Nickleby </t>
  </si>
  <si>
    <t>The Iceman </t>
  </si>
  <si>
    <t>Cecil B. DeMented </t>
  </si>
  <si>
    <t>Killer Joe </t>
  </si>
  <si>
    <t>The Joneses </t>
  </si>
  <si>
    <t>Owning Mahowny </t>
  </si>
  <si>
    <t>The Brothers Solomon </t>
  </si>
  <si>
    <t>My Blueberry Nights </t>
  </si>
  <si>
    <t>Swept Away </t>
  </si>
  <si>
    <t>War, Inc. </t>
  </si>
  <si>
    <t>Shaolin Soccer </t>
  </si>
  <si>
    <t>The Brown Bunny </t>
  </si>
  <si>
    <t>The Swindle </t>
  </si>
  <si>
    <t>Rosewater </t>
  </si>
  <si>
    <t>Imaginary Heroes </t>
  </si>
  <si>
    <t>High Heels and Low Lifes </t>
  </si>
  <si>
    <t>Severance </t>
  </si>
  <si>
    <t>Edmond </t>
  </si>
  <si>
    <t>Police Academy: Mission to Moscow </t>
  </si>
  <si>
    <t>An Alan Smithee Film: Burn Hollywood Burn </t>
  </si>
  <si>
    <t>The Open Road </t>
  </si>
  <si>
    <t>The Good Guy </t>
  </si>
  <si>
    <t>Motherhood </t>
  </si>
  <si>
    <t>Blonde Ambition </t>
  </si>
  <si>
    <t>The Oxford Murders </t>
  </si>
  <si>
    <t>Eulogy </t>
  </si>
  <si>
    <t>Of Horses and Men </t>
  </si>
  <si>
    <t>The Good, the Bad, the Weird </t>
  </si>
  <si>
    <t>The Lost City </t>
  </si>
  <si>
    <t>Next Friday </t>
  </si>
  <si>
    <t>You Only Live Twice </t>
  </si>
  <si>
    <t>Amour </t>
  </si>
  <si>
    <t>Poltergeist III </t>
  </si>
  <si>
    <t>It's a Mad, Mad, Mad, Mad World </t>
  </si>
  <si>
    <t>Richard III </t>
  </si>
  <si>
    <t>Melancholia </t>
  </si>
  <si>
    <t>Jab Tak Hai Jaan </t>
  </si>
  <si>
    <t>Alien </t>
  </si>
  <si>
    <t>The Texas Chain Saw Massacre </t>
  </si>
  <si>
    <t>The Runaways </t>
  </si>
  <si>
    <t>Fiddler on the Roof </t>
  </si>
  <si>
    <t>Thunderball </t>
  </si>
  <si>
    <t>Set It Off </t>
  </si>
  <si>
    <t>The Best Man </t>
  </si>
  <si>
    <t>Child's Play </t>
  </si>
  <si>
    <t>Sicko </t>
  </si>
  <si>
    <t>The Purge: Anarchy </t>
  </si>
  <si>
    <t>Down to You </t>
  </si>
  <si>
    <t>Harold &amp; Kumar Go to White Castle </t>
  </si>
  <si>
    <t>The Contender </t>
  </si>
  <si>
    <t>Boiler Room </t>
  </si>
  <si>
    <t>Black Christmas </t>
  </si>
  <si>
    <t>Henry V </t>
  </si>
  <si>
    <t>The Way of the Gun </t>
  </si>
  <si>
    <t>Igby Goes Down </t>
  </si>
  <si>
    <t>PCU </t>
  </si>
  <si>
    <t>Gracie </t>
  </si>
  <si>
    <t>Trust the Man </t>
  </si>
  <si>
    <t>Hamlet 2 </t>
  </si>
  <si>
    <t>Glee: The 3D Concert Movie </t>
  </si>
  <si>
    <t>The Legend of Suriyothai </t>
  </si>
  <si>
    <t>Two Evil Eyes </t>
  </si>
  <si>
    <t>All or Nothing </t>
  </si>
  <si>
    <t>Princess Kaiulani </t>
  </si>
  <si>
    <t>Opal Dream </t>
  </si>
  <si>
    <t>Flame and Citron </t>
  </si>
  <si>
    <t>Danish</t>
  </si>
  <si>
    <t>Undiscovered </t>
  </si>
  <si>
    <t>Crocodile Dundee </t>
  </si>
  <si>
    <t>Awake </t>
  </si>
  <si>
    <t>Skin Trade </t>
  </si>
  <si>
    <t>Crazy Heart </t>
  </si>
  <si>
    <t>The Rose </t>
  </si>
  <si>
    <t>Baggage Claim </t>
  </si>
  <si>
    <t>Election </t>
  </si>
  <si>
    <t>The DUFF </t>
  </si>
  <si>
    <t>Glitter </t>
  </si>
  <si>
    <t>Bright Star </t>
  </si>
  <si>
    <t>My Name Is Khan </t>
  </si>
  <si>
    <t>All Is Lost </t>
  </si>
  <si>
    <t>Limbo </t>
  </si>
  <si>
    <t>Repo! The Genetic Opera </t>
  </si>
  <si>
    <t>Arabic</t>
  </si>
  <si>
    <t>Pulp Fiction </t>
  </si>
  <si>
    <t>Nightcrawler </t>
  </si>
  <si>
    <t>Club Dread </t>
  </si>
  <si>
    <t>The Sound of Music </t>
  </si>
  <si>
    <t>Splash </t>
  </si>
  <si>
    <t>Little Miss Sunshine </t>
  </si>
  <si>
    <t>Stand by Me </t>
  </si>
  <si>
    <t>28 Days Later... </t>
  </si>
  <si>
    <t>You Got Served </t>
  </si>
  <si>
    <t>Escape from Alcatraz </t>
  </si>
  <si>
    <t>Brown Sugar </t>
  </si>
  <si>
    <t>A Thin Line Between Love and Hate </t>
  </si>
  <si>
    <t>50/50 </t>
  </si>
  <si>
    <t>Shutter </t>
  </si>
  <si>
    <t>That Awkward Moment </t>
  </si>
  <si>
    <t>Much Ado About Nothing </t>
  </si>
  <si>
    <t>On Her Majesty's Secret Service </t>
  </si>
  <si>
    <t>New Nightmare </t>
  </si>
  <si>
    <t>Drive Me Crazy </t>
  </si>
  <si>
    <t>Half Baked </t>
  </si>
  <si>
    <t>New in Town </t>
  </si>
  <si>
    <t>American Psycho </t>
  </si>
  <si>
    <t>The Good Girl </t>
  </si>
  <si>
    <t>The Boondock Saints II: All Saints Day </t>
  </si>
  <si>
    <t>Enough Said </t>
  </si>
  <si>
    <t>Easy A </t>
  </si>
  <si>
    <t>Shadow of the Vampire </t>
  </si>
  <si>
    <t>Prom </t>
  </si>
  <si>
    <t>Held Up </t>
  </si>
  <si>
    <t>Woman on Top </t>
  </si>
  <si>
    <t>Anomalisa </t>
  </si>
  <si>
    <t>Another Year </t>
  </si>
  <si>
    <t>8 Women </t>
  </si>
  <si>
    <t>Showdown in Little Tokyo </t>
  </si>
  <si>
    <t>Clay Pigeons </t>
  </si>
  <si>
    <t>It's Kind of a Funny Story </t>
  </si>
  <si>
    <t>Made in Dagenham </t>
  </si>
  <si>
    <t>When Did You Last See Your Father? </t>
  </si>
  <si>
    <t>Prefontaine </t>
  </si>
  <si>
    <t>The Secret of Kells </t>
  </si>
  <si>
    <t>Begin Again </t>
  </si>
  <si>
    <t>Down in the Valley </t>
  </si>
  <si>
    <t>Brooklyn Rules </t>
  </si>
  <si>
    <t>The Singing Detective </t>
  </si>
  <si>
    <t>Fido </t>
  </si>
  <si>
    <t>The Wendell Baker Story </t>
  </si>
  <si>
    <t>Wild Target </t>
  </si>
  <si>
    <t>Pathology </t>
  </si>
  <si>
    <t>10th &amp; Wolf </t>
  </si>
  <si>
    <t>Dear Wendy </t>
  </si>
  <si>
    <t>Aloft </t>
  </si>
  <si>
    <t>Akira </t>
  </si>
  <si>
    <t>Imagine Me &amp; You </t>
  </si>
  <si>
    <t>The Blood of Heroes </t>
  </si>
  <si>
    <t>Driving Miss Daisy </t>
  </si>
  <si>
    <t>Soul Food </t>
  </si>
  <si>
    <t>Rumble in the Bronx </t>
  </si>
  <si>
    <t>Thank You for Smoking </t>
  </si>
  <si>
    <t>Hostel: Part II </t>
  </si>
  <si>
    <t>An Education </t>
  </si>
  <si>
    <t>The Hotel New Hampshire </t>
  </si>
  <si>
    <t>Narc </t>
  </si>
  <si>
    <t>Men with Brooms </t>
  </si>
  <si>
    <t>Witless Protection </t>
  </si>
  <si>
    <t>Extract </t>
  </si>
  <si>
    <t>Code 46 </t>
  </si>
  <si>
    <t>Albert Nobbs </t>
  </si>
  <si>
    <t>Persepolis </t>
  </si>
  <si>
    <t>The Neon Demon </t>
  </si>
  <si>
    <t>Harry Brown </t>
  </si>
  <si>
    <t>The Omega Code </t>
  </si>
  <si>
    <t>Juno </t>
  </si>
  <si>
    <t>Diamonds Are Forever </t>
  </si>
  <si>
    <t>The Godfather </t>
  </si>
  <si>
    <t>Flashdance </t>
  </si>
  <si>
    <t>500 Days of Summer </t>
  </si>
  <si>
    <t>The Piano </t>
  </si>
  <si>
    <t>Magic Mike </t>
  </si>
  <si>
    <t>Darkness Falls </t>
  </si>
  <si>
    <t>Live and Let Die </t>
  </si>
  <si>
    <t>My Dog Skip </t>
  </si>
  <si>
    <t>Jumping the Broom </t>
  </si>
  <si>
    <t>Good Night, and Good Luck. </t>
  </si>
  <si>
    <t>Capote </t>
  </si>
  <si>
    <t>Desperado </t>
  </si>
  <si>
    <t>Logan's Run </t>
  </si>
  <si>
    <t>The Man with the Golden Gun </t>
  </si>
  <si>
    <t>Action Jackson </t>
  </si>
  <si>
    <t>The Descent </t>
  </si>
  <si>
    <t>Devil's Due </t>
  </si>
  <si>
    <t>Flirting with Disaster </t>
  </si>
  <si>
    <t>The Devil's Rejects </t>
  </si>
  <si>
    <t>Dope </t>
  </si>
  <si>
    <t>In Too Deep </t>
  </si>
  <si>
    <t>House of 1000 Corpses </t>
  </si>
  <si>
    <t>A Serious Man </t>
  </si>
  <si>
    <t>Get Low </t>
  </si>
  <si>
    <t>Warlock </t>
  </si>
  <si>
    <t>A Single Man </t>
  </si>
  <si>
    <t>The Last Temptation of Christ </t>
  </si>
  <si>
    <t>Outside Providence </t>
  </si>
  <si>
    <t>Bride &amp; Prejudice </t>
  </si>
  <si>
    <t>Rabbit-Proof Fence </t>
  </si>
  <si>
    <t>Who's Your Caddy? </t>
  </si>
  <si>
    <t>Split Second </t>
  </si>
  <si>
    <t>The Other Side of Heaven </t>
  </si>
  <si>
    <t>Veer-Zaara </t>
  </si>
  <si>
    <t>Redbelt </t>
  </si>
  <si>
    <t>Cyrus </t>
  </si>
  <si>
    <t>A Dog of Flanders </t>
  </si>
  <si>
    <t>Auto Focus </t>
  </si>
  <si>
    <t>Factory Girl </t>
  </si>
  <si>
    <t>We Need to Talk About Kevin </t>
  </si>
  <si>
    <t>The Mighty Macs </t>
  </si>
  <si>
    <t>Mother and Child </t>
  </si>
  <si>
    <t>March or Die </t>
  </si>
  <si>
    <t>Les visiteurs </t>
  </si>
  <si>
    <t>Somewhere </t>
  </si>
  <si>
    <t>Chairman of the Board </t>
  </si>
  <si>
    <t>Hesher </t>
  </si>
  <si>
    <t>Gerry </t>
  </si>
  <si>
    <t>The Heart of Me </t>
  </si>
  <si>
    <t>Freeheld </t>
  </si>
  <si>
    <t>The Extra Man </t>
  </si>
  <si>
    <t>Ca$h </t>
  </si>
  <si>
    <t>Wah-Wah </t>
  </si>
  <si>
    <t>Pale Rider </t>
  </si>
  <si>
    <t>Dazed and Confused </t>
  </si>
  <si>
    <t>Aimee &amp; Jaguar </t>
  </si>
  <si>
    <t>The Chumscrubber </t>
  </si>
  <si>
    <t>Shade </t>
  </si>
  <si>
    <t>House at the End of the Street </t>
  </si>
  <si>
    <t>Incendies </t>
  </si>
  <si>
    <t>Remember Me, My Love </t>
  </si>
  <si>
    <t>Elite Squad </t>
  </si>
  <si>
    <t>Brazil</t>
  </si>
  <si>
    <t>Annabelle </t>
  </si>
  <si>
    <t>Bran Nue Dae </t>
  </si>
  <si>
    <t>Boyz n the Hood </t>
  </si>
  <si>
    <t>La Bamba </t>
  </si>
  <si>
    <t>Dressed to Kill </t>
  </si>
  <si>
    <t>The Adventures of Huck Finn </t>
  </si>
  <si>
    <t>Go </t>
  </si>
  <si>
    <t>Friends with Money </t>
  </si>
  <si>
    <t>Bats </t>
  </si>
  <si>
    <t>Nowhere in Africa </t>
  </si>
  <si>
    <t>Shame </t>
  </si>
  <si>
    <t>Layer Cake </t>
  </si>
  <si>
    <t>The Work and the Glory II: American Zion </t>
  </si>
  <si>
    <t>The East </t>
  </si>
  <si>
    <t>A Home at the End of the World </t>
  </si>
  <si>
    <t>Aberdeen </t>
  </si>
  <si>
    <t>The Messenger </t>
  </si>
  <si>
    <t>Control </t>
  </si>
  <si>
    <t>The Terminator </t>
  </si>
  <si>
    <t>Good Bye Lenin! </t>
  </si>
  <si>
    <t>The Damned United </t>
  </si>
  <si>
    <t>Mallrats </t>
  </si>
  <si>
    <t>Grease </t>
  </si>
  <si>
    <t>Platoon </t>
  </si>
  <si>
    <t>Fahrenheit 9/11 </t>
  </si>
  <si>
    <t>Butch Cassidy and the Sundance Kid </t>
  </si>
  <si>
    <t>Mary Poppins </t>
  </si>
  <si>
    <t>Ordinary People </t>
  </si>
  <si>
    <t>West Side Story </t>
  </si>
  <si>
    <t>Caddyshack </t>
  </si>
  <si>
    <t>The Brothers </t>
  </si>
  <si>
    <t>The Wood </t>
  </si>
  <si>
    <t>The Usual Suspects </t>
  </si>
  <si>
    <t>A Nightmare on Elm Street 5: The Dream Child </t>
  </si>
  <si>
    <t>Van Wilder: Party Liaison </t>
  </si>
  <si>
    <t>The Wrestler </t>
  </si>
  <si>
    <t>Duel in the Sun </t>
  </si>
  <si>
    <t>Best in Show </t>
  </si>
  <si>
    <t>Escape from New York </t>
  </si>
  <si>
    <t>School Daze </t>
  </si>
  <si>
    <t>Daddy Day Camp </t>
  </si>
  <si>
    <t>Mystic Pizza </t>
  </si>
  <si>
    <t>Sliding Doors </t>
  </si>
  <si>
    <t>Tales from the Hood </t>
  </si>
  <si>
    <t>The Last King of Scotland </t>
  </si>
  <si>
    <t>Halloween 5 </t>
  </si>
  <si>
    <t>Bernie </t>
  </si>
  <si>
    <t>Dolphins and Whales 3D: Tribes of the Ocean </t>
  </si>
  <si>
    <t>Pollock </t>
  </si>
  <si>
    <t>200 Cigarettes </t>
  </si>
  <si>
    <t>The Words </t>
  </si>
  <si>
    <t>Casa de mi Padre </t>
  </si>
  <si>
    <t>City Island </t>
  </si>
  <si>
    <t>The Guard </t>
  </si>
  <si>
    <t>College </t>
  </si>
  <si>
    <t>The Virgin Suicides </t>
  </si>
  <si>
    <t>Miss March </t>
  </si>
  <si>
    <t>Wish I Was Here </t>
  </si>
  <si>
    <t>Simply Irresistible </t>
  </si>
  <si>
    <t>Hedwig and the Angry Inch </t>
  </si>
  <si>
    <t>Only the Strong </t>
  </si>
  <si>
    <t>Shattered Glass </t>
  </si>
  <si>
    <t>Novocaine </t>
  </si>
  <si>
    <t>The Wackness </t>
  </si>
  <si>
    <t>Beastmaster 2: Through the Portal of Time </t>
  </si>
  <si>
    <t>The 5th Quarter </t>
  </si>
  <si>
    <t>The Greatest </t>
  </si>
  <si>
    <t>Snow Flower and the Secret Fan </t>
  </si>
  <si>
    <t>Come Early Morning </t>
  </si>
  <si>
    <t>Lucky Break </t>
  </si>
  <si>
    <t>Surfer, Dude </t>
  </si>
  <si>
    <t>Deadfall </t>
  </si>
  <si>
    <t>L'auberge espagnole </t>
  </si>
  <si>
    <t>Winter in Wartime </t>
  </si>
  <si>
    <t>The Protector </t>
  </si>
  <si>
    <t>Bend It Like Beckham </t>
  </si>
  <si>
    <t>Sunshine State </t>
  </si>
  <si>
    <t>Crossover </t>
  </si>
  <si>
    <t>[Rec] 2 </t>
  </si>
  <si>
    <t>The Sting </t>
  </si>
  <si>
    <t>Chariots of Fire </t>
  </si>
  <si>
    <t>Diary of a Mad Black Woman </t>
  </si>
  <si>
    <t>Shine </t>
  </si>
  <si>
    <t>Don Jon </t>
  </si>
  <si>
    <t>Ghost World </t>
  </si>
  <si>
    <t>Iris </t>
  </si>
  <si>
    <t>The Chorus </t>
  </si>
  <si>
    <t>Mambo Italiano </t>
  </si>
  <si>
    <t>Wonderland </t>
  </si>
  <si>
    <t>Do the Right Thing </t>
  </si>
  <si>
    <t>Harvard Man </t>
  </si>
  <si>
    <t>Le Havre </t>
  </si>
  <si>
    <t>Finland</t>
  </si>
  <si>
    <t>R100 </t>
  </si>
  <si>
    <t>Salvation Boulevard </t>
  </si>
  <si>
    <t>The Ten </t>
  </si>
  <si>
    <t>Headhunters </t>
  </si>
  <si>
    <t>Norwegian</t>
  </si>
  <si>
    <t>Saint Ralph </t>
  </si>
  <si>
    <t>Insidious: Chapter 2 </t>
  </si>
  <si>
    <t>Saw II </t>
  </si>
  <si>
    <t>10 Cloverfield Lane </t>
  </si>
  <si>
    <t>Jackass: The Movie </t>
  </si>
  <si>
    <t>Lights Out </t>
  </si>
  <si>
    <t>Paranormal Activity 3 </t>
  </si>
  <si>
    <t>Ouija </t>
  </si>
  <si>
    <t>A Nightmare on Elm Street 3: Dream Warriors </t>
  </si>
  <si>
    <t>Instructions Not Included </t>
  </si>
  <si>
    <t>Paranormal Activity 4 </t>
  </si>
  <si>
    <t>The Robe </t>
  </si>
  <si>
    <t>Freddy's Dead: The Final Nightmare </t>
  </si>
  <si>
    <t>Monster </t>
  </si>
  <si>
    <t>Paranormal Activity: The Marked Ones </t>
  </si>
  <si>
    <t>Dallas Buyers Club </t>
  </si>
  <si>
    <t>The Lazarus Effect </t>
  </si>
  <si>
    <t>Memento </t>
  </si>
  <si>
    <t>Oculus </t>
  </si>
  <si>
    <t>Clerks II </t>
  </si>
  <si>
    <t>Billy Elliot </t>
  </si>
  <si>
    <t>The Way Way Back </t>
  </si>
  <si>
    <t>House Party 2 </t>
  </si>
  <si>
    <t>Doug's 1st Movie </t>
  </si>
  <si>
    <t>The Apostle </t>
  </si>
  <si>
    <t>Our Idiot Brother </t>
  </si>
  <si>
    <t>The Players Club </t>
  </si>
  <si>
    <t>As Above, So Below </t>
  </si>
  <si>
    <t>Addicted </t>
  </si>
  <si>
    <t>Eve's Bayou </t>
  </si>
  <si>
    <t>Still Alice </t>
  </si>
  <si>
    <t>Friday the 13th Part VIII: Jason Takes Manhattan </t>
  </si>
  <si>
    <t>My Big Fat Greek Wedding </t>
  </si>
  <si>
    <t>Spring Breakers </t>
  </si>
  <si>
    <t>Halloween: The Curse of Michael Myers </t>
  </si>
  <si>
    <t>Y Tu Mamá También </t>
  </si>
  <si>
    <t>Shaun of the Dead </t>
  </si>
  <si>
    <t>The Haunting of Molly Hartley </t>
  </si>
  <si>
    <t>Lone Star </t>
  </si>
  <si>
    <t>Halloween 4: The Return of Michael Myers </t>
  </si>
  <si>
    <t>April Fool's Day </t>
  </si>
  <si>
    <t>Diner </t>
  </si>
  <si>
    <t>Lone Wolf McQuade </t>
  </si>
  <si>
    <t>Apollo 18 </t>
  </si>
  <si>
    <t>Sunshine Cleaning </t>
  </si>
  <si>
    <t>No Escape </t>
  </si>
  <si>
    <t>Not Easily Broken </t>
  </si>
  <si>
    <t>Digimon: The Movie </t>
  </si>
  <si>
    <t>Saved! </t>
  </si>
  <si>
    <t>The Barbarian Invasions </t>
  </si>
  <si>
    <t>The Forsaken </t>
  </si>
  <si>
    <t>UHF </t>
  </si>
  <si>
    <t>Slums of Beverly Hills </t>
  </si>
  <si>
    <t>Made </t>
  </si>
  <si>
    <t>Moon </t>
  </si>
  <si>
    <t>Sea Rex 3D: Journey to a Prehistoric World </t>
  </si>
  <si>
    <t>The Sweet Hereafter </t>
  </si>
  <si>
    <t>Of Gods and Men </t>
  </si>
  <si>
    <t>Bottle Shock </t>
  </si>
  <si>
    <t>Heavenly Creatures </t>
  </si>
  <si>
    <t>90 Minutes in Heaven </t>
  </si>
  <si>
    <t>Everything Must Go </t>
  </si>
  <si>
    <t>Zero Effect </t>
  </si>
  <si>
    <t>The Machinist </t>
  </si>
  <si>
    <t>Light Sleeper </t>
  </si>
  <si>
    <t>Kill the Messenger </t>
  </si>
  <si>
    <t>Rabbit Hole </t>
  </si>
  <si>
    <t>Party Monster </t>
  </si>
  <si>
    <t>Green Room </t>
  </si>
  <si>
    <t>Bottle Rocket </t>
  </si>
  <si>
    <t>Albino Alligator </t>
  </si>
  <si>
    <t>Lovely, Still </t>
  </si>
  <si>
    <t>Desert Blue </t>
  </si>
  <si>
    <t>The Visit </t>
  </si>
  <si>
    <t>Redacted </t>
  </si>
  <si>
    <t>Fascination </t>
  </si>
  <si>
    <t>I Served the King of England </t>
  </si>
  <si>
    <t>Czech</t>
  </si>
  <si>
    <t>Soul Kitchen </t>
  </si>
  <si>
    <t>Sling Blade </t>
  </si>
  <si>
    <t>Hostel </t>
  </si>
  <si>
    <t>Tristram Shandy: A Cock and Bull Story </t>
  </si>
  <si>
    <t>Take Shelter </t>
  </si>
  <si>
    <t>Lady in White </t>
  </si>
  <si>
    <t>The Texas Chainsaw Massacre 2 </t>
  </si>
  <si>
    <t>Only God Forgives </t>
  </si>
  <si>
    <t>The Names of Love </t>
  </si>
  <si>
    <t>Savage Grace </t>
  </si>
  <si>
    <t>Police Academy </t>
  </si>
  <si>
    <t>Four Weddings and a Funeral </t>
  </si>
  <si>
    <t>25th Hour </t>
  </si>
  <si>
    <t>Bound </t>
  </si>
  <si>
    <t>Requiem for a Dream </t>
  </si>
  <si>
    <t>Tango </t>
  </si>
  <si>
    <t>Moms' Night Out </t>
  </si>
  <si>
    <t>Donnie Darko </t>
  </si>
  <si>
    <t>Character </t>
  </si>
  <si>
    <t>Spun </t>
  </si>
  <si>
    <t>Lady Vengeance </t>
  </si>
  <si>
    <t>Mean Machine </t>
  </si>
  <si>
    <t>Exiled </t>
  </si>
  <si>
    <t>After.Life </t>
  </si>
  <si>
    <t>One Flew Over the Cuckoo's Nest </t>
  </si>
  <si>
    <t>The Sweeney </t>
  </si>
  <si>
    <t>Whale Rider </t>
  </si>
  <si>
    <t>Paa </t>
  </si>
  <si>
    <t>Night Watch </t>
  </si>
  <si>
    <t>The Crying Game </t>
  </si>
  <si>
    <t>Porky's </t>
  </si>
  <si>
    <t>Survival of the Dead </t>
  </si>
  <si>
    <t>Lost in Translation </t>
  </si>
  <si>
    <t>Annie Hall </t>
  </si>
  <si>
    <t>The Greatest Show on Earth </t>
  </si>
  <si>
    <t>Monster's Ball </t>
  </si>
  <si>
    <t>Maggie </t>
  </si>
  <si>
    <t>Leaving Las Vegas </t>
  </si>
  <si>
    <t>The Boy Next Door </t>
  </si>
  <si>
    <t>The Kids Are All Right </t>
  </si>
  <si>
    <t>They Live </t>
  </si>
  <si>
    <t>The Last Exorcism Part II </t>
  </si>
  <si>
    <t>Boyhood </t>
  </si>
  <si>
    <t>Scoop </t>
  </si>
  <si>
    <t>The Wash </t>
  </si>
  <si>
    <t>3 Strikes </t>
  </si>
  <si>
    <t>The Cooler </t>
  </si>
  <si>
    <t>The Night Listener </t>
  </si>
  <si>
    <t>The Orphanage </t>
  </si>
  <si>
    <t>A Haunted House 2 </t>
  </si>
  <si>
    <t>The Rules of Attraction </t>
  </si>
  <si>
    <t>Four Rooms </t>
  </si>
  <si>
    <t>Secretary </t>
  </si>
  <si>
    <t>The Real Cancun </t>
  </si>
  <si>
    <t>Talk Radio </t>
  </si>
  <si>
    <t>Waiting for Guffman </t>
  </si>
  <si>
    <t>Love Stinks </t>
  </si>
  <si>
    <t>You Kill Me </t>
  </si>
  <si>
    <t>Thumbsucker </t>
  </si>
  <si>
    <t>Mirrormask </t>
  </si>
  <si>
    <t>Samsara </t>
  </si>
  <si>
    <t>The Barbarians </t>
  </si>
  <si>
    <t>Poolhall Junkies </t>
  </si>
  <si>
    <t>The Loss of Sexual Innocence </t>
  </si>
  <si>
    <t>Joe </t>
  </si>
  <si>
    <t>Shooting Fish </t>
  </si>
  <si>
    <t>Prison </t>
  </si>
  <si>
    <t>Psycho Beach Party </t>
  </si>
  <si>
    <t>The Big Tease </t>
  </si>
  <si>
    <t>Buen Día, Ramón </t>
  </si>
  <si>
    <t>Trust </t>
  </si>
  <si>
    <t>An Everlasting Piece </t>
  </si>
  <si>
    <t>Adore </t>
  </si>
  <si>
    <t>Mondays in the Sun </t>
  </si>
  <si>
    <t>Stake Land </t>
  </si>
  <si>
    <t>The Last Time I Committed Suicide </t>
  </si>
  <si>
    <t>Futuro Beach </t>
  </si>
  <si>
    <t>Inescapable </t>
  </si>
  <si>
    <t>Gone with the Wind </t>
  </si>
  <si>
    <t>Desert Dancer </t>
  </si>
  <si>
    <t>Major Dundee </t>
  </si>
  <si>
    <t>Annie Get Your Gun </t>
  </si>
  <si>
    <t>Defendor </t>
  </si>
  <si>
    <t>The Pirate </t>
  </si>
  <si>
    <t>The Good Heart </t>
  </si>
  <si>
    <t>The History Boys </t>
  </si>
  <si>
    <t>The Full Monty </t>
  </si>
  <si>
    <t>Airplane! </t>
  </si>
  <si>
    <t>Friday </t>
  </si>
  <si>
    <t>Menace II Society </t>
  </si>
  <si>
    <t>Creepshow 2 </t>
  </si>
  <si>
    <t>The Witch </t>
  </si>
  <si>
    <t>I Got the Hook Up </t>
  </si>
  <si>
    <t>She's the One </t>
  </si>
  <si>
    <t>Gods and Monsters </t>
  </si>
  <si>
    <t>The Secret in Their Eyes </t>
  </si>
  <si>
    <t>Argentina</t>
  </si>
  <si>
    <t>Evil Dead II </t>
  </si>
  <si>
    <t>Pootie Tang </t>
  </si>
  <si>
    <t>La otra conquista </t>
  </si>
  <si>
    <t>Trollhunter </t>
  </si>
  <si>
    <t>Ira &amp; Abby </t>
  </si>
  <si>
    <t>Winter Passing </t>
  </si>
  <si>
    <t>D.E.B.S. </t>
  </si>
  <si>
    <t>The Masked Saint </t>
  </si>
  <si>
    <t>March of the Penguins </t>
  </si>
  <si>
    <t>Margin Call </t>
  </si>
  <si>
    <t>Choke </t>
  </si>
  <si>
    <t>Whiplash </t>
  </si>
  <si>
    <t>City of God </t>
  </si>
  <si>
    <t>Human Traffic </t>
  </si>
  <si>
    <t>The Hunt </t>
  </si>
  <si>
    <t>Bella </t>
  </si>
  <si>
    <t>Maria Full of Grace </t>
  </si>
  <si>
    <t>Colombia</t>
  </si>
  <si>
    <t>Beginners </t>
  </si>
  <si>
    <t>Animal House </t>
  </si>
  <si>
    <t>Goldfinger </t>
  </si>
  <si>
    <t>Trainspotting </t>
  </si>
  <si>
    <t>The Original Kings of Comedy </t>
  </si>
  <si>
    <t>Paranormal Activity 2 </t>
  </si>
  <si>
    <t>Waking Ned Devine </t>
  </si>
  <si>
    <t>Bowling for Columbine </t>
  </si>
  <si>
    <t>A Nightmare on Elm Street 2: Freddy's Revenge </t>
  </si>
  <si>
    <t>A Room with a View </t>
  </si>
  <si>
    <t>The Purge </t>
  </si>
  <si>
    <t>Sinister </t>
  </si>
  <si>
    <t>Martin Lawrence Live: Runteldat </t>
  </si>
  <si>
    <t>Air Bud </t>
  </si>
  <si>
    <t>Jason Lives: Friday the 13th Part VI </t>
  </si>
  <si>
    <t>The Bridge on the River Kwai </t>
  </si>
  <si>
    <t>Spaced Invaders </t>
  </si>
  <si>
    <t>Jason Goes to Hell: The Final Friday </t>
  </si>
  <si>
    <t>Dave Chappelle's Block Party </t>
  </si>
  <si>
    <t>Next Day Air </t>
  </si>
  <si>
    <t>Phat Girlz </t>
  </si>
  <si>
    <t>Before Midnight </t>
  </si>
  <si>
    <t>Teen Wolf Too </t>
  </si>
  <si>
    <t>Phantasm II </t>
  </si>
  <si>
    <t>Real Women Have Curves </t>
  </si>
  <si>
    <t>East Is East </t>
  </si>
  <si>
    <t>Whipped </t>
  </si>
  <si>
    <t>Kama Sutra: A Tale of Love </t>
  </si>
  <si>
    <t>Warlock: The Armageddon </t>
  </si>
  <si>
    <t>8 Heads in a Duffel Bag </t>
  </si>
  <si>
    <t>Thirteen Conversations About One Thing </t>
  </si>
  <si>
    <t>Jawbreaker </t>
  </si>
  <si>
    <t>Basquiat </t>
  </si>
  <si>
    <t>Tsotsi </t>
  </si>
  <si>
    <t>Zulu</t>
  </si>
  <si>
    <t>Happiness </t>
  </si>
  <si>
    <t>DysFunktional Family </t>
  </si>
  <si>
    <t>Tusk </t>
  </si>
  <si>
    <t>Oldboy </t>
  </si>
  <si>
    <t>Letters to God </t>
  </si>
  <si>
    <t>Hobo with a Shotgun </t>
  </si>
  <si>
    <t>Bachelorette </t>
  </si>
  <si>
    <t>Tim and Eric's Billion Dollar Movie </t>
  </si>
  <si>
    <t>Summer Storm </t>
  </si>
  <si>
    <t>Chain Letter </t>
  </si>
  <si>
    <t>Just Looking </t>
  </si>
  <si>
    <t>The Divide </t>
  </si>
  <si>
    <t>Central Station </t>
  </si>
  <si>
    <t>Boynton Beach Club </t>
  </si>
  <si>
    <t>High Tension </t>
  </si>
  <si>
    <t>Hustle &amp; Flow </t>
  </si>
  <si>
    <t>Some Like It Hot </t>
  </si>
  <si>
    <t>Friday the 13th Part VII: The New Blood </t>
  </si>
  <si>
    <t>The Wizard of Oz </t>
  </si>
  <si>
    <t>Young Frankenstein </t>
  </si>
  <si>
    <t>Diary of the Dead </t>
  </si>
  <si>
    <t>Ulee's Gold </t>
  </si>
  <si>
    <t>Blazing Saddles </t>
  </si>
  <si>
    <t>Friday the 13th: The Final Chapter </t>
  </si>
  <si>
    <t>Maurice </t>
  </si>
  <si>
    <t>Timecrimes </t>
  </si>
  <si>
    <t>A Haunted House </t>
  </si>
  <si>
    <t>2016: Obama's America </t>
  </si>
  <si>
    <t>That Thing You Do! </t>
  </si>
  <si>
    <t>Halloween III: Season of the Witch </t>
  </si>
  <si>
    <t>Kevin Hart: Let Me Explain </t>
  </si>
  <si>
    <t>My Own Private Idaho </t>
  </si>
  <si>
    <t>Garden State </t>
  </si>
  <si>
    <t>Before Sunrise </t>
  </si>
  <si>
    <t>Jesus' Son </t>
  </si>
  <si>
    <t>Robot &amp; Frank </t>
  </si>
  <si>
    <t>My Life Without Me </t>
  </si>
  <si>
    <t>The Spectacular Now </t>
  </si>
  <si>
    <t>Religulous </t>
  </si>
  <si>
    <t>Fuel </t>
  </si>
  <si>
    <t>Valley of the Heart's Delight </t>
  </si>
  <si>
    <t>Eye of the Dolphin </t>
  </si>
  <si>
    <t>8: The Mormon Proposition </t>
  </si>
  <si>
    <t>The Other End of the Line </t>
  </si>
  <si>
    <t>Anatomy </t>
  </si>
  <si>
    <t>Sleep Dealer </t>
  </si>
  <si>
    <t>Super </t>
  </si>
  <si>
    <t>Get on the Bus </t>
  </si>
  <si>
    <t>Thr3e </t>
  </si>
  <si>
    <t>This Is England </t>
  </si>
  <si>
    <t>Go for It! </t>
  </si>
  <si>
    <t>Fantasia </t>
  </si>
  <si>
    <t>Friday the 13th Part III </t>
  </si>
  <si>
    <t>Friday the 13th: A New Beginning </t>
  </si>
  <si>
    <t>The Last Sin Eater </t>
  </si>
  <si>
    <t>The Best Years of Our Lives </t>
  </si>
  <si>
    <t>Elling </t>
  </si>
  <si>
    <t>Mi America </t>
  </si>
  <si>
    <t>From Russia with Love </t>
  </si>
  <si>
    <t>The Toxic Avenger Part II </t>
  </si>
  <si>
    <t>It Follows </t>
  </si>
  <si>
    <t>Mad Max 2: The Road Warrior </t>
  </si>
  <si>
    <t>The Legend of Drunken Master </t>
  </si>
  <si>
    <t>Boys Don't Cry </t>
  </si>
  <si>
    <t>Silent House </t>
  </si>
  <si>
    <t>The Lives of Others </t>
  </si>
  <si>
    <t>Courageous </t>
  </si>
  <si>
    <t>The Triplets of Belleville </t>
  </si>
  <si>
    <t>Smoke Signals </t>
  </si>
  <si>
    <t>Before Sunset </t>
  </si>
  <si>
    <t>Amores Perros </t>
  </si>
  <si>
    <t>Thirteen </t>
  </si>
  <si>
    <t>Winter's Bone </t>
  </si>
  <si>
    <t>Me and You and Everyone We Know </t>
  </si>
  <si>
    <t>We Are Your Friends </t>
  </si>
  <si>
    <t>Harsh Times </t>
  </si>
  <si>
    <t>Captive </t>
  </si>
  <si>
    <t>Full Frontal </t>
  </si>
  <si>
    <t>Witchboard </t>
  </si>
  <si>
    <t>Shortbus </t>
  </si>
  <si>
    <t>Waltz with Bashir </t>
  </si>
  <si>
    <t>Israel</t>
  </si>
  <si>
    <t>The Book of Mormon Movie, Volume 1: The Journey </t>
  </si>
  <si>
    <t>No End in Sight </t>
  </si>
  <si>
    <t>The Diary of a Teenage Girl </t>
  </si>
  <si>
    <t>In the Shadow of the Moon </t>
  </si>
  <si>
    <t>Inside Deep Throat </t>
  </si>
  <si>
    <t>The Virginity Hit </t>
  </si>
  <si>
    <t>House of D </t>
  </si>
  <si>
    <t>Six-String Samurai </t>
  </si>
  <si>
    <t>Saint John of Las Vegas </t>
  </si>
  <si>
    <t>Stonewall </t>
  </si>
  <si>
    <t>The Missing Person </t>
  </si>
  <si>
    <t>London </t>
  </si>
  <si>
    <t>Sherrybaby </t>
  </si>
  <si>
    <t>Gangster's Paradise: Jerusalema </t>
  </si>
  <si>
    <t>The Lady from Shanghai </t>
  </si>
  <si>
    <t>The Ghastly Love of Johnny X </t>
  </si>
  <si>
    <t>Slacker Uprising </t>
  </si>
  <si>
    <t>The Legend of Hell's Gate: An American Conspiracy </t>
  </si>
  <si>
    <t>The Walking Deceased </t>
  </si>
  <si>
    <t>The Curse of Downers Grove </t>
  </si>
  <si>
    <t>Shark Lake </t>
  </si>
  <si>
    <t>River's Edge </t>
  </si>
  <si>
    <t>Northfork </t>
  </si>
  <si>
    <t>Buried </t>
  </si>
  <si>
    <t>One to Another </t>
  </si>
  <si>
    <t>Man on Wire </t>
  </si>
  <si>
    <t>Brotherly Love </t>
  </si>
  <si>
    <t>The Last Exorcism </t>
  </si>
  <si>
    <t>El crimen del padre Amaro </t>
  </si>
  <si>
    <t>Beasts of the Southern Wild </t>
  </si>
  <si>
    <t>Songcatcher </t>
  </si>
  <si>
    <t>Travelers and Magicians </t>
  </si>
  <si>
    <t>Dzongkha</t>
  </si>
  <si>
    <t>Sublime </t>
  </si>
  <si>
    <t>Dysfunctional Friends </t>
  </si>
  <si>
    <t>Run Lola Run </t>
  </si>
  <si>
    <t>May </t>
  </si>
  <si>
    <t>In the Bedroom </t>
  </si>
  <si>
    <t>I Spit on Your Grave </t>
  </si>
  <si>
    <t>Happy, Texas </t>
  </si>
  <si>
    <t>My Summer of Love </t>
  </si>
  <si>
    <t>The Lunchbox </t>
  </si>
  <si>
    <t>Yes </t>
  </si>
  <si>
    <t>Caramel </t>
  </si>
  <si>
    <t>Mississippi Mermaid </t>
  </si>
  <si>
    <t>I Love Your Work </t>
  </si>
  <si>
    <t>Waitress </t>
  </si>
  <si>
    <t>Bloodsport </t>
  </si>
  <si>
    <t>Kids </t>
  </si>
  <si>
    <t>The Squid and the Whale </t>
  </si>
  <si>
    <t>Kissing Jessica Stein </t>
  </si>
  <si>
    <t>Exotica </t>
  </si>
  <si>
    <t>Buffalo '66 </t>
  </si>
  <si>
    <t>Insidious </t>
  </si>
  <si>
    <t>Nine Queens </t>
  </si>
  <si>
    <t>The Ballad of Jack and Rose </t>
  </si>
  <si>
    <t>The To Do List </t>
  </si>
  <si>
    <t>Killing Zoe </t>
  </si>
  <si>
    <t>The Believer </t>
  </si>
  <si>
    <t>Session 9 </t>
  </si>
  <si>
    <t>I Want Someone to Eat Cheese With </t>
  </si>
  <si>
    <t>Modern Times </t>
  </si>
  <si>
    <t>Stolen Summer </t>
  </si>
  <si>
    <t>My Name Is Bruce </t>
  </si>
  <si>
    <t>The Salon </t>
  </si>
  <si>
    <t>Pontypool </t>
  </si>
  <si>
    <t>Trucker </t>
  </si>
  <si>
    <t>The Lords of Salem </t>
  </si>
  <si>
    <t>Once Upon a Time in Queens </t>
  </si>
  <si>
    <t>Closer to the Moon </t>
  </si>
  <si>
    <t>Checkmate </t>
  </si>
  <si>
    <t>Snow White and the Seven Dwarfs </t>
  </si>
  <si>
    <t>The Holy Girl </t>
  </si>
  <si>
    <t>Incident at Loch Ness </t>
  </si>
  <si>
    <t>Lock, Stock and Two Smoking Barrels </t>
  </si>
  <si>
    <t>The Celebration </t>
  </si>
  <si>
    <t>Trees Lounge </t>
  </si>
  <si>
    <t>Journey from the Fall </t>
  </si>
  <si>
    <t>Vietnamese</t>
  </si>
  <si>
    <t>The Basket </t>
  </si>
  <si>
    <t>The Hebrew Hammer </t>
  </si>
  <si>
    <t>Neal 'N' Nikki </t>
  </si>
  <si>
    <t>Friday the 13th Part 2 </t>
  </si>
  <si>
    <t>Filly Brown </t>
  </si>
  <si>
    <t>Da Sweet Blood of Jesus </t>
  </si>
  <si>
    <t>Sex, Lies, and Videotape </t>
  </si>
  <si>
    <t>Saw </t>
  </si>
  <si>
    <t>Super Troopers </t>
  </si>
  <si>
    <t>Monsoon Wedding </t>
  </si>
  <si>
    <t>You Can Count on Me </t>
  </si>
  <si>
    <t>But I'm a Cheerleader </t>
  </si>
  <si>
    <t>Home Run </t>
  </si>
  <si>
    <t>Reservoir Dogs </t>
  </si>
  <si>
    <t>The Good, the Bad and the Ugly </t>
  </si>
  <si>
    <t>The Second Mother </t>
  </si>
  <si>
    <t>Blue Like Jazz </t>
  </si>
  <si>
    <t>Down and Out with the Dolls </t>
  </si>
  <si>
    <t>Airborne </t>
  </si>
  <si>
    <t>Waiting... </t>
  </si>
  <si>
    <t>Dead Man's Shoes </t>
  </si>
  <si>
    <t>From a Whisper to a Scream </t>
  </si>
  <si>
    <t>Dracula: Pages from a Virgin's Diary </t>
  </si>
  <si>
    <t>Beyond the Black Rainbow </t>
  </si>
  <si>
    <t>The Raid: Redemption </t>
  </si>
  <si>
    <t>Indonesian</t>
  </si>
  <si>
    <t>Indonesia</t>
  </si>
  <si>
    <t>Silent Running </t>
  </si>
  <si>
    <t>Rocky </t>
  </si>
  <si>
    <t>Unfriended </t>
  </si>
  <si>
    <t>The Howling </t>
  </si>
  <si>
    <t>Dr. No </t>
  </si>
  <si>
    <t>Chernobyl Diaries </t>
  </si>
  <si>
    <t>Hellraiser </t>
  </si>
  <si>
    <t>God's Not Dead 2 </t>
  </si>
  <si>
    <t>Cry_Wolf </t>
  </si>
  <si>
    <t>Godzilla 2000 </t>
  </si>
  <si>
    <t>Blue Valentine </t>
  </si>
  <si>
    <t>Transamerica </t>
  </si>
  <si>
    <t>The Devil Inside </t>
  </si>
  <si>
    <t>Beyond the Valley of the Dolls </t>
  </si>
  <si>
    <t>The Green Inferno </t>
  </si>
  <si>
    <t>The Sessions </t>
  </si>
  <si>
    <t>Next Stop Wonderland </t>
  </si>
  <si>
    <t>Frozen River </t>
  </si>
  <si>
    <t>20 Feet from Stardom </t>
  </si>
  <si>
    <t>Two Girls and a Guy </t>
  </si>
  <si>
    <t>Walking and Talking </t>
  </si>
  <si>
    <t>Who Killed the Electric Car? </t>
  </si>
  <si>
    <t>The Broken Hearts Club: A Romantic Comedy </t>
  </si>
  <si>
    <t>Slam </t>
  </si>
  <si>
    <t>Brigham City </t>
  </si>
  <si>
    <t>Fiza </t>
  </si>
  <si>
    <t>Orgazmo </t>
  </si>
  <si>
    <t>All the Real Girls </t>
  </si>
  <si>
    <t>Dream with the Fishes </t>
  </si>
  <si>
    <t>Blue Car </t>
  </si>
  <si>
    <t>Wristcutters: A Love Story </t>
  </si>
  <si>
    <t>The Battle of Shaker Heights </t>
  </si>
  <si>
    <t>The Act of Killing </t>
  </si>
  <si>
    <t>Taxi to the Dark Side </t>
  </si>
  <si>
    <t>Once in a Lifetime: The Extraordinary Story of the New York Cosmos </t>
  </si>
  <si>
    <t>Antarctica: A Year on Ice </t>
  </si>
  <si>
    <t>Hardflip </t>
  </si>
  <si>
    <t>The House of the Devil </t>
  </si>
  <si>
    <t>The Perfect Host </t>
  </si>
  <si>
    <t>Safe Men </t>
  </si>
  <si>
    <t>The Specials </t>
  </si>
  <si>
    <t>Alone with Her </t>
  </si>
  <si>
    <t>Creative Control </t>
  </si>
  <si>
    <t>Special </t>
  </si>
  <si>
    <t>In Her Line of Fire </t>
  </si>
  <si>
    <t>The Jimmy Show </t>
  </si>
  <si>
    <t>Loving Annabelle </t>
  </si>
  <si>
    <t>Hits </t>
  </si>
  <si>
    <t>Frat Party </t>
  </si>
  <si>
    <t>ZMD: Zombies of Mass Destruction </t>
  </si>
  <si>
    <t>Snow White: A Deadly Summer </t>
  </si>
  <si>
    <t>My Last Day Without You </t>
  </si>
  <si>
    <t>Doc Holliday's Revenge </t>
  </si>
  <si>
    <t>Truth or Die </t>
  </si>
  <si>
    <t>Fear Clinic </t>
  </si>
  <si>
    <t>Zombie Hunter </t>
  </si>
  <si>
    <t>A Fine Step </t>
  </si>
  <si>
    <t>Ask Me Anything </t>
  </si>
  <si>
    <t>And Then Came Love </t>
  </si>
  <si>
    <t>Food Chains </t>
  </si>
  <si>
    <t>On the Waterfront </t>
  </si>
  <si>
    <t>L!fe Happens </t>
  </si>
  <si>
    <t>4 Months, 3 Weeks and 2 Days </t>
  </si>
  <si>
    <t>Romanian</t>
  </si>
  <si>
    <t>Hard Candy </t>
  </si>
  <si>
    <t>The Quiet </t>
  </si>
  <si>
    <t>Persian</t>
  </si>
  <si>
    <t>Fruitvale Station </t>
  </si>
  <si>
    <t>The Brass Teapot </t>
  </si>
  <si>
    <t>Latter Days </t>
  </si>
  <si>
    <t>For a Good Time, Call... </t>
  </si>
  <si>
    <t>Time Changer </t>
  </si>
  <si>
    <t>A Separation </t>
  </si>
  <si>
    <t>Welcome to the Dollhouse </t>
  </si>
  <si>
    <t>Ruby in Paradise </t>
  </si>
  <si>
    <t>Raising Victor Vargas </t>
  </si>
  <si>
    <t>Deterrence </t>
  </si>
  <si>
    <t>Not Cool </t>
  </si>
  <si>
    <t>Dead Snow </t>
  </si>
  <si>
    <t>American Graffiti </t>
  </si>
  <si>
    <t>Aqua Teen Hunger Force Colon Movie Film for Theaters </t>
  </si>
  <si>
    <t>Safety Not Guaranteed </t>
  </si>
  <si>
    <t>Kill List </t>
  </si>
  <si>
    <t>The Innkeepers </t>
  </si>
  <si>
    <t>Interview with the Assassin </t>
  </si>
  <si>
    <t>Donkey Punch </t>
  </si>
  <si>
    <t>Hoop Dreams </t>
  </si>
  <si>
    <t>L.I.E. </t>
  </si>
  <si>
    <t>Half Nelson </t>
  </si>
  <si>
    <t>Top Hat </t>
  </si>
  <si>
    <t>The Blair Witch Project </t>
  </si>
  <si>
    <t>Woodstock </t>
  </si>
  <si>
    <t>Mercy Streets </t>
  </si>
  <si>
    <t>Broken Vessels </t>
  </si>
  <si>
    <t>The Maid's Room </t>
  </si>
  <si>
    <t>A Hard Day's Night </t>
  </si>
  <si>
    <t>Fireproof </t>
  </si>
  <si>
    <t>Benji </t>
  </si>
  <si>
    <t>Open Water </t>
  </si>
  <si>
    <t>Kingdom of the Spiders </t>
  </si>
  <si>
    <t>The Station Agent </t>
  </si>
  <si>
    <t>To Save a Life </t>
  </si>
  <si>
    <t>Beyond the Mat </t>
  </si>
  <si>
    <t>Osama </t>
  </si>
  <si>
    <t>Afghanistan</t>
  </si>
  <si>
    <t>Sholem Aleichem: Laughing in the Darkness </t>
  </si>
  <si>
    <t>Groove </t>
  </si>
  <si>
    <t>Twin Falls Idaho </t>
  </si>
  <si>
    <t>Mean Creek </t>
  </si>
  <si>
    <t>Hurricane Streets </t>
  </si>
  <si>
    <t>Never Again </t>
  </si>
  <si>
    <t>Civil Brand </t>
  </si>
  <si>
    <t>Lonesome Jim </t>
  </si>
  <si>
    <t>Seven Samurai </t>
  </si>
  <si>
    <t>Finishing the Game: The Search for a New Bruce Lee </t>
  </si>
  <si>
    <t>Rubber </t>
  </si>
  <si>
    <t>Kiss the Bride </t>
  </si>
  <si>
    <t>The Slaughter Rule </t>
  </si>
  <si>
    <t>Monsters </t>
  </si>
  <si>
    <t>Detention of the Dead </t>
  </si>
  <si>
    <t>Girls Gone Dead </t>
  </si>
  <si>
    <t>Subconscious </t>
  </si>
  <si>
    <t>Alleluia! The Devil's Carnival </t>
  </si>
  <si>
    <t>Straight Out of Brooklyn </t>
  </si>
  <si>
    <t>Bloody Sunday </t>
  </si>
  <si>
    <t>Conversations with Other Women </t>
  </si>
  <si>
    <t>Poultrygeist: Night of the Chicken Dead </t>
  </si>
  <si>
    <t>42nd Street </t>
  </si>
  <si>
    <t>Metropolitan </t>
  </si>
  <si>
    <t>As It Is in Heaven </t>
  </si>
  <si>
    <t>Napoleon Dynamite </t>
  </si>
  <si>
    <t>Blue Ruin </t>
  </si>
  <si>
    <t>Paranormal Activity </t>
  </si>
  <si>
    <t>Monty Python and the Holy Grail </t>
  </si>
  <si>
    <t>Quinceañera </t>
  </si>
  <si>
    <t>Gory Gory Hallelujah </t>
  </si>
  <si>
    <t>Tarnation </t>
  </si>
  <si>
    <t>I Want Your Money </t>
  </si>
  <si>
    <t>The Beyond </t>
  </si>
  <si>
    <t>What Happens in Vegas </t>
  </si>
  <si>
    <t>The Broadway Melody </t>
  </si>
  <si>
    <t>Maniac </t>
  </si>
  <si>
    <t>Censored Voices </t>
  </si>
  <si>
    <t>Murderball </t>
  </si>
  <si>
    <t>American Ninja 2: The Confrontation </t>
  </si>
  <si>
    <t>Tumbleweeds </t>
  </si>
  <si>
    <t>The Prophecy </t>
  </si>
  <si>
    <t>When the Cat's Away </t>
  </si>
  <si>
    <t>Pieces of April </t>
  </si>
  <si>
    <t>Old Joy </t>
  </si>
  <si>
    <t>Wendy and Lucy </t>
  </si>
  <si>
    <t>Ayurveda: Art of Being </t>
  </si>
  <si>
    <t>Fighting Tommy Riley </t>
  </si>
  <si>
    <t>Locker 13 </t>
  </si>
  <si>
    <t>Compliance </t>
  </si>
  <si>
    <t>Chasing Amy </t>
  </si>
  <si>
    <t>Lovely &amp; Amazing </t>
  </si>
  <si>
    <t>Better Luck Tomorrow </t>
  </si>
  <si>
    <t>The Incredibly True Adventure of Two Girls in Love </t>
  </si>
  <si>
    <t>Chuck &amp; Buck </t>
  </si>
  <si>
    <t>American Desi </t>
  </si>
  <si>
    <t>Cube </t>
  </si>
  <si>
    <t>I Married a Strange Person! </t>
  </si>
  <si>
    <t>November </t>
  </si>
  <si>
    <t>Like Crazy </t>
  </si>
  <si>
    <t>The Canyons </t>
  </si>
  <si>
    <t>Shotgun Stories </t>
  </si>
  <si>
    <t>The Sticky Fingers of Time </t>
  </si>
  <si>
    <t>Along the Roadside </t>
  </si>
  <si>
    <t>Burn </t>
  </si>
  <si>
    <t>Urbania </t>
  </si>
  <si>
    <t>The Beast from 20,000 Fathoms </t>
  </si>
  <si>
    <t>Swingers </t>
  </si>
  <si>
    <t>A Fistful of Dollars </t>
  </si>
  <si>
    <t>Short Cut to Nirvana: Kumbh Mela </t>
  </si>
  <si>
    <t>Middle of Nowhere </t>
  </si>
  <si>
    <t>Super Hybrid </t>
  </si>
  <si>
    <t>The Trials of Darryl Hunt </t>
  </si>
  <si>
    <t>Archaeology of a Woman </t>
  </si>
  <si>
    <t>Children of Heaven </t>
  </si>
  <si>
    <t>Weekend </t>
  </si>
  <si>
    <t>She's Gotta Have It </t>
  </si>
  <si>
    <t>Another Earth </t>
  </si>
  <si>
    <t>Sweet Sweetback's Baadasssss Song </t>
  </si>
  <si>
    <t>Tadpole </t>
  </si>
  <si>
    <t>Once </t>
  </si>
  <si>
    <t>The Horse Boy </t>
  </si>
  <si>
    <t>Top Spin </t>
  </si>
  <si>
    <t>Roger &amp; Me </t>
  </si>
  <si>
    <t>Facing the Giants </t>
  </si>
  <si>
    <t>The Gallows </t>
  </si>
  <si>
    <t>Hollywood Shuffle </t>
  </si>
  <si>
    <t>The Lost Skeleton of Cadavra </t>
  </si>
  <si>
    <t>Cheap Thrills </t>
  </si>
  <si>
    <t>Echo Dr. </t>
  </si>
  <si>
    <t>The Past is a Grotesque Animal </t>
  </si>
  <si>
    <t>Pi </t>
  </si>
  <si>
    <t>20 Dates </t>
  </si>
  <si>
    <t>Super Size Me </t>
  </si>
  <si>
    <t>The FP </t>
  </si>
  <si>
    <t>Happy Christmas </t>
  </si>
  <si>
    <t>Absentia </t>
  </si>
  <si>
    <t>The Brothers McMullen </t>
  </si>
  <si>
    <t>Tiny Furniture </t>
  </si>
  <si>
    <t>Counting </t>
  </si>
  <si>
    <t>The Call of Cthulhu </t>
  </si>
  <si>
    <t>Bending Steel </t>
  </si>
  <si>
    <t>The Signal </t>
  </si>
  <si>
    <t>This Is Martin Bonner </t>
  </si>
  <si>
    <t>George Washington </t>
  </si>
  <si>
    <t>Smiling Fish &amp; Goat on Fire </t>
  </si>
  <si>
    <t>The Legend of God's Gun </t>
  </si>
  <si>
    <t>Clerks </t>
  </si>
  <si>
    <t>Pink Narcissus </t>
  </si>
  <si>
    <t>In the Company of Men </t>
  </si>
  <si>
    <t>Slacker </t>
  </si>
  <si>
    <t>Breaking Upwards </t>
  </si>
  <si>
    <t>Pink Flamingos </t>
  </si>
  <si>
    <t>Clean </t>
  </si>
  <si>
    <t>The Circle </t>
  </si>
  <si>
    <t>The Cure </t>
  </si>
  <si>
    <t>Primer </t>
  </si>
  <si>
    <t>El Mariachi </t>
  </si>
  <si>
    <t>A Plague So Pleasant </t>
  </si>
  <si>
    <t>My Date with Drew </t>
  </si>
  <si>
    <t>Row Labels</t>
  </si>
  <si>
    <t>Grand Total</t>
  </si>
  <si>
    <t>Dashboard</t>
  </si>
  <si>
    <t>Country</t>
  </si>
  <si>
    <t>Average of budget</t>
  </si>
  <si>
    <t>Average of duration</t>
  </si>
  <si>
    <t>Number of movies</t>
  </si>
  <si>
    <t>Average IMDB score</t>
  </si>
  <si>
    <t>Producing movies since</t>
  </si>
  <si>
    <t>Mean of title year</t>
  </si>
  <si>
    <t>SD of IMDB score</t>
  </si>
  <si>
    <t>Average duration</t>
  </si>
  <si>
    <t>Countries</t>
  </si>
  <si>
    <t>Summary Data</t>
  </si>
  <si>
    <t>Movies per year</t>
  </si>
  <si>
    <t>IMDB Scores per year</t>
  </si>
  <si>
    <t>Percentage of profit</t>
  </si>
  <si>
    <t>Movies Produced by country</t>
  </si>
  <si>
    <t>Column Labels</t>
  </si>
  <si>
    <t>Max IMDB score</t>
  </si>
  <si>
    <t>Sum of budget</t>
  </si>
  <si>
    <t>Total Budget Used</t>
  </si>
  <si>
    <t>Budget that the countries should've inverted to beat USA</t>
  </si>
  <si>
    <t>Real budget inverted by the countries during the year when USA had the best IMDB score</t>
  </si>
  <si>
    <t>total sum</t>
  </si>
  <si>
    <t>Total général</t>
  </si>
  <si>
    <t>Étiquettes de lignes</t>
  </si>
  <si>
    <t>IMDB Score</t>
  </si>
  <si>
    <t>Max of IMDB Score</t>
  </si>
  <si>
    <t>Year</t>
  </si>
  <si>
    <t>Duration</t>
  </si>
  <si>
    <t>Gross Revenue</t>
  </si>
  <si>
    <t>Title</t>
  </si>
  <si>
    <t>Language</t>
  </si>
  <si>
    <t>Budget</t>
  </si>
  <si>
    <t>Count of Title</t>
  </si>
  <si>
    <t>Average of IMDB Score</t>
  </si>
  <si>
    <t>Min of Year</t>
  </si>
  <si>
    <t>Average of % earnings</t>
  </si>
  <si>
    <t>Mean year</t>
  </si>
  <si>
    <t>Total Profit</t>
  </si>
  <si>
    <t>StdDev of IMDB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</si>
</sst>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rgb="FF3F3F3F"/>
      </right>
      <top style="thin">
        <color rgb="FF3F3F3F"/>
      </top>
      <bottom/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0" borderId="0" xfId="0" applyNumberFormat="1"/>
    <xf numFmtId="0" fontId="16" fillId="33" borderId="1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2" fontId="0" fillId="0" borderId="0" xfId="0" applyNumberFormat="1"/>
    <xf numFmtId="0" fontId="17" fillId="21" borderId="0" xfId="30"/>
    <xf numFmtId="0" fontId="9" fillId="5" borderId="14" xfId="9" applyBorder="1"/>
    <xf numFmtId="21" fontId="9" fillId="5" borderId="14" xfId="9" applyNumberFormat="1" applyBorder="1"/>
    <xf numFmtId="2" fontId="9" fillId="5" borderId="14" xfId="9" applyNumberFormat="1" applyBorder="1"/>
    <xf numFmtId="164" fontId="9" fillId="5" borderId="16" xfId="9" applyNumberFormat="1" applyBorder="1"/>
    <xf numFmtId="0" fontId="9" fillId="5" borderId="19" xfId="9" applyBorder="1"/>
    <xf numFmtId="0" fontId="3" fillId="5" borderId="1" xfId="2" applyFill="1"/>
    <xf numFmtId="0" fontId="3" fillId="5" borderId="1" xfId="2" applyFill="1" applyAlignment="1">
      <alignment horizontal="center"/>
    </xf>
    <xf numFmtId="0" fontId="0" fillId="34" borderId="0" xfId="0" applyFill="1" applyAlignment="1">
      <alignment horizontal="center"/>
    </xf>
    <xf numFmtId="0" fontId="3" fillId="21" borderId="1" xfId="2" applyFill="1" applyAlignment="1">
      <alignment horizontal="center"/>
    </xf>
    <xf numFmtId="0" fontId="17" fillId="21" borderId="0" xfId="30"/>
    <xf numFmtId="2" fontId="9" fillId="5" borderId="20" xfId="9" applyNumberFormat="1" applyBorder="1" applyAlignment="1">
      <alignment horizontal="center"/>
    </xf>
    <xf numFmtId="2" fontId="9" fillId="5" borderId="19" xfId="9" applyNumberFormat="1" applyBorder="1" applyAlignment="1">
      <alignment horizontal="center"/>
    </xf>
    <xf numFmtId="0" fontId="10" fillId="6" borderId="13" xfId="10" applyBorder="1" applyAlignment="1">
      <alignment horizontal="center"/>
    </xf>
    <xf numFmtId="0" fontId="10" fillId="6" borderId="5" xfId="10" applyAlignment="1">
      <alignment horizontal="center"/>
    </xf>
    <xf numFmtId="0" fontId="10" fillId="6" borderId="12" xfId="10" applyBorder="1" applyAlignment="1">
      <alignment horizontal="center"/>
    </xf>
    <xf numFmtId="0" fontId="10" fillId="6" borderId="18" xfId="10" applyBorder="1" applyAlignment="1">
      <alignment horizontal="center"/>
    </xf>
    <xf numFmtId="0" fontId="1" fillId="32" borderId="0" xfId="41" applyBorder="1" applyAlignment="1">
      <alignment horizontal="center"/>
    </xf>
    <xf numFmtId="0" fontId="9" fillId="5" borderId="17" xfId="9" applyBorder="1" applyAlignment="1">
      <alignment horizontal="center"/>
    </xf>
    <xf numFmtId="0" fontId="9" fillId="5" borderId="16" xfId="9" applyBorder="1" applyAlignment="1">
      <alignment horizontal="center"/>
    </xf>
    <xf numFmtId="0" fontId="17" fillId="9" borderId="0" xfId="18" applyAlignment="1">
      <alignment horizontal="center" vertical="center"/>
    </xf>
    <xf numFmtId="0" fontId="10" fillId="6" borderId="11" xfId="10" applyBorder="1" applyAlignment="1">
      <alignment horizontal="center"/>
    </xf>
    <xf numFmtId="0" fontId="10" fillId="6" borderId="15" xfId="1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[Spreadsheets-96-abh-abg-movies.xlsm]EDA - Pivot Tables!PivotTable1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'EDA - Pivot Tables'!$B$4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2A9-4905-9D05-9AAD484C073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A9-4905-9D05-9AAD484C073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2A9-4905-9D05-9AAD484C073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2A9-4905-9D05-9AAD484C073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2A9-4905-9D05-9AAD484C073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2A9-4905-9D05-9AAD484C073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2A9-4905-9D05-9AAD484C073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2A9-4905-9D05-9AAD484C073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F2A9-4905-9D05-9AAD484C073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2A9-4905-9D05-9AAD484C073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F2A9-4905-9D05-9AAD484C0732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F2A9-4905-9D05-9AAD484C0732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2A9-4905-9D05-9AAD484C0732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F2A9-4905-9D05-9AAD484C0732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F2A9-4905-9D05-9AAD484C0732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F2A9-4905-9D05-9AAD484C0732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F2A9-4905-9D05-9AAD484C0732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F2A9-4905-9D05-9AAD484C0732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F2A9-4905-9D05-9AAD484C0732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F2A9-4905-9D05-9AAD484C0732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F2A9-4905-9D05-9AAD484C0732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F2A9-4905-9D05-9AAD484C0732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F2A9-4905-9D05-9AAD484C0732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F2A9-4905-9D05-9AAD484C0732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F2A9-4905-9D05-9AAD484C0732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F2A9-4905-9D05-9AAD484C0732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F2A9-4905-9D05-9AAD484C0732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F2A9-4905-9D05-9AAD484C0732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F2A9-4905-9D05-9AAD484C0732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F2A9-4905-9D05-9AAD484C0732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F2A9-4905-9D05-9AAD484C0732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F2A9-4905-9D05-9AAD484C0732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F2A9-4905-9D05-9AAD484C0732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F2A9-4905-9D05-9AAD484C0732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F2A9-4905-9D05-9AAD484C0732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F2A9-4905-9D05-9AAD484C0732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F2A9-4905-9D05-9AAD484C0732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F2A9-4905-9D05-9AAD484C0732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F2A9-4905-9D05-9AAD484C0732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F2A9-4905-9D05-9AAD484C0732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F2A9-4905-9D05-9AAD484C0732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F2A9-4905-9D05-9AAD484C0732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F2A9-4905-9D05-9AAD484C0732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F2A9-4905-9D05-9AAD484C0732}"/>
              </c:ext>
            </c:extLst>
          </c:dPt>
          <c:cat>
            <c:strRef>
              <c:f>'EDA - Pivot Tables'!$A$5:$A$49</c:f>
              <c:strCache>
                <c:ptCount val="44"/>
                <c:pt idx="0">
                  <c:v>USA</c:v>
                </c:pt>
                <c:pt idx="1">
                  <c:v>UK</c:v>
                </c:pt>
                <c:pt idx="2">
                  <c:v>France</c:v>
                </c:pt>
                <c:pt idx="3">
                  <c:v>Germany</c:v>
                </c:pt>
                <c:pt idx="4">
                  <c:v>Canada</c:v>
                </c:pt>
                <c:pt idx="5">
                  <c:v>Australia</c:v>
                </c:pt>
                <c:pt idx="6">
                  <c:v>Spain</c:v>
                </c:pt>
                <c:pt idx="7">
                  <c:v>Japan</c:v>
                </c:pt>
                <c:pt idx="8">
                  <c:v>China</c:v>
                </c:pt>
                <c:pt idx="9">
                  <c:v>Hong Kong</c:v>
                </c:pt>
                <c:pt idx="10">
                  <c:v>Italy</c:v>
                </c:pt>
                <c:pt idx="11">
                  <c:v>New Zealand</c:v>
                </c:pt>
                <c:pt idx="12">
                  <c:v>India</c:v>
                </c:pt>
                <c:pt idx="13">
                  <c:v>South Korea</c:v>
                </c:pt>
                <c:pt idx="14">
                  <c:v>Denmark</c:v>
                </c:pt>
                <c:pt idx="15">
                  <c:v>Mexico</c:v>
                </c:pt>
                <c:pt idx="16">
                  <c:v>Ireland</c:v>
                </c:pt>
                <c:pt idx="17">
                  <c:v>Brazil</c:v>
                </c:pt>
                <c:pt idx="18">
                  <c:v>Norway</c:v>
                </c:pt>
                <c:pt idx="19">
                  <c:v>Iran</c:v>
                </c:pt>
                <c:pt idx="20">
                  <c:v>Thailand</c:v>
                </c:pt>
                <c:pt idx="21">
                  <c:v>South Africa</c:v>
                </c:pt>
                <c:pt idx="22">
                  <c:v>Russia</c:v>
                </c:pt>
                <c:pt idx="23">
                  <c:v>Argentina</c:v>
                </c:pt>
                <c:pt idx="24">
                  <c:v>Romania</c:v>
                </c:pt>
                <c:pt idx="25">
                  <c:v>Czech Republic</c:v>
                </c:pt>
                <c:pt idx="26">
                  <c:v>Netherlands</c:v>
                </c:pt>
                <c:pt idx="27">
                  <c:v>Iceland</c:v>
                </c:pt>
                <c:pt idx="28">
                  <c:v>Israel</c:v>
                </c:pt>
                <c:pt idx="29">
                  <c:v>Taiwan</c:v>
                </c:pt>
                <c:pt idx="30">
                  <c:v>Belgium</c:v>
                </c:pt>
                <c:pt idx="31">
                  <c:v>Hungary</c:v>
                </c:pt>
                <c:pt idx="32">
                  <c:v>Peru</c:v>
                </c:pt>
                <c:pt idx="33">
                  <c:v>West Germany</c:v>
                </c:pt>
                <c:pt idx="34">
                  <c:v>Finland</c:v>
                </c:pt>
                <c:pt idx="35">
                  <c:v>Aruba</c:v>
                </c:pt>
                <c:pt idx="36">
                  <c:v>Sweden</c:v>
                </c:pt>
                <c:pt idx="37">
                  <c:v>Greece</c:v>
                </c:pt>
                <c:pt idx="38">
                  <c:v>Colombia</c:v>
                </c:pt>
                <c:pt idx="39">
                  <c:v>Chile</c:v>
                </c:pt>
                <c:pt idx="40">
                  <c:v>Poland</c:v>
                </c:pt>
                <c:pt idx="41">
                  <c:v>Georgia</c:v>
                </c:pt>
                <c:pt idx="42">
                  <c:v>Afghanistan</c:v>
                </c:pt>
                <c:pt idx="43">
                  <c:v>Indonesia</c:v>
                </c:pt>
              </c:strCache>
            </c:strRef>
          </c:cat>
          <c:val>
            <c:numRef>
              <c:f>'EDA - Pivot Tables'!$B$5:$B$49</c:f>
              <c:numCache>
                <c:formatCode>General</c:formatCode>
                <c:ptCount val="44"/>
                <c:pt idx="0">
                  <c:v>3056</c:v>
                </c:pt>
                <c:pt idx="1">
                  <c:v>324</c:v>
                </c:pt>
                <c:pt idx="2">
                  <c:v>104</c:v>
                </c:pt>
                <c:pt idx="3">
                  <c:v>82</c:v>
                </c:pt>
                <c:pt idx="4">
                  <c:v>62</c:v>
                </c:pt>
                <c:pt idx="5">
                  <c:v>40</c:v>
                </c:pt>
                <c:pt idx="6">
                  <c:v>22</c:v>
                </c:pt>
                <c:pt idx="7">
                  <c:v>17</c:v>
                </c:pt>
                <c:pt idx="8">
                  <c:v>15</c:v>
                </c:pt>
                <c:pt idx="9">
                  <c:v>13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7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F2A9-4905-9D05-9AAD484C0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[Spreadsheets-96-abh-abg-movies.xlsm]EDA - Pivot Tables!PivotTable2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- Pivot Tables'!$G$4:$G$5</c:f>
              <c:strCache>
                <c:ptCount val="1"/>
                <c:pt idx="0">
                  <c:v>USA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'EDA - Pivot Tables'!$F$6:$F$11</c:f>
              <c:strCache>
                <c:ptCount val="5"/>
                <c:pt idx="0">
                  <c:v>1994</c:v>
                </c:pt>
                <c:pt idx="1">
                  <c:v>1972</c:v>
                </c:pt>
                <c:pt idx="2">
                  <c:v>1974</c:v>
                </c:pt>
                <c:pt idx="3">
                  <c:v>2008</c:v>
                </c:pt>
                <c:pt idx="4">
                  <c:v>2016</c:v>
                </c:pt>
              </c:strCache>
            </c:strRef>
          </c:cat>
          <c:val>
            <c:numRef>
              <c:f>'EDA - Pivot Tables'!$G$6:$G$11</c:f>
              <c:numCache>
                <c:formatCode>General</c:formatCode>
                <c:ptCount val="5"/>
                <c:pt idx="0">
                  <c:v>9.3000000000000007</c:v>
                </c:pt>
                <c:pt idx="1">
                  <c:v>9.1999999999999993</c:v>
                </c:pt>
                <c:pt idx="2">
                  <c:v>9</c:v>
                </c:pt>
                <c:pt idx="3">
                  <c:v>9</c:v>
                </c:pt>
                <c:pt idx="4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D-42AF-B5ED-D5FFA5A83765}"/>
            </c:ext>
          </c:extLst>
        </c:ser>
        <c:ser>
          <c:idx val="1"/>
          <c:order val="1"/>
          <c:tx>
            <c:strRef>
              <c:f>'EDA - Pivot Tables'!$H$4:$H$5</c:f>
              <c:strCache>
                <c:ptCount val="1"/>
                <c:pt idx="0">
                  <c:v>UK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'EDA - Pivot Tables'!$F$6:$F$11</c:f>
              <c:strCache>
                <c:ptCount val="5"/>
                <c:pt idx="0">
                  <c:v>1994</c:v>
                </c:pt>
                <c:pt idx="1">
                  <c:v>1972</c:v>
                </c:pt>
                <c:pt idx="2">
                  <c:v>1974</c:v>
                </c:pt>
                <c:pt idx="3">
                  <c:v>2008</c:v>
                </c:pt>
                <c:pt idx="4">
                  <c:v>2016</c:v>
                </c:pt>
              </c:strCache>
            </c:strRef>
          </c:cat>
          <c:val>
            <c:numRef>
              <c:f>'EDA - Pivot Tables'!$H$6:$H$11</c:f>
              <c:numCache>
                <c:formatCode>General</c:formatCode>
                <c:ptCount val="5"/>
                <c:pt idx="0">
                  <c:v>7.3</c:v>
                </c:pt>
                <c:pt idx="2">
                  <c:v>6.8</c:v>
                </c:pt>
                <c:pt idx="3">
                  <c:v>8</c:v>
                </c:pt>
                <c:pt idx="4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FD-42AF-B5ED-D5FFA5A83765}"/>
            </c:ext>
          </c:extLst>
        </c:ser>
        <c:ser>
          <c:idx val="2"/>
          <c:order val="2"/>
          <c:tx>
            <c:strRef>
              <c:f>'EDA - Pivot Tables'!$I$4:$I$5</c:f>
              <c:strCache>
                <c:ptCount val="1"/>
                <c:pt idx="0">
                  <c:v>France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'EDA - Pivot Tables'!$F$6:$F$11</c:f>
              <c:strCache>
                <c:ptCount val="5"/>
                <c:pt idx="0">
                  <c:v>1994</c:v>
                </c:pt>
                <c:pt idx="1">
                  <c:v>1972</c:v>
                </c:pt>
                <c:pt idx="2">
                  <c:v>1974</c:v>
                </c:pt>
                <c:pt idx="3">
                  <c:v>2008</c:v>
                </c:pt>
                <c:pt idx="4">
                  <c:v>2016</c:v>
                </c:pt>
              </c:strCache>
            </c:strRef>
          </c:cat>
          <c:val>
            <c:numRef>
              <c:f>'EDA - Pivot Tables'!$I$6:$I$11</c:f>
              <c:numCache>
                <c:formatCode>General</c:formatCode>
                <c:ptCount val="5"/>
                <c:pt idx="3">
                  <c:v>7.9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FD-42AF-B5ED-D5FFA5A83765}"/>
            </c:ext>
          </c:extLst>
        </c:ser>
        <c:ser>
          <c:idx val="3"/>
          <c:order val="3"/>
          <c:tx>
            <c:strRef>
              <c:f>'EDA - Pivot Tables'!$J$4:$J$5</c:f>
              <c:strCache>
                <c:ptCount val="1"/>
                <c:pt idx="0">
                  <c:v>Canada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'EDA - Pivot Tables'!$F$6:$F$11</c:f>
              <c:strCache>
                <c:ptCount val="5"/>
                <c:pt idx="0">
                  <c:v>1994</c:v>
                </c:pt>
                <c:pt idx="1">
                  <c:v>1972</c:v>
                </c:pt>
                <c:pt idx="2">
                  <c:v>1974</c:v>
                </c:pt>
                <c:pt idx="3">
                  <c:v>2008</c:v>
                </c:pt>
                <c:pt idx="4">
                  <c:v>2016</c:v>
                </c:pt>
              </c:strCache>
            </c:strRef>
          </c:cat>
          <c:val>
            <c:numRef>
              <c:f>'EDA - Pivot Tables'!$J$6:$J$11</c:f>
              <c:numCache>
                <c:formatCode>General</c:formatCode>
                <c:ptCount val="5"/>
                <c:pt idx="0">
                  <c:v>7.2</c:v>
                </c:pt>
                <c:pt idx="3">
                  <c:v>6.7</c:v>
                </c:pt>
                <c:pt idx="4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FD-42AF-B5ED-D5FFA5A83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6642928"/>
        <c:axId val="1774797408"/>
      </c:barChart>
      <c:catAx>
        <c:axId val="176664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4797408"/>
        <c:crosses val="autoZero"/>
        <c:auto val="1"/>
        <c:lblAlgn val="ctr"/>
        <c:lblOffset val="100"/>
        <c:noMultiLvlLbl val="0"/>
      </c:catAx>
      <c:valAx>
        <c:axId val="177479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6664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[Spreadsheets-96-abh-abg-movies.xlsm]EDA - Pivot Tables!PivotTable3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- Pivot Tables'!$G$21:$G$22</c:f>
              <c:strCache>
                <c:ptCount val="1"/>
                <c:pt idx="0">
                  <c:v>USA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'EDA - Pivot Tables'!$F$23:$F$28</c:f>
              <c:strCache>
                <c:ptCount val="5"/>
                <c:pt idx="0">
                  <c:v>2008</c:v>
                </c:pt>
                <c:pt idx="1">
                  <c:v>2016</c:v>
                </c:pt>
                <c:pt idx="2">
                  <c:v>1994</c:v>
                </c:pt>
                <c:pt idx="3">
                  <c:v>1974</c:v>
                </c:pt>
                <c:pt idx="4">
                  <c:v>1972</c:v>
                </c:pt>
              </c:strCache>
            </c:strRef>
          </c:cat>
          <c:val>
            <c:numRef>
              <c:f>'EDA - Pivot Tables'!$G$23:$G$28</c:f>
              <c:numCache>
                <c:formatCode>General</c:formatCode>
                <c:ptCount val="5"/>
                <c:pt idx="0">
                  <c:v>6142600000</c:v>
                </c:pt>
                <c:pt idx="1">
                  <c:v>3725400000</c:v>
                </c:pt>
                <c:pt idx="2">
                  <c:v>1342130000</c:v>
                </c:pt>
                <c:pt idx="3">
                  <c:v>19067064</c:v>
                </c:pt>
                <c:pt idx="4">
                  <c:v>7010000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7-49FD-A77F-EFAAA4354F4B}"/>
            </c:ext>
          </c:extLst>
        </c:ser>
        <c:ser>
          <c:idx val="1"/>
          <c:order val="1"/>
          <c:tx>
            <c:strRef>
              <c:f>'EDA - Pivot Tables'!$H$21:$H$22</c:f>
              <c:strCache>
                <c:ptCount val="1"/>
                <c:pt idx="0">
                  <c:v>UK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'EDA - Pivot Tables'!$F$23:$F$28</c:f>
              <c:strCache>
                <c:ptCount val="5"/>
                <c:pt idx="0">
                  <c:v>2008</c:v>
                </c:pt>
                <c:pt idx="1">
                  <c:v>2016</c:v>
                </c:pt>
                <c:pt idx="2">
                  <c:v>1994</c:v>
                </c:pt>
                <c:pt idx="3">
                  <c:v>1974</c:v>
                </c:pt>
                <c:pt idx="4">
                  <c:v>1972</c:v>
                </c:pt>
              </c:strCache>
            </c:strRef>
          </c:cat>
          <c:val>
            <c:numRef>
              <c:f>'EDA - Pivot Tables'!$H$23:$H$28</c:f>
              <c:numCache>
                <c:formatCode>General</c:formatCode>
                <c:ptCount val="5"/>
                <c:pt idx="0">
                  <c:v>527900000</c:v>
                </c:pt>
                <c:pt idx="1">
                  <c:v>814500000</c:v>
                </c:pt>
                <c:pt idx="2">
                  <c:v>34500000</c:v>
                </c:pt>
                <c:pt idx="3">
                  <c:v>13000000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7-49FD-A77F-EFAAA4354F4B}"/>
            </c:ext>
          </c:extLst>
        </c:ser>
        <c:ser>
          <c:idx val="2"/>
          <c:order val="2"/>
          <c:tx>
            <c:strRef>
              <c:f>'EDA - Pivot Tables'!$I$21:$I$22</c:f>
              <c:strCache>
                <c:ptCount val="1"/>
                <c:pt idx="0">
                  <c:v>Canada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'EDA - Pivot Tables'!$F$23:$F$28</c:f>
              <c:strCache>
                <c:ptCount val="5"/>
                <c:pt idx="0">
                  <c:v>2008</c:v>
                </c:pt>
                <c:pt idx="1">
                  <c:v>2016</c:v>
                </c:pt>
                <c:pt idx="2">
                  <c:v>1994</c:v>
                </c:pt>
                <c:pt idx="3">
                  <c:v>1974</c:v>
                </c:pt>
                <c:pt idx="4">
                  <c:v>1972</c:v>
                </c:pt>
              </c:strCache>
            </c:strRef>
          </c:cat>
          <c:val>
            <c:numRef>
              <c:f>'EDA - Pivot Tables'!$I$23:$I$28</c:f>
              <c:numCache>
                <c:formatCode>General</c:formatCode>
                <c:ptCount val="5"/>
                <c:pt idx="0">
                  <c:v>61500000</c:v>
                </c:pt>
                <c:pt idx="1">
                  <c:v>3500000</c:v>
                </c:pt>
                <c:pt idx="2">
                  <c:v>55000000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27-49FD-A77F-EFAAA4354F4B}"/>
            </c:ext>
          </c:extLst>
        </c:ser>
        <c:ser>
          <c:idx val="3"/>
          <c:order val="3"/>
          <c:tx>
            <c:strRef>
              <c:f>'EDA - Pivot Tables'!$J$21:$J$22</c:f>
              <c:strCache>
                <c:ptCount val="1"/>
                <c:pt idx="0">
                  <c:v>France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'EDA - Pivot Tables'!$F$23:$F$28</c:f>
              <c:strCache>
                <c:ptCount val="5"/>
                <c:pt idx="0">
                  <c:v>2008</c:v>
                </c:pt>
                <c:pt idx="1">
                  <c:v>2016</c:v>
                </c:pt>
                <c:pt idx="2">
                  <c:v>1994</c:v>
                </c:pt>
                <c:pt idx="3">
                  <c:v>1974</c:v>
                </c:pt>
                <c:pt idx="4">
                  <c:v>1972</c:v>
                </c:pt>
              </c:strCache>
            </c:strRef>
          </c:cat>
          <c:val>
            <c:numRef>
              <c:f>'EDA - Pivot Tables'!$J$23:$J$28</c:f>
              <c:numCache>
                <c:formatCode>General</c:formatCode>
                <c:ptCount val="5"/>
                <c:pt idx="0">
                  <c:v>95000000</c:v>
                </c:pt>
                <c:pt idx="1">
                  <c:v>17000000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27-49FD-A77F-EFAAA4354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3100576"/>
        <c:axId val="90852864"/>
      </c:barChart>
      <c:catAx>
        <c:axId val="184310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0852864"/>
        <c:crosses val="autoZero"/>
        <c:auto val="1"/>
        <c:lblAlgn val="ctr"/>
        <c:lblOffset val="100"/>
        <c:noMultiLvlLbl val="0"/>
      </c:catAx>
      <c:valAx>
        <c:axId val="908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310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[Spreadsheets-96-abh-abg-movies.xlsm]DB - Pivot Tables!PivotTable1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Number of movies per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5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4925" cap="rnd">
            <a:solidFill>
              <a:schemeClr val="accent5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'DB - Pivot Tables'!$B$22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'DB - Pivot Tables'!$A$23:$A$43</c:f>
              <c:strCache>
                <c:ptCount val="20"/>
                <c:pt idx="0">
                  <c:v>1981</c:v>
                </c:pt>
                <c:pt idx="1">
                  <c:v>1994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</c:strCache>
            </c:strRef>
          </c:cat>
          <c:val>
            <c:numRef>
              <c:f>'DB - Pivot Tables'!$B$23:$B$43</c:f>
              <c:numCache>
                <c:formatCode>General</c:formatCode>
                <c:ptCount val="20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6</c:v>
                </c:pt>
                <c:pt idx="13">
                  <c:v>4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9A-4D9A-97D0-5B84830B37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298943"/>
        <c:axId val="204828655"/>
      </c:lineChart>
      <c:catAx>
        <c:axId val="31298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828655"/>
        <c:crosses val="autoZero"/>
        <c:auto val="1"/>
        <c:lblAlgn val="ctr"/>
        <c:lblOffset val="100"/>
        <c:noMultiLvlLbl val="0"/>
      </c:catAx>
      <c:valAx>
        <c:axId val="20482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298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[Spreadsheets-96-abh-abg-movies.xlsm]DB - Pivot Tables!PivotTable2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Quality and</a:t>
            </a:r>
            <a:r>
              <a:rPr lang="es-ES" baseline="0"/>
              <a:t> Budget Size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6">
                <a:lumMod val="75000"/>
              </a:schemeClr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1"/>
          <c:order val="1"/>
          <c:tx>
            <c:strRef>
              <c:f>'DB - Pivot Tables'!$C$109</c:f>
              <c:strCache>
                <c:ptCount val="1"/>
                <c:pt idx="0">
                  <c:v>Average of budget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'DB - Pivot Tables'!$A$110:$A$130</c:f>
              <c:strCache>
                <c:ptCount val="20"/>
                <c:pt idx="0">
                  <c:v>1981</c:v>
                </c:pt>
                <c:pt idx="1">
                  <c:v>1994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</c:strCache>
            </c:strRef>
          </c:cat>
          <c:val>
            <c:numRef>
              <c:f>'DB - Pivot Tables'!$C$110:$C$130</c:f>
              <c:numCache>
                <c:formatCode>General</c:formatCode>
                <c:ptCount val="20"/>
                <c:pt idx="0">
                  <c:v>4000000</c:v>
                </c:pt>
                <c:pt idx="1">
                  <c:v>18333333.333333332</c:v>
                </c:pt>
                <c:pt idx="2">
                  <c:v>1796666.6666666667</c:v>
                </c:pt>
                <c:pt idx="3">
                  <c:v>13000000</c:v>
                </c:pt>
                <c:pt idx="4">
                  <c:v>24666666.666666668</c:v>
                </c:pt>
                <c:pt idx="5">
                  <c:v>35000000</c:v>
                </c:pt>
                <c:pt idx="6">
                  <c:v>12620000</c:v>
                </c:pt>
                <c:pt idx="7">
                  <c:v>27571428.571428571</c:v>
                </c:pt>
                <c:pt idx="8">
                  <c:v>12000000</c:v>
                </c:pt>
                <c:pt idx="9">
                  <c:v>27666666.666666668</c:v>
                </c:pt>
                <c:pt idx="10">
                  <c:v>70875000</c:v>
                </c:pt>
                <c:pt idx="11">
                  <c:v>20500000</c:v>
                </c:pt>
                <c:pt idx="12">
                  <c:v>14833333.333333334</c:v>
                </c:pt>
                <c:pt idx="13">
                  <c:v>10725000</c:v>
                </c:pt>
                <c:pt idx="14">
                  <c:v>3000000</c:v>
                </c:pt>
                <c:pt idx="15">
                  <c:v>5450000</c:v>
                </c:pt>
                <c:pt idx="16">
                  <c:v>20000000</c:v>
                </c:pt>
                <c:pt idx="17">
                  <c:v>61000000</c:v>
                </c:pt>
                <c:pt idx="18">
                  <c:v>10000000</c:v>
                </c:pt>
                <c:pt idx="19">
                  <c:v>3500000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0F-4985-8044-32E9AE0DD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906463"/>
        <c:axId val="204836975"/>
      </c:lineChart>
      <c:lineChart>
        <c:grouping val="standard"/>
        <c:varyColors val="0"/>
        <c:ser>
          <c:idx val="0"/>
          <c:order val="0"/>
          <c:tx>
            <c:strRef>
              <c:f>'DB - Pivot Tables'!$B$109</c:f>
              <c:strCache>
                <c:ptCount val="1"/>
                <c:pt idx="0">
                  <c:v>Average of IMDB Score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'DB - Pivot Tables'!$A$110:$A$130</c:f>
              <c:strCache>
                <c:ptCount val="20"/>
                <c:pt idx="0">
                  <c:v>1981</c:v>
                </c:pt>
                <c:pt idx="1">
                  <c:v>1994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</c:strCache>
            </c:strRef>
          </c:cat>
          <c:val>
            <c:numRef>
              <c:f>'DB - Pivot Tables'!$B$110:$B$130</c:f>
              <c:numCache>
                <c:formatCode>General</c:formatCode>
                <c:ptCount val="20"/>
                <c:pt idx="0">
                  <c:v>6.2</c:v>
                </c:pt>
                <c:pt idx="1">
                  <c:v>5.7666666666666666</c:v>
                </c:pt>
                <c:pt idx="2">
                  <c:v>7.4333333333333336</c:v>
                </c:pt>
                <c:pt idx="3">
                  <c:v>5.8800000000000008</c:v>
                </c:pt>
                <c:pt idx="4">
                  <c:v>6.1333333333333337</c:v>
                </c:pt>
                <c:pt idx="5">
                  <c:v>5.85</c:v>
                </c:pt>
                <c:pt idx="6">
                  <c:v>6.0400000000000009</c:v>
                </c:pt>
                <c:pt idx="7">
                  <c:v>7.0285714285714294</c:v>
                </c:pt>
                <c:pt idx="8">
                  <c:v>7.35</c:v>
                </c:pt>
                <c:pt idx="9">
                  <c:v>5.45</c:v>
                </c:pt>
                <c:pt idx="10">
                  <c:v>6.6750000000000007</c:v>
                </c:pt>
                <c:pt idx="11">
                  <c:v>6.2333333333333343</c:v>
                </c:pt>
                <c:pt idx="12">
                  <c:v>5.7666666666666666</c:v>
                </c:pt>
                <c:pt idx="13">
                  <c:v>6.5250000000000004</c:v>
                </c:pt>
                <c:pt idx="14">
                  <c:v>6.1</c:v>
                </c:pt>
                <c:pt idx="15">
                  <c:v>5.4</c:v>
                </c:pt>
                <c:pt idx="16">
                  <c:v>6.2</c:v>
                </c:pt>
                <c:pt idx="17">
                  <c:v>5.6999999999999993</c:v>
                </c:pt>
                <c:pt idx="18">
                  <c:v>6.1</c:v>
                </c:pt>
                <c:pt idx="19">
                  <c:v>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3-42B9-8A99-0A99C5CE9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4337776"/>
        <c:axId val="1416795280"/>
      </c:lineChart>
      <c:catAx>
        <c:axId val="204906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836975"/>
        <c:crosses val="autoZero"/>
        <c:auto val="1"/>
        <c:lblAlgn val="ctr"/>
        <c:lblOffset val="100"/>
        <c:noMultiLvlLbl val="0"/>
      </c:catAx>
      <c:valAx>
        <c:axId val="20483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906463"/>
        <c:crosses val="autoZero"/>
        <c:crossBetween val="between"/>
      </c:valAx>
      <c:valAx>
        <c:axId val="1416795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54337776"/>
        <c:crosses val="max"/>
        <c:crossBetween val="between"/>
      </c:valAx>
      <c:catAx>
        <c:axId val="185433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16795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[Spreadsheets-96-abh-abg-movies.xlsm]DB - Pivot Tables!PivotTable3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Percentage of profit</a:t>
            </a:r>
            <a:r>
              <a:rPr lang="en-US" baseline="0"/>
              <a:t> from the budget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70AD47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0AD47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'DB - Pivot Tables'!$B$196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1"/>
          <c:cat>
            <c:strRef>
              <c:f>'DB - Pivot Tables'!$A$197:$A$217</c:f>
              <c:strCache>
                <c:ptCount val="20"/>
                <c:pt idx="0">
                  <c:v>1981</c:v>
                </c:pt>
                <c:pt idx="1">
                  <c:v>1994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</c:strCache>
            </c:strRef>
          </c:cat>
          <c:val>
            <c:numRef>
              <c:f>'DB - Pivot Tables'!$B$197:$B$217</c:f>
              <c:numCache>
                <c:formatCode>0.00%</c:formatCode>
                <c:ptCount val="20"/>
                <c:pt idx="0">
                  <c:v>25.375</c:v>
                </c:pt>
                <c:pt idx="1">
                  <c:v>0.15294465454545447</c:v>
                </c:pt>
                <c:pt idx="2">
                  <c:v>0.41976604823747676</c:v>
                </c:pt>
                <c:pt idx="3">
                  <c:v>7.2028369230769274E-2</c:v>
                </c:pt>
                <c:pt idx="4">
                  <c:v>-0.61908697297297299</c:v>
                </c:pt>
                <c:pt idx="5">
                  <c:v>1.2286471428571533E-2</c:v>
                </c:pt>
                <c:pt idx="6">
                  <c:v>0.45619889064976227</c:v>
                </c:pt>
                <c:pt idx="7">
                  <c:v>0.22961144559585489</c:v>
                </c:pt>
                <c:pt idx="8">
                  <c:v>-0.64440937499999995</c:v>
                </c:pt>
                <c:pt idx="9">
                  <c:v>0.16024407228915671</c:v>
                </c:pt>
                <c:pt idx="10">
                  <c:v>2.0865911816578375E-2</c:v>
                </c:pt>
                <c:pt idx="11">
                  <c:v>-0.28838757723577235</c:v>
                </c:pt>
                <c:pt idx="12">
                  <c:v>-0.22099241573033712</c:v>
                </c:pt>
                <c:pt idx="13">
                  <c:v>0.24997550116550116</c:v>
                </c:pt>
                <c:pt idx="14">
                  <c:v>-0.76566599999999996</c:v>
                </c:pt>
                <c:pt idx="15">
                  <c:v>1.9001523853211011</c:v>
                </c:pt>
                <c:pt idx="16">
                  <c:v>2.5794109999999999</c:v>
                </c:pt>
                <c:pt idx="17">
                  <c:v>-0.28312690163934429</c:v>
                </c:pt>
                <c:pt idx="18">
                  <c:v>4.2200503999999999</c:v>
                </c:pt>
                <c:pt idx="19">
                  <c:v>-0.96463514285714291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14:spPr>
              </c14:invertSolidFillFmt>
            </c:ext>
            <c:ext xmlns:c16="http://schemas.microsoft.com/office/drawing/2014/chart" uri="{C3380CC4-5D6E-409C-BE32-E72D297353CC}">
              <c16:uniqueId val="{00000000-7F22-46A8-BCEC-8738609E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428947023"/>
        <c:axId val="371673103"/>
      </c:barChart>
      <c:catAx>
        <c:axId val="4289470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1673103"/>
        <c:crosses val="autoZero"/>
        <c:auto val="1"/>
        <c:lblAlgn val="ctr"/>
        <c:lblOffset val="100"/>
        <c:noMultiLvlLbl val="0"/>
      </c:catAx>
      <c:valAx>
        <c:axId val="371673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894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22" fmlaRange="'DB - Pivot Tables'!$H$11:$H$54" noThreeD="1" sel="7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185737</xdr:rowOff>
    </xdr:from>
    <xdr:to>
      <xdr:col>7</xdr:col>
      <xdr:colOff>447675</xdr:colOff>
      <xdr:row>15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</xdr:colOff>
      <xdr:row>1</xdr:row>
      <xdr:rowOff>4762</xdr:rowOff>
    </xdr:from>
    <xdr:to>
      <xdr:col>15</xdr:col>
      <xdr:colOff>333375</xdr:colOff>
      <xdr:row>15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123825</xdr:colOff>
      <xdr:row>16</xdr:row>
      <xdr:rowOff>80962</xdr:rowOff>
    </xdr:from>
    <xdr:to>
      <xdr:col>7</xdr:col>
      <xdr:colOff>428625</xdr:colOff>
      <xdr:row>30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662609</xdr:colOff>
      <xdr:row>15</xdr:row>
      <xdr:rowOff>75371</xdr:rowOff>
    </xdr:from>
    <xdr:to>
      <xdr:col>17</xdr:col>
      <xdr:colOff>548309</xdr:colOff>
      <xdr:row>33</xdr:row>
      <xdr:rowOff>122997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147845</xdr:colOff>
      <xdr:row>15</xdr:row>
      <xdr:rowOff>83655</xdr:rowOff>
    </xdr:from>
    <xdr:to>
      <xdr:col>8</xdr:col>
      <xdr:colOff>455958</xdr:colOff>
      <xdr:row>33</xdr:row>
      <xdr:rowOff>124240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161923</xdr:colOff>
      <xdr:row>35</xdr:row>
      <xdr:rowOff>85724</xdr:rowOff>
    </xdr:from>
    <xdr:to>
      <xdr:col>17</xdr:col>
      <xdr:colOff>561974</xdr:colOff>
      <xdr:row>67</xdr:row>
      <xdr:rowOff>142875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190500</xdr:rowOff>
        </xdr:from>
        <xdr:to>
          <xdr:col>16</xdr:col>
          <xdr:colOff>581025</xdr:colOff>
          <xdr:row>5</xdr:row>
          <xdr:rowOff>180975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" refreshedDate="43956.708916435186" createdVersion="6" refreshedVersion="6" minRefreshableVersion="3" recordCount="3856" xr:uid="{65772F36-0007-4285-8F30-4CF96FB28953}">
  <cacheSource type="worksheet">
    <worksheetSource name="Table1"/>
  </cacheSource>
  <cacheFields count="10">
    <cacheField name="Duration" numFmtId="0">
      <sharedItems containsSemiMixedTypes="0" containsString="0" containsNumber="1" containsInteger="1" minValue="37" maxValue="330"/>
    </cacheField>
    <cacheField name="Gross Revenue" numFmtId="0">
      <sharedItems containsString="0" containsBlank="1" containsNumber="1" containsInteger="1" minValue="162" maxValue="760505847"/>
    </cacheField>
    <cacheField name="Title" numFmtId="0">
      <sharedItems/>
    </cacheField>
    <cacheField name="Language" numFmtId="0">
      <sharedItems containsBlank="1"/>
    </cacheField>
    <cacheField name="Country" numFmtId="0">
      <sharedItems containsBlank="1" count="66">
        <s v="South Korea"/>
        <s v="Hungary"/>
        <s v="Japan"/>
        <s v="India"/>
        <s v="Spain"/>
        <s v="China"/>
        <s v="Thailand"/>
        <s v="France"/>
        <s v="USA"/>
        <s v="UK"/>
        <s v="New Zealand"/>
        <s v="Canada"/>
        <s v="Germany"/>
        <s v="Australia"/>
        <s v="Czech Republic"/>
        <s v="Hong Kong"/>
        <s v="Italy"/>
        <s v="Peru"/>
        <s v="Denmark"/>
        <s v="Aruba"/>
        <s v="Belgium"/>
        <s v="Norway"/>
        <s v="South Africa"/>
        <s v="Ireland"/>
        <s v="Chile"/>
        <s v="Sweden"/>
        <s v="Netherlands"/>
        <s v="Russia"/>
        <s v="Mexico"/>
        <s v="Georgia"/>
        <s v="Greece"/>
        <s v="Taiwan"/>
        <s v="Iran"/>
        <s v="West Germany"/>
        <s v="Romania"/>
        <s v="Iceland"/>
        <s v="Brazil"/>
        <s v="Finland"/>
        <s v="Colombia"/>
        <s v="Poland"/>
        <s v="Argentina"/>
        <s v="Israel"/>
        <s v="Indonesia"/>
        <s v="Afghanistan"/>
        <m u="1"/>
        <s v="Dominican Republic" u="1"/>
        <s v="Switzerland" u="1"/>
        <s v="Kenya" u="1"/>
        <s v="Kyrgyzstan" u="1"/>
        <s v="Bulgaria" u="1"/>
        <s v="Libya" u="1"/>
        <s v="Philippines" u="1"/>
        <s v="Nigeria" u="1"/>
        <s v="Panama" u="1"/>
        <s v="Cameroon" u="1"/>
        <s v="New Line" u="1"/>
        <s v="Slovenia" u="1"/>
        <s v="Official site" u="1"/>
        <s v="Pakistan" u="1"/>
        <s v="Soviet Union" u="1"/>
        <s v="United Arab Emirates" u="1"/>
        <s v="Egypt" u="1"/>
        <s v="Turkey" u="1"/>
        <s v="Cambodia" u="1"/>
        <s v="Slovakia" u="1"/>
        <s v="Bahamas" u="1"/>
      </sharedItems>
    </cacheField>
    <cacheField name="Budget" numFmtId="0">
      <sharedItems containsString="0" containsBlank="1" containsNumber="1" containsInteger="1" minValue="218" maxValue="12215500000"/>
    </cacheField>
    <cacheField name="Year" numFmtId="0">
      <sharedItems containsSemiMixedTypes="0" containsString="0" containsNumber="1" containsInteger="1" minValue="1927" maxValue="2016" count="74">
        <n v="2006"/>
        <n v="2005"/>
        <n v="1997"/>
        <n v="2004"/>
        <n v="1988"/>
        <n v="1999"/>
        <n v="1998"/>
        <n v="2008"/>
        <n v="2001"/>
        <n v="2007"/>
        <n v="2012"/>
        <n v="2010"/>
        <n v="2015"/>
        <n v="2009"/>
        <n v="2016"/>
        <n v="2011"/>
        <n v="2014"/>
        <n v="2013"/>
        <n v="2003"/>
        <n v="1995"/>
        <n v="2002"/>
        <n v="2000"/>
        <n v="1994"/>
        <n v="1991"/>
        <n v="1996"/>
        <n v="1990"/>
        <n v="1992"/>
        <n v="1993"/>
        <n v="1989"/>
        <n v="1984"/>
        <n v="1978"/>
        <n v="1980"/>
        <n v="1987"/>
        <n v="1985"/>
        <n v="1986"/>
        <n v="1983"/>
        <n v="1979"/>
        <n v="1982"/>
        <n v="1963"/>
        <n v="1981"/>
        <n v="1977"/>
        <n v="1970"/>
        <n v="1965"/>
        <n v="1964"/>
        <n v="1962"/>
        <n v="1974"/>
        <n v="1968"/>
        <n v="1967"/>
        <n v="1971"/>
        <n v="1976"/>
        <n v="1973"/>
        <n v="1975"/>
        <n v="1946"/>
        <n v="1969"/>
        <n v="1927"/>
        <n v="1972"/>
        <n v="1961"/>
        <n v="1953"/>
        <n v="1952"/>
        <n v="1939"/>
        <n v="1950"/>
        <n v="1948"/>
        <n v="1957"/>
        <n v="1959"/>
        <n v="1940"/>
        <n v="1947"/>
        <n v="1937"/>
        <n v="1954"/>
        <n v="1936"/>
        <n v="1966"/>
        <n v="1960"/>
        <n v="1935"/>
        <n v="1933"/>
        <n v="1929"/>
      </sharedItems>
    </cacheField>
    <cacheField name="IMDB Score" numFmtId="0">
      <sharedItems containsSemiMixedTypes="0" containsString="0" containsNumber="1" minValue="1.6" maxValue="9.3000000000000007"/>
    </cacheField>
    <cacheField name="Average % earnings" numFmtId="0" formula=" IF(Budget&lt;&gt;0,IF('Gross Revenue'&lt;&gt;0,'Gross Revenue'/Budget-1,&quot;&quot;),&quot;&quot;)" databaseField="0"/>
    <cacheField name="Profit" numFmtId="0" formula="'Gross Revenue'-Budget" databaseField="0"/>
  </cacheFields>
  <extLst>
    <ext xmlns:x14="http://schemas.microsoft.com/office/spreadsheetml/2009/9/main" uri="{725AE2AE-9491-48be-B2B4-4EB974FC3084}">
      <x14:pivotCacheDefinition pivotCacheId="8484328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56">
  <r>
    <n v="110"/>
    <n v="2201412"/>
    <s v="The Host "/>
    <s v="Korean"/>
    <x v="0"/>
    <n v="12215500000"/>
    <x v="0"/>
    <n v="7"/>
  </r>
  <r>
    <n v="112"/>
    <n v="211667"/>
    <s v="Lady Vengeance "/>
    <s v="Korean"/>
    <x v="0"/>
    <n v="4200000000"/>
    <x v="1"/>
    <n v="7.7"/>
  </r>
  <r>
    <n v="134"/>
    <n v="195888"/>
    <s v="Fateless "/>
    <s v="Hungarian"/>
    <x v="1"/>
    <n v="2500000000"/>
    <x v="1"/>
    <n v="7.1"/>
  </r>
  <r>
    <n v="134"/>
    <n v="2298191"/>
    <s v="Princess Mononoke "/>
    <s v="Japanese"/>
    <x v="2"/>
    <n v="2400000000"/>
    <x v="2"/>
    <n v="8.4"/>
  </r>
  <r>
    <n v="103"/>
    <n v="410388"/>
    <s v="Steamboy "/>
    <s v="Japanese"/>
    <x v="2"/>
    <n v="2127519898"/>
    <x v="3"/>
    <n v="6.9"/>
  </r>
  <r>
    <n v="124"/>
    <n v="439162"/>
    <s v="Akira "/>
    <s v="Japanese"/>
    <x v="2"/>
    <n v="1100000000"/>
    <x v="4"/>
    <n v="8.1"/>
  </r>
  <r>
    <n v="99"/>
    <n v="10037390"/>
    <s v="Godzilla 2000 "/>
    <s v="Japanese"/>
    <x v="2"/>
    <n v="1000000000"/>
    <x v="5"/>
    <n v="6"/>
  </r>
  <r>
    <n v="193"/>
    <n v="3275443"/>
    <s v="Kabhi Alvida Naa Kehna "/>
    <s v="Hindi"/>
    <x v="3"/>
    <n v="700000000"/>
    <x v="0"/>
    <n v="6"/>
  </r>
  <r>
    <n v="115"/>
    <n v="1687311"/>
    <s v="Tango "/>
    <s v="Spanish"/>
    <x v="4"/>
    <n v="70000000"/>
    <x v="6"/>
    <n v="7.2"/>
  </r>
  <r>
    <n v="150"/>
    <n v="626809"/>
    <s v="Red Cliff "/>
    <s v="Mandarin"/>
    <x v="5"/>
    <n v="553632000"/>
    <x v="7"/>
    <n v="7.4"/>
  </r>
  <r>
    <n v="300"/>
    <n v="454255"/>
    <s v="The Legend of Suriyothai "/>
    <s v="Thai"/>
    <x v="6"/>
    <n v="400000000"/>
    <x v="8"/>
    <n v="6.6"/>
  </r>
  <r>
    <n v="158"/>
    <n v="14131298"/>
    <s v="The Messenger: The Story of Joan of Arc "/>
    <s v="English"/>
    <x v="7"/>
    <n v="390000000"/>
    <x v="5"/>
    <n v="6.4"/>
  </r>
  <r>
    <n v="169"/>
    <n v="309404152"/>
    <s v="Pirates of the Caribbean: At World's End "/>
    <s v="English"/>
    <x v="8"/>
    <n v="300000000"/>
    <x v="9"/>
    <n v="7.1"/>
  </r>
  <r>
    <n v="110"/>
    <n v="102055"/>
    <s v="Ong-bak 2 "/>
    <s v="Thai"/>
    <x v="6"/>
    <n v="300000000"/>
    <x v="7"/>
    <n v="6.2"/>
  </r>
  <r>
    <n v="132"/>
    <n v="73058679"/>
    <s v="John Carter "/>
    <s v="English"/>
    <x v="8"/>
    <n v="263700000"/>
    <x v="10"/>
    <n v="6.6"/>
  </r>
  <r>
    <n v="100"/>
    <n v="200807262"/>
    <s v="Tangled "/>
    <s v="English"/>
    <x v="8"/>
    <n v="260000000"/>
    <x v="11"/>
    <n v="7.8"/>
  </r>
  <r>
    <n v="156"/>
    <n v="336530303"/>
    <s v="Spider-Man 3 "/>
    <s v="English"/>
    <x v="8"/>
    <n v="258000000"/>
    <x v="9"/>
    <n v="6.2"/>
  </r>
  <r>
    <n v="156"/>
    <n v="336530303"/>
    <s v="Spider-Man 3 "/>
    <s v="English"/>
    <x v="8"/>
    <n v="258000000"/>
    <x v="9"/>
    <n v="6.2"/>
  </r>
  <r>
    <n v="164"/>
    <n v="448130642"/>
    <s v="The Dark Knight Rises "/>
    <s v="English"/>
    <x v="8"/>
    <n v="250000000"/>
    <x v="10"/>
    <n v="8.5"/>
  </r>
  <r>
    <n v="141"/>
    <n v="458991599"/>
    <s v="Avengers: Age of Ultron "/>
    <s v="English"/>
    <x v="8"/>
    <n v="250000000"/>
    <x v="12"/>
    <n v="7.5"/>
  </r>
  <r>
    <n v="153"/>
    <n v="301956980"/>
    <s v="Harry Potter and the Half-Blood Prince "/>
    <s v="English"/>
    <x v="9"/>
    <n v="250000000"/>
    <x v="13"/>
    <n v="7.5"/>
  </r>
  <r>
    <n v="183"/>
    <n v="330249062"/>
    <s v="Batman v Superman: Dawn of Justice "/>
    <s v="English"/>
    <x v="8"/>
    <n v="250000000"/>
    <x v="14"/>
    <n v="6.9"/>
  </r>
  <r>
    <n v="136"/>
    <n v="241063875"/>
    <s v="Pirates of the Caribbean: On Stranger Tides "/>
    <s v="English"/>
    <x v="8"/>
    <n v="250000000"/>
    <x v="15"/>
    <n v="6.7"/>
  </r>
  <r>
    <n v="164"/>
    <n v="255108370"/>
    <s v="The Hobbit: The Battle of the Five Armies "/>
    <s v="English"/>
    <x v="10"/>
    <n v="250000000"/>
    <x v="16"/>
    <n v="7.5"/>
  </r>
  <r>
    <n v="147"/>
    <n v="407197282"/>
    <s v="Captain America: Civil War "/>
    <s v="English"/>
    <x v="8"/>
    <n v="250000000"/>
    <x v="14"/>
    <n v="8.1999999999999993"/>
  </r>
  <r>
    <n v="148"/>
    <n v="200074175"/>
    <s v="Spectre "/>
    <s v="English"/>
    <x v="9"/>
    <n v="245000000"/>
    <x v="12"/>
    <n v="6.8"/>
  </r>
  <r>
    <n v="178"/>
    <n v="760505847"/>
    <s v="Avatar "/>
    <s v="English"/>
    <x v="8"/>
    <n v="237000000"/>
    <x v="13"/>
    <n v="7.9"/>
  </r>
  <r>
    <n v="153"/>
    <n v="262030663"/>
    <s v="The Amazing Spider-Man "/>
    <s v="English"/>
    <x v="8"/>
    <n v="230000000"/>
    <x v="10"/>
    <n v="7"/>
  </r>
  <r>
    <n v="151"/>
    <n v="423032628"/>
    <s v="Pirates of the Caribbean: Dead Man's Chest "/>
    <s v="English"/>
    <x v="8"/>
    <n v="225000000"/>
    <x v="0"/>
    <n v="7.3"/>
  </r>
  <r>
    <n v="143"/>
    <n v="291021565"/>
    <s v="Man of Steel "/>
    <s v="English"/>
    <x v="8"/>
    <n v="225000000"/>
    <x v="17"/>
    <n v="7.2"/>
  </r>
  <r>
    <n v="150"/>
    <n v="141614023"/>
    <s v="The Chronicles of Narnia: Prince Caspian "/>
    <s v="English"/>
    <x v="8"/>
    <n v="225000000"/>
    <x v="7"/>
    <n v="6.6"/>
  </r>
  <r>
    <n v="106"/>
    <n v="179020854"/>
    <s v="Men in Black 3 "/>
    <s v="English"/>
    <x v="8"/>
    <n v="225000000"/>
    <x v="10"/>
    <n v="6.8"/>
  </r>
  <r>
    <n v="186"/>
    <n v="258355354"/>
    <s v="The Hobbit: The Desolation of Smaug "/>
    <s v="English"/>
    <x v="8"/>
    <n v="225000000"/>
    <x v="17"/>
    <n v="7.9"/>
  </r>
  <r>
    <n v="173"/>
    <n v="623279547"/>
    <s v="The Avengers "/>
    <s v="English"/>
    <x v="8"/>
    <n v="220000000"/>
    <x v="10"/>
    <n v="8.1"/>
  </r>
  <r>
    <n v="173"/>
    <n v="623279547"/>
    <s v="The Avengers "/>
    <s v="English"/>
    <x v="8"/>
    <n v="220000000"/>
    <x v="10"/>
    <n v="8.1"/>
  </r>
  <r>
    <n v="150"/>
    <n v="89289910"/>
    <s v="The Lone Ranger "/>
    <s v="English"/>
    <x v="8"/>
    <n v="215000000"/>
    <x v="17"/>
    <n v="6.5"/>
  </r>
  <r>
    <n v="130"/>
    <n v="234903076"/>
    <s v="Oz the Great and Powerful "/>
    <s v="English"/>
    <x v="8"/>
    <n v="215000000"/>
    <x v="17"/>
    <n v="6.4"/>
  </r>
  <r>
    <n v="130"/>
    <n v="234903076"/>
    <s v="Oz the Great and Powerful "/>
    <s v="English"/>
    <x v="8"/>
    <n v="215000000"/>
    <x v="17"/>
    <n v="6.4"/>
  </r>
  <r>
    <n v="104"/>
    <n v="234360014"/>
    <s v="X-Men: The Last Stand "/>
    <s v="English"/>
    <x v="11"/>
    <n v="210000000"/>
    <x v="0"/>
    <n v="6.8"/>
  </r>
  <r>
    <n v="165"/>
    <n v="245428137"/>
    <s v="Transformers: Age of Extinction "/>
    <s v="English"/>
    <x v="8"/>
    <n v="210000000"/>
    <x v="16"/>
    <n v="5.7"/>
  </r>
  <r>
    <n v="169"/>
    <n v="200069408"/>
    <s v="Superman Returns "/>
    <s v="English"/>
    <x v="8"/>
    <n v="209000000"/>
    <x v="0"/>
    <n v="6.1"/>
  </r>
  <r>
    <n v="131"/>
    <n v="65173160"/>
    <s v="Battleship "/>
    <s v="English"/>
    <x v="8"/>
    <n v="209000000"/>
    <x v="10"/>
    <n v="5.9"/>
  </r>
  <r>
    <n v="201"/>
    <n v="218051260"/>
    <s v="King Kong "/>
    <s v="English"/>
    <x v="10"/>
    <n v="207000000"/>
    <x v="1"/>
    <n v="7.2"/>
  </r>
  <r>
    <n v="201"/>
    <n v="218051260"/>
    <s v="King Kong "/>
    <s v="English"/>
    <x v="10"/>
    <n v="207000000"/>
    <x v="1"/>
    <n v="7.2"/>
  </r>
  <r>
    <n v="201"/>
    <n v="218051260"/>
    <s v="King Kong "/>
    <s v="English"/>
    <x v="10"/>
    <n v="207000000"/>
    <x v="1"/>
    <n v="7.2"/>
  </r>
  <r>
    <n v="106"/>
    <n v="168368427"/>
    <s v="Quantum of Solace "/>
    <s v="English"/>
    <x v="9"/>
    <n v="200000000"/>
    <x v="7"/>
    <n v="6.7"/>
  </r>
  <r>
    <n v="156"/>
    <n v="105219735"/>
    <s v="Robin Hood "/>
    <s v="English"/>
    <x v="8"/>
    <n v="200000000"/>
    <x v="11"/>
    <n v="6.7"/>
  </r>
  <r>
    <n v="194"/>
    <n v="658672302"/>
    <s v="Titanic "/>
    <s v="English"/>
    <x v="8"/>
    <n v="200000000"/>
    <x v="2"/>
    <n v="7.7"/>
  </r>
  <r>
    <n v="143"/>
    <n v="304360277"/>
    <s v="Skyfall "/>
    <s v="English"/>
    <x v="9"/>
    <n v="200000000"/>
    <x v="10"/>
    <n v="7.8"/>
  </r>
  <r>
    <n v="135"/>
    <n v="373377893"/>
    <s v="Spider-Man 2 "/>
    <s v="English"/>
    <x v="8"/>
    <n v="200000000"/>
    <x v="3"/>
    <n v="7.3"/>
  </r>
  <r>
    <n v="195"/>
    <n v="408992272"/>
    <s v="Iron Man 3 "/>
    <s v="English"/>
    <x v="8"/>
    <n v="200000000"/>
    <x v="17"/>
    <n v="7.2"/>
  </r>
  <r>
    <n v="108"/>
    <n v="334185206"/>
    <s v="Alice in Wonderland "/>
    <s v="English"/>
    <x v="8"/>
    <n v="200000000"/>
    <x v="11"/>
    <n v="6.5"/>
  </r>
  <r>
    <n v="104"/>
    <n v="268488329"/>
    <s v="Monsters University "/>
    <s v="English"/>
    <x v="8"/>
    <n v="200000000"/>
    <x v="17"/>
    <n v="7.3"/>
  </r>
  <r>
    <n v="150"/>
    <n v="402076689"/>
    <s v="Transformers: Revenge of the Fallen "/>
    <s v="English"/>
    <x v="8"/>
    <n v="200000000"/>
    <x v="13"/>
    <n v="6"/>
  </r>
  <r>
    <n v="142"/>
    <n v="202853933"/>
    <s v="The Amazing Spider-Man 2 "/>
    <s v="English"/>
    <x v="8"/>
    <n v="200000000"/>
    <x v="16"/>
    <n v="6.7"/>
  </r>
  <r>
    <n v="106"/>
    <n v="191450875"/>
    <s v="Cars 2 "/>
    <s v="English"/>
    <x v="8"/>
    <n v="200000000"/>
    <x v="15"/>
    <n v="6.3"/>
  </r>
  <r>
    <n v="123"/>
    <n v="116593191"/>
    <s v="Green Lantern "/>
    <s v="English"/>
    <x v="8"/>
    <n v="200000000"/>
    <x v="15"/>
    <n v="5.6"/>
  </r>
  <r>
    <n v="103"/>
    <n v="414984497"/>
    <s v="Toy Story 3 "/>
    <s v="English"/>
    <x v="8"/>
    <n v="200000000"/>
    <x v="11"/>
    <n v="8.3000000000000007"/>
  </r>
  <r>
    <n v="118"/>
    <n v="125320003"/>
    <s v="Terminator Salvation "/>
    <s v="English"/>
    <x v="8"/>
    <n v="200000000"/>
    <x v="13"/>
    <n v="6.6"/>
  </r>
  <r>
    <n v="149"/>
    <n v="233914986"/>
    <s v="X-Men: Days of Future Past "/>
    <s v="English"/>
    <x v="8"/>
    <n v="200000000"/>
    <x v="16"/>
    <n v="8"/>
  </r>
  <r>
    <n v="116"/>
    <n v="90755643"/>
    <s v="Prince of Persia: The Sands of Time "/>
    <s v="English"/>
    <x v="8"/>
    <n v="200000000"/>
    <x v="11"/>
    <n v="6.6"/>
  </r>
  <r>
    <n v="158"/>
    <n v="166112167"/>
    <s v="2012 "/>
    <s v="English"/>
    <x v="8"/>
    <n v="200000000"/>
    <x v="13"/>
    <n v="5.8"/>
  </r>
  <r>
    <n v="96"/>
    <n v="137850096"/>
    <s v="A Christmas Carol "/>
    <s v="English"/>
    <x v="8"/>
    <n v="200000000"/>
    <x v="13"/>
    <n v="6.8"/>
  </r>
  <r>
    <n v="124"/>
    <n v="312057433"/>
    <s v="Iron Man 2 "/>
    <s v="English"/>
    <x v="8"/>
    <n v="200000000"/>
    <x v="11"/>
    <n v="7"/>
  </r>
  <r>
    <n v="109"/>
    <n v="150350192"/>
    <s v="Terminator 3: Rise of the Machines "/>
    <s v="English"/>
    <x v="8"/>
    <n v="200000000"/>
    <x v="18"/>
    <n v="6.4"/>
  </r>
  <r>
    <n v="143"/>
    <n v="304360277"/>
    <s v="Skyfall "/>
    <s v="English"/>
    <x v="9"/>
    <n v="200000000"/>
    <x v="10"/>
    <n v="7.8"/>
  </r>
  <r>
    <n v="111"/>
    <n v="11905519"/>
    <s v="The Protector "/>
    <s v="Thai"/>
    <x v="6"/>
    <n v="200000000"/>
    <x v="1"/>
    <n v="7.1"/>
  </r>
  <r>
    <n v="108"/>
    <n v="334185206"/>
    <s v="Alice in Wonderland "/>
    <s v="English"/>
    <x v="8"/>
    <n v="200000000"/>
    <x v="11"/>
    <n v="6.5"/>
  </r>
  <r>
    <n v="114"/>
    <n v="65171860"/>
    <s v="Jack the Giant Slayer "/>
    <s v="English"/>
    <x v="8"/>
    <n v="195000000"/>
    <x v="17"/>
    <n v="6.3"/>
  </r>
  <r>
    <n v="154"/>
    <n v="352358779"/>
    <s v="Transformers: Dark of the Moon "/>
    <s v="English"/>
    <x v="8"/>
    <n v="195000000"/>
    <x v="15"/>
    <n v="6.3"/>
  </r>
  <r>
    <n v="140"/>
    <n v="350034110"/>
    <s v="Furious 7 "/>
    <s v="English"/>
    <x v="8"/>
    <n v="190000000"/>
    <x v="12"/>
    <n v="7.2"/>
  </r>
  <r>
    <n v="123"/>
    <n v="202351611"/>
    <s v="World War Z "/>
    <s v="English"/>
    <x v="8"/>
    <n v="190000000"/>
    <x v="17"/>
    <n v="7"/>
  </r>
  <r>
    <n v="132"/>
    <n v="228756232"/>
    <s v="Star Trek Into Darkness "/>
    <s v="English"/>
    <x v="8"/>
    <n v="190000000"/>
    <x v="17"/>
    <n v="7.8"/>
  </r>
  <r>
    <n v="131"/>
    <n v="101785482"/>
    <s v="Pacific Rim "/>
    <s v="English"/>
    <x v="8"/>
    <n v="190000000"/>
    <x v="17"/>
    <n v="7"/>
  </r>
  <r>
    <n v="130"/>
    <n v="93417865"/>
    <s v="Tomorrowland "/>
    <s v="English"/>
    <x v="8"/>
    <n v="190000000"/>
    <x v="12"/>
    <n v="6.5"/>
  </r>
  <r>
    <n v="122"/>
    <n v="317011114"/>
    <s v="Indiana Jones and the Kingdom of the Crystal Skull "/>
    <s v="English"/>
    <x v="8"/>
    <n v="185000000"/>
    <x v="7"/>
    <n v="6.2"/>
  </r>
  <r>
    <n v="93"/>
    <n v="237282182"/>
    <s v="Brave "/>
    <s v="English"/>
    <x v="8"/>
    <n v="185000000"/>
    <x v="10"/>
    <n v="7.2"/>
  </r>
  <r>
    <n v="122"/>
    <n v="130468626"/>
    <s v="Star Trek Beyond "/>
    <s v="English"/>
    <x v="8"/>
    <n v="185000000"/>
    <x v="14"/>
    <n v="7.5"/>
  </r>
  <r>
    <n v="152"/>
    <n v="533316061"/>
    <s v="The Dark Knight "/>
    <s v="English"/>
    <x v="8"/>
    <n v="185000000"/>
    <x v="7"/>
    <n v="9"/>
  </r>
  <r>
    <n v="113"/>
    <n v="70083519"/>
    <s v="The Golden Compass "/>
    <s v="English"/>
    <x v="8"/>
    <n v="180000000"/>
    <x v="9"/>
    <n v="6.1"/>
  </r>
  <r>
    <n v="98"/>
    <n v="223806889"/>
    <s v="WALL·E "/>
    <s v="English"/>
    <x v="8"/>
    <n v="180000000"/>
    <x v="7"/>
    <n v="8.4"/>
  </r>
  <r>
    <n v="110"/>
    <n v="124051759"/>
    <s v="The Legend of Tarzan "/>
    <s v="English"/>
    <x v="8"/>
    <n v="180000000"/>
    <x v="14"/>
    <n v="6.6"/>
  </r>
  <r>
    <n v="150"/>
    <n v="291709845"/>
    <s v="The Chronicles of Narnia: The Lion, the Witch and the Wardrobe "/>
    <s v="English"/>
    <x v="8"/>
    <n v="180000000"/>
    <x v="1"/>
    <n v="6.9"/>
  </r>
  <r>
    <n v="97"/>
    <n v="241407328"/>
    <s v="Maleficent "/>
    <s v="English"/>
    <x v="8"/>
    <n v="180000000"/>
    <x v="16"/>
    <n v="7"/>
  </r>
  <r>
    <n v="182"/>
    <n v="303001229"/>
    <s v="The Hobbit: An Unexpected Journey "/>
    <s v="English"/>
    <x v="8"/>
    <n v="180000000"/>
    <x v="10"/>
    <n v="7.9"/>
  </r>
  <r>
    <n v="110"/>
    <n v="124051759"/>
    <s v="The Legend of Tarzan "/>
    <s v="English"/>
    <x v="8"/>
    <n v="180000000"/>
    <x v="14"/>
    <n v="6.6"/>
  </r>
  <r>
    <n v="144"/>
    <n v="154985087"/>
    <s v="X-Men: Apocalypse "/>
    <s v="English"/>
    <x v="8"/>
    <n v="178000000"/>
    <x v="14"/>
    <n v="7.3"/>
  </r>
  <r>
    <n v="113"/>
    <n v="100189501"/>
    <s v="Edge of Tomorrow "/>
    <s v="English"/>
    <x v="8"/>
    <n v="178000000"/>
    <x v="16"/>
    <n v="7.9"/>
  </r>
  <r>
    <n v="127"/>
    <n v="47375327"/>
    <s v="Jupiter Ascending "/>
    <s v="English"/>
    <x v="8"/>
    <n v="176000000"/>
    <x v="12"/>
    <n v="5.4"/>
  </r>
  <r>
    <n v="96"/>
    <n v="292979556"/>
    <s v="Up "/>
    <s v="English"/>
    <x v="8"/>
    <n v="175000000"/>
    <x v="13"/>
    <n v="8.3000000000000007"/>
  </r>
  <r>
    <n v="94"/>
    <n v="198332128"/>
    <s v="Monsters vs. Aliens "/>
    <s v="English"/>
    <x v="8"/>
    <n v="175000000"/>
    <x v="13"/>
    <n v="6.5"/>
  </r>
  <r>
    <n v="123"/>
    <n v="161087183"/>
    <s v="Suicide Squad "/>
    <s v="English"/>
    <x v="8"/>
    <n v="175000000"/>
    <x v="14"/>
    <n v="6.9"/>
  </r>
  <r>
    <n v="96"/>
    <n v="100289690"/>
    <s v="Evan Almighty "/>
    <s v="English"/>
    <x v="8"/>
    <n v="175000000"/>
    <x v="9"/>
    <n v="5.4"/>
  </r>
  <r>
    <n v="176"/>
    <n v="88246220"/>
    <s v="Waterworld "/>
    <s v="English"/>
    <x v="8"/>
    <n v="175000000"/>
    <x v="19"/>
    <n v="6.1"/>
  </r>
  <r>
    <n v="118"/>
    <n v="150167630"/>
    <s v="G.I. Joe: The Rise of Cobra "/>
    <s v="English"/>
    <x v="8"/>
    <n v="175000000"/>
    <x v="13"/>
    <n v="5.8"/>
  </r>
  <r>
    <n v="95"/>
    <n v="356454367"/>
    <s v="Inside Out "/>
    <s v="English"/>
    <x v="8"/>
    <n v="175000000"/>
    <x v="12"/>
    <n v="8.3000000000000007"/>
  </r>
  <r>
    <n v="106"/>
    <n v="362645141"/>
    <s v="The Jungle Book "/>
    <s v="English"/>
    <x v="9"/>
    <n v="175000000"/>
    <x v="14"/>
    <n v="7.8"/>
  </r>
  <r>
    <n v="128"/>
    <n v="38297305"/>
    <s v="47 Ronin "/>
    <s v="English"/>
    <x v="8"/>
    <n v="175000000"/>
    <x v="17"/>
    <n v="6.3"/>
  </r>
  <r>
    <n v="196"/>
    <n v="133228348"/>
    <s v="Troy "/>
    <s v="English"/>
    <x v="8"/>
    <n v="175000000"/>
    <x v="3"/>
    <n v="7.2"/>
  </r>
  <r>
    <n v="106"/>
    <n v="362645141"/>
    <s v="The Jungle Book "/>
    <s v="English"/>
    <x v="9"/>
    <n v="175000000"/>
    <x v="14"/>
    <n v="7.8"/>
  </r>
  <r>
    <n v="125"/>
    <n v="172051787"/>
    <s v="TRON: Legacy "/>
    <s v="English"/>
    <x v="8"/>
    <n v="170000000"/>
    <x v="11"/>
    <n v="6.8"/>
  </r>
  <r>
    <n v="126"/>
    <n v="73820094"/>
    <s v="Hugo "/>
    <s v="English"/>
    <x v="8"/>
    <n v="170000000"/>
    <x v="15"/>
    <n v="7.5"/>
  </r>
  <r>
    <n v="106"/>
    <n v="113745408"/>
    <s v="Wild Wild West "/>
    <s v="English"/>
    <x v="8"/>
    <n v="170000000"/>
    <x v="5"/>
    <n v="4.8"/>
  </r>
  <r>
    <n v="132"/>
    <n v="155111815"/>
    <s v="Snow White and the Huntsman "/>
    <s v="English"/>
    <x v="8"/>
    <n v="170000000"/>
    <x v="10"/>
    <n v="6.1"/>
  </r>
  <r>
    <n v="130"/>
    <n v="208543795"/>
    <s v="Dawn of the Planet of the Apes "/>
    <s v="English"/>
    <x v="8"/>
    <n v="170000000"/>
    <x v="16"/>
    <n v="7.6"/>
  </r>
  <r>
    <n v="136"/>
    <n v="259746958"/>
    <s v="Captain America: The Winter Soldier "/>
    <s v="English"/>
    <x v="8"/>
    <n v="170000000"/>
    <x v="16"/>
    <n v="7.8"/>
  </r>
  <r>
    <n v="121"/>
    <n v="333130696"/>
    <s v="Guardians of the Galaxy "/>
    <s v="English"/>
    <x v="8"/>
    <n v="170000000"/>
    <x v="16"/>
    <n v="8.1"/>
  </r>
  <r>
    <n v="113"/>
    <n v="76846624"/>
    <s v="Alice Through the Looking Glass "/>
    <s v="English"/>
    <x v="8"/>
    <n v="170000000"/>
    <x v="14"/>
    <n v="6.4"/>
  </r>
  <r>
    <n v="112"/>
    <n v="206360018"/>
    <s v="Thor: The Dark World "/>
    <s v="English"/>
    <x v="8"/>
    <n v="170000000"/>
    <x v="17"/>
    <n v="7.1"/>
  </r>
  <r>
    <n v="125"/>
    <n v="172051787"/>
    <s v="TRON: Legacy "/>
    <s v="English"/>
    <x v="8"/>
    <n v="170000000"/>
    <x v="11"/>
    <n v="6.8"/>
  </r>
  <r>
    <n v="93"/>
    <n v="238371987"/>
    <s v="Shrek Forever After "/>
    <s v="English"/>
    <x v="8"/>
    <n v="165000000"/>
    <x v="11"/>
    <n v="6.4"/>
  </r>
  <r>
    <n v="102"/>
    <n v="222487711"/>
    <s v="Big Hero 6 "/>
    <s v="English"/>
    <x v="8"/>
    <n v="165000000"/>
    <x v="16"/>
    <n v="7.9"/>
  </r>
  <r>
    <n v="101"/>
    <n v="189412677"/>
    <s v="Wreck-It Ralph "/>
    <s v="English"/>
    <x v="8"/>
    <n v="165000000"/>
    <x v="10"/>
    <n v="7.8"/>
  </r>
  <r>
    <n v="100"/>
    <n v="665426"/>
    <s v="The Polar Express "/>
    <s v="English"/>
    <x v="8"/>
    <n v="165000000"/>
    <x v="3"/>
    <n v="6.6"/>
  </r>
  <r>
    <n v="120"/>
    <n v="102315545"/>
    <s v="Independence Day: Resurgence "/>
    <s v="English"/>
    <x v="8"/>
    <n v="165000000"/>
    <x v="14"/>
    <n v="5.5"/>
  </r>
  <r>
    <n v="98"/>
    <n v="217387997"/>
    <s v="How to Train Your Dragon "/>
    <s v="English"/>
    <x v="8"/>
    <n v="165000000"/>
    <x v="11"/>
    <n v="8.1999999999999993"/>
  </r>
  <r>
    <n v="169"/>
    <n v="187991439"/>
    <s v="Interstellar "/>
    <s v="English"/>
    <x v="8"/>
    <n v="165000000"/>
    <x v="16"/>
    <n v="8.6"/>
  </r>
  <r>
    <n v="148"/>
    <n v="292568851"/>
    <s v="Inception "/>
    <s v="English"/>
    <x v="8"/>
    <n v="160000000"/>
    <x v="11"/>
    <n v="8.8000000000000007"/>
  </r>
  <r>
    <n v="132"/>
    <n v="146405371"/>
    <s v="X-Men: First Class "/>
    <s v="English"/>
    <x v="8"/>
    <n v="160000000"/>
    <x v="15"/>
    <n v="7.8"/>
  </r>
  <r>
    <n v="137"/>
    <n v="281666058"/>
    <s v="The Hunger Games: Mockingjay - Part 2 "/>
    <s v="English"/>
    <x v="8"/>
    <n v="160000000"/>
    <x v="12"/>
    <n v="6.6"/>
  </r>
  <r>
    <n v="98"/>
    <n v="60655503"/>
    <s v="Poseidon "/>
    <s v="English"/>
    <x v="8"/>
    <n v="160000000"/>
    <x v="0"/>
    <n v="5.6"/>
  </r>
  <r>
    <n v="93"/>
    <n v="320706665"/>
    <s v="Shrek the Third "/>
    <s v="English"/>
    <x v="8"/>
    <n v="160000000"/>
    <x v="9"/>
    <n v="6.1"/>
  </r>
  <r>
    <n v="123"/>
    <n v="46978995"/>
    <s v="Warcraft "/>
    <s v="English"/>
    <x v="8"/>
    <n v="160000000"/>
    <x v="14"/>
    <n v="7.3"/>
  </r>
  <r>
    <n v="121"/>
    <n v="48068396"/>
    <s v="Speed 2: Cruise Control "/>
    <s v="English"/>
    <x v="8"/>
    <n v="160000000"/>
    <x v="2"/>
    <n v="3.7"/>
  </r>
  <r>
    <n v="81"/>
    <n v="10762178"/>
    <s v="Winged Migration "/>
    <s v="English"/>
    <x v="7"/>
    <n v="160000000"/>
    <x v="8"/>
    <n v="8"/>
  </r>
  <r>
    <n v="126"/>
    <n v="89732035"/>
    <s v="Terminator Genisys "/>
    <s v="English"/>
    <x v="8"/>
    <n v="155000000"/>
    <x v="12"/>
    <n v="6.6"/>
  </r>
  <r>
    <n v="113"/>
    <n v="104383624"/>
    <s v="The Chronicles of Narnia: The Voyage of the Dawn Treader "/>
    <s v="English"/>
    <x v="8"/>
    <n v="155000000"/>
    <x v="11"/>
    <n v="6.3"/>
  </r>
  <r>
    <n v="206"/>
    <n v="34293771"/>
    <s v="Alexander "/>
    <s v="English"/>
    <x v="12"/>
    <n v="155000000"/>
    <x v="3"/>
    <n v="5.5"/>
  </r>
  <r>
    <n v="124"/>
    <n v="652177271"/>
    <s v="Jurassic World "/>
    <s v="English"/>
    <x v="8"/>
    <n v="150000000"/>
    <x v="12"/>
    <n v="7"/>
  </r>
  <r>
    <n v="166"/>
    <n v="127490802"/>
    <s v="The Curious Case of Benjamin Button "/>
    <s v="English"/>
    <x v="8"/>
    <n v="150000000"/>
    <x v="7"/>
    <n v="7.8"/>
  </r>
  <r>
    <n v="109"/>
    <n v="63143812"/>
    <s v="The Sorcerer's Apprentice "/>
    <s v="English"/>
    <x v="8"/>
    <n v="150000000"/>
    <x v="11"/>
    <n v="6.1"/>
  </r>
  <r>
    <n v="144"/>
    <n v="318759914"/>
    <s v="Transformers "/>
    <s v="English"/>
    <x v="8"/>
    <n v="150000000"/>
    <x v="9"/>
    <n v="7.1"/>
  </r>
  <r>
    <n v="138"/>
    <n v="292000866"/>
    <s v="Harry Potter and the Order of the Phoenix "/>
    <s v="English"/>
    <x v="9"/>
    <n v="150000000"/>
    <x v="9"/>
    <n v="7.5"/>
  </r>
  <r>
    <n v="157"/>
    <n v="289994397"/>
    <s v="Harry Potter and the Goblet of Fire "/>
    <s v="English"/>
    <x v="9"/>
    <n v="150000000"/>
    <x v="1"/>
    <n v="7.6"/>
  </r>
  <r>
    <n v="102"/>
    <n v="227946274"/>
    <s v="Hancock "/>
    <s v="English"/>
    <x v="8"/>
    <n v="150000000"/>
    <x v="7"/>
    <n v="6.4"/>
  </r>
  <r>
    <n v="104"/>
    <n v="256386216"/>
    <s v="I Am Legend "/>
    <s v="English"/>
    <x v="8"/>
    <n v="150000000"/>
    <x v="9"/>
    <n v="7.2"/>
  </r>
  <r>
    <n v="115"/>
    <n v="206456431"/>
    <s v="Charlie and the Chocolate Factory "/>
    <s v="English"/>
    <x v="8"/>
    <n v="150000000"/>
    <x v="1"/>
    <n v="6.7"/>
  </r>
  <r>
    <n v="111"/>
    <n v="206435493"/>
    <s v="Ratatouille "/>
    <s v="English"/>
    <x v="8"/>
    <n v="150000000"/>
    <x v="9"/>
    <n v="8"/>
  </r>
  <r>
    <n v="128"/>
    <n v="205343774"/>
    <s v="Batman Begins "/>
    <s v="English"/>
    <x v="8"/>
    <n v="150000000"/>
    <x v="1"/>
    <n v="8.3000000000000007"/>
  </r>
  <r>
    <n v="89"/>
    <n v="179982968"/>
    <s v="Madagascar: Escape 2 Africa "/>
    <s v="English"/>
    <x v="8"/>
    <n v="150000000"/>
    <x v="7"/>
    <n v="6.7"/>
  </r>
  <r>
    <n v="105"/>
    <n v="177243721"/>
    <s v="Night at the Museum: Battle of the Smithsonian "/>
    <s v="English"/>
    <x v="8"/>
    <n v="150000000"/>
    <x v="13"/>
    <n v="5.9"/>
  </r>
  <r>
    <n v="119"/>
    <n v="179883016"/>
    <s v="X-Men Origins: Wolverine "/>
    <s v="English"/>
    <x v="8"/>
    <n v="150000000"/>
    <x v="13"/>
    <n v="6.7"/>
  </r>
  <r>
    <n v="129"/>
    <n v="139259759"/>
    <s v="The Matrix Revolutions "/>
    <s v="English"/>
    <x v="13"/>
    <n v="150000000"/>
    <x v="18"/>
    <n v="6.7"/>
  </r>
  <r>
    <n v="102"/>
    <n v="400736600"/>
    <s v="Frozen "/>
    <s v="English"/>
    <x v="8"/>
    <n v="150000000"/>
    <x v="17"/>
    <n v="7.6"/>
  </r>
  <r>
    <n v="138"/>
    <n v="281492479"/>
    <s v="The Matrix Reloaded "/>
    <s v="English"/>
    <x v="8"/>
    <n v="150000000"/>
    <x v="18"/>
    <n v="7.2"/>
  </r>
  <r>
    <n v="120"/>
    <n v="153629485"/>
    <s v="Mad Max: Fury Road "/>
    <s v="English"/>
    <x v="13"/>
    <n v="150000000"/>
    <x v="12"/>
    <n v="8.1"/>
  </r>
  <r>
    <n v="146"/>
    <n v="133375846"/>
    <s v="Angels &amp; Demons "/>
    <s v="English"/>
    <x v="8"/>
    <n v="150000000"/>
    <x v="13"/>
    <n v="6.7"/>
  </r>
  <r>
    <n v="115"/>
    <n v="181015141"/>
    <s v="Thor "/>
    <s v="English"/>
    <x v="8"/>
    <n v="150000000"/>
    <x v="15"/>
    <n v="7"/>
  </r>
  <r>
    <n v="96"/>
    <n v="114053579"/>
    <s v="Bolt "/>
    <s v="English"/>
    <x v="8"/>
    <n v="150000000"/>
    <x v="7"/>
    <n v="6.9"/>
  </r>
  <r>
    <n v="88"/>
    <n v="119420252"/>
    <s v="G-Force "/>
    <s v="English"/>
    <x v="8"/>
    <n v="150000000"/>
    <x v="13"/>
    <n v="5.0999999999999996"/>
  </r>
  <r>
    <n v="99"/>
    <n v="83640426"/>
    <s v="Wrath of the Titans "/>
    <s v="English"/>
    <x v="8"/>
    <n v="150000000"/>
    <x v="10"/>
    <n v="5.8"/>
  </r>
  <r>
    <n v="131"/>
    <n v="195000874"/>
    <s v="Mission: Impossible - Rogue Nation "/>
    <s v="English"/>
    <x v="5"/>
    <n v="150000000"/>
    <x v="12"/>
    <n v="7.4"/>
  </r>
  <r>
    <n v="119"/>
    <n v="61937495"/>
    <s v="The Wolfman "/>
    <s v="English"/>
    <x v="8"/>
    <n v="150000000"/>
    <x v="11"/>
    <n v="5.8"/>
  </r>
  <r>
    <n v="91"/>
    <n v="126597121"/>
    <s v="Bee Movie "/>
    <s v="English"/>
    <x v="8"/>
    <n v="150000000"/>
    <x v="9"/>
    <n v="6.2"/>
  </r>
  <r>
    <n v="90"/>
    <n v="165230261"/>
    <s v="Kung Fu Panda 2 "/>
    <s v="English"/>
    <x v="8"/>
    <n v="150000000"/>
    <x v="15"/>
    <n v="7.3"/>
  </r>
  <r>
    <n v="103"/>
    <n v="131564731"/>
    <s v="The Last Airbender "/>
    <s v="English"/>
    <x v="8"/>
    <n v="150000000"/>
    <x v="11"/>
    <n v="4.2"/>
  </r>
  <r>
    <n v="124"/>
    <n v="133382309"/>
    <s v="Mission: Impossible III "/>
    <s v="English"/>
    <x v="8"/>
    <n v="150000000"/>
    <x v="0"/>
    <n v="6.9"/>
  </r>
  <r>
    <n v="131"/>
    <n v="73103784"/>
    <s v="White House Down "/>
    <s v="English"/>
    <x v="8"/>
    <n v="150000000"/>
    <x v="17"/>
    <n v="6.4"/>
  </r>
  <r>
    <n v="88"/>
    <n v="21379315"/>
    <s v="Mars Needs Moms "/>
    <s v="English"/>
    <x v="8"/>
    <n v="150000000"/>
    <x v="15"/>
    <n v="5.4"/>
  </r>
  <r>
    <n v="111"/>
    <n v="34964818"/>
    <s v="Pan "/>
    <s v="English"/>
    <x v="8"/>
    <n v="150000000"/>
    <x v="12"/>
    <n v="5.8"/>
  </r>
  <r>
    <n v="115"/>
    <n v="82161969"/>
    <s v="Beowulf "/>
    <s v="English"/>
    <x v="8"/>
    <n v="150000000"/>
    <x v="9"/>
    <n v="6.3"/>
  </r>
  <r>
    <n v="127"/>
    <n v="257704099"/>
    <s v="Star Trek "/>
    <s v="English"/>
    <x v="8"/>
    <n v="150000000"/>
    <x v="13"/>
    <n v="8"/>
  </r>
  <r>
    <n v="138"/>
    <n v="93926386"/>
    <s v="Master and Commander: The Far Side of the World "/>
    <s v="English"/>
    <x v="8"/>
    <n v="150000000"/>
    <x v="18"/>
    <n v="7.4"/>
  </r>
  <r>
    <n v="135"/>
    <n v="134518390"/>
    <s v="The Incredible Hulk "/>
    <s v="English"/>
    <x v="8"/>
    <n v="150000000"/>
    <x v="7"/>
    <n v="6.8"/>
  </r>
  <r>
    <n v="144"/>
    <n v="167007184"/>
    <s v="Casino Royale "/>
    <s v="English"/>
    <x v="9"/>
    <n v="150000000"/>
    <x v="0"/>
    <n v="8"/>
  </r>
  <r>
    <n v="111"/>
    <n v="34964818"/>
    <s v="Pan "/>
    <s v="English"/>
    <x v="8"/>
    <n v="150000000"/>
    <x v="12"/>
    <n v="5.8"/>
  </r>
  <r>
    <n v="93"/>
    <n v="436471036"/>
    <s v="Shrek 2 "/>
    <s v="English"/>
    <x v="8"/>
    <n v="150000000"/>
    <x v="3"/>
    <n v="7.2"/>
  </r>
  <r>
    <n v="81"/>
    <n v="135381507"/>
    <s v="Chicken Little "/>
    <s v="English"/>
    <x v="8"/>
    <n v="150000000"/>
    <x v="1"/>
    <n v="5.8"/>
  </r>
  <r>
    <n v="144"/>
    <n v="167007184"/>
    <s v="Casino Royale "/>
    <s v="English"/>
    <x v="9"/>
    <n v="150000000"/>
    <x v="0"/>
    <n v="8"/>
  </r>
  <r>
    <n v="133"/>
    <n v="199228"/>
    <s v="Paa "/>
    <s v="Hindi"/>
    <x v="3"/>
    <n v="150000000"/>
    <x v="13"/>
    <n v="7.2"/>
  </r>
  <r>
    <n v="111"/>
    <n v="34964818"/>
    <s v="Pan "/>
    <s v="English"/>
    <x v="8"/>
    <n v="150000000"/>
    <x v="12"/>
    <n v="5.8"/>
  </r>
  <r>
    <n v="85"/>
    <n v="64459316"/>
    <s v="Flushed Away "/>
    <s v="English"/>
    <x v="9"/>
    <n v="149000000"/>
    <x v="0"/>
    <n v="6.7"/>
  </r>
  <r>
    <n v="112"/>
    <n v="102176165"/>
    <s v="The Mummy: Tomb of the Dragon Emperor "/>
    <s v="English"/>
    <x v="8"/>
    <n v="145000000"/>
    <x v="7"/>
    <n v="5.2"/>
  </r>
  <r>
    <n v="92"/>
    <n v="111505642"/>
    <s v="Mr. Peabody &amp; Sherman "/>
    <s v="English"/>
    <x v="8"/>
    <n v="145000000"/>
    <x v="16"/>
    <n v="6.9"/>
  </r>
  <r>
    <n v="93"/>
    <n v="216366733"/>
    <s v="Madagascar 3: Europe's Most Wanted "/>
    <s v="English"/>
    <x v="8"/>
    <n v="145000000"/>
    <x v="10"/>
    <n v="6.9"/>
  </r>
  <r>
    <n v="95"/>
    <n v="143523463"/>
    <s v="Kung Fu Panda 3 "/>
    <s v="English"/>
    <x v="8"/>
    <n v="145000000"/>
    <x v="14"/>
    <n v="7.2"/>
  </r>
  <r>
    <n v="133"/>
    <n v="209364921"/>
    <s v="Mission: Impossible - Ghost Protocol "/>
    <s v="English"/>
    <x v="8"/>
    <n v="145000000"/>
    <x v="15"/>
    <n v="7.4"/>
  </r>
  <r>
    <n v="97"/>
    <n v="103400692"/>
    <s v="Rise of the Guardians "/>
    <s v="English"/>
    <x v="8"/>
    <n v="145000000"/>
    <x v="10"/>
    <n v="7.3"/>
  </r>
  <r>
    <n v="102"/>
    <n v="176997107"/>
    <s v="How to Train Your Dragon 2 "/>
    <s v="English"/>
    <x v="8"/>
    <n v="145000000"/>
    <x v="16"/>
    <n v="7.9"/>
  </r>
  <r>
    <n v="116"/>
    <n v="118099659"/>
    <s v="Ghostbusters "/>
    <s v="English"/>
    <x v="8"/>
    <n v="144000000"/>
    <x v="14"/>
    <n v="5.5"/>
  </r>
  <r>
    <n v="116"/>
    <n v="118099659"/>
    <s v="Ghostbusters "/>
    <s v="English"/>
    <x v="8"/>
    <n v="144000000"/>
    <x v="14"/>
    <n v="5.5"/>
  </r>
  <r>
    <n v="133"/>
    <n v="160201106"/>
    <s v="Die Another Day "/>
    <s v="English"/>
    <x v="9"/>
    <n v="142000000"/>
    <x v="20"/>
    <n v="6.1"/>
  </r>
  <r>
    <n v="91"/>
    <n v="140080850"/>
    <s v="Rush Hour 3 "/>
    <s v="English"/>
    <x v="8"/>
    <n v="140000000"/>
    <x v="9"/>
    <n v="6.2"/>
  </r>
  <r>
    <n v="126"/>
    <n v="318298180"/>
    <s v="Iron Man "/>
    <s v="English"/>
    <x v="8"/>
    <n v="140000000"/>
    <x v="7"/>
    <n v="7.9"/>
  </r>
  <r>
    <n v="184"/>
    <n v="198539855"/>
    <s v="Pearl Harbor "/>
    <s v="English"/>
    <x v="8"/>
    <n v="140000000"/>
    <x v="8"/>
    <n v="6.1"/>
  </r>
  <r>
    <n v="153"/>
    <n v="201573391"/>
    <s v="Armageddon "/>
    <s v="English"/>
    <x v="8"/>
    <n v="140000000"/>
    <x v="6"/>
    <n v="6.6"/>
  </r>
  <r>
    <n v="88"/>
    <n v="190418803"/>
    <s v="Men in Black II "/>
    <s v="English"/>
    <x v="8"/>
    <n v="140000000"/>
    <x v="20"/>
    <n v="6.1"/>
  </r>
  <r>
    <n v="154"/>
    <n v="111110575"/>
    <s v="The Last Samurai "/>
    <s v="English"/>
    <x v="8"/>
    <n v="140000000"/>
    <x v="18"/>
    <n v="7.7"/>
  </r>
  <r>
    <n v="150"/>
    <n v="65007045"/>
    <s v="Exodus: Gods and Kings "/>
    <s v="English"/>
    <x v="9"/>
    <n v="140000000"/>
    <x v="16"/>
    <n v="6.1"/>
  </r>
  <r>
    <n v="126"/>
    <n v="31141074"/>
    <s v="Gods of Egypt "/>
    <s v="English"/>
    <x v="8"/>
    <n v="140000000"/>
    <x v="14"/>
    <n v="5.5"/>
  </r>
  <r>
    <n v="127"/>
    <n v="129734803"/>
    <s v="Lethal Weapon 4 "/>
    <s v="English"/>
    <x v="8"/>
    <n v="140000000"/>
    <x v="6"/>
    <n v="6.6"/>
  </r>
  <r>
    <n v="124"/>
    <n v="176636816"/>
    <s v="Captain America: The First Avenger "/>
    <s v="English"/>
    <x v="8"/>
    <n v="140000000"/>
    <x v="15"/>
    <n v="6.9"/>
  </r>
  <r>
    <n v="117"/>
    <n v="52792307"/>
    <s v="The BFG "/>
    <s v="English"/>
    <x v="9"/>
    <n v="140000000"/>
    <x v="14"/>
    <n v="6.8"/>
  </r>
  <r>
    <n v="143"/>
    <n v="305388685"/>
    <s v="Pirates of the Caribbean: The Curse of the Black Pearl "/>
    <s v="English"/>
    <x v="8"/>
    <n v="140000000"/>
    <x v="18"/>
    <n v="8.1"/>
  </r>
  <r>
    <n v="130"/>
    <n v="182618434"/>
    <s v="The Perfect Storm "/>
    <s v="English"/>
    <x v="8"/>
    <n v="140000000"/>
    <x v="21"/>
    <n v="6.4"/>
  </r>
  <r>
    <n v="95"/>
    <n v="38120554"/>
    <s v="Treasure Planet "/>
    <s v="English"/>
    <x v="8"/>
    <n v="140000000"/>
    <x v="20"/>
    <n v="7.1"/>
  </r>
  <r>
    <n v="118"/>
    <n v="146072"/>
    <s v="Les couloirs du temps: Les visiteurs II "/>
    <s v="French"/>
    <x v="7"/>
    <n v="140000000"/>
    <x v="6"/>
    <n v="6"/>
  </r>
  <r>
    <n v="150"/>
    <n v="65007045"/>
    <s v="Exodus: Gods and Kings "/>
    <s v="English"/>
    <x v="9"/>
    <n v="140000000"/>
    <x v="16"/>
    <n v="6.1"/>
  </r>
  <r>
    <n v="121"/>
    <n v="403706375"/>
    <s v="Spider-Man "/>
    <s v="English"/>
    <x v="8"/>
    <n v="139000000"/>
    <x v="20"/>
    <n v="7.3"/>
  </r>
  <r>
    <n v="138"/>
    <n v="132122995"/>
    <s v="Hulk "/>
    <s v="English"/>
    <x v="8"/>
    <n v="137000000"/>
    <x v="18"/>
    <n v="5.7"/>
  </r>
  <r>
    <n v="106"/>
    <n v="32131830"/>
    <s v="Final Fantasy: The Spirits Within "/>
    <s v="English"/>
    <x v="8"/>
    <n v="137000000"/>
    <x v="8"/>
    <n v="6.4"/>
  </r>
  <r>
    <n v="121"/>
    <n v="31704416"/>
    <s v="Stealth "/>
    <s v="English"/>
    <x v="8"/>
    <n v="135000000"/>
    <x v="1"/>
    <n v="5"/>
  </r>
  <r>
    <n v="128"/>
    <n v="126930660"/>
    <s v="The World Is Not Enough "/>
    <s v="English"/>
    <x v="9"/>
    <n v="135000000"/>
    <x v="5"/>
    <n v="6.4"/>
  </r>
  <r>
    <n v="100"/>
    <n v="63992328"/>
    <s v="Happy Feet 2 "/>
    <s v="English"/>
    <x v="13"/>
    <n v="135000000"/>
    <x v="15"/>
    <n v="5.9"/>
  </r>
  <r>
    <n v="156"/>
    <n v="183635922"/>
    <s v="The Revenant "/>
    <s v="English"/>
    <x v="8"/>
    <n v="135000000"/>
    <x v="12"/>
    <n v="8.1"/>
  </r>
  <r>
    <n v="96"/>
    <n v="83024900"/>
    <s v="Turbo "/>
    <s v="English"/>
    <x v="8"/>
    <n v="135000000"/>
    <x v="17"/>
    <n v="6.5"/>
  </r>
  <r>
    <n v="107"/>
    <n v="123207194"/>
    <s v="Rango "/>
    <s v="English"/>
    <x v="8"/>
    <n v="135000000"/>
    <x v="15"/>
    <n v="7.2"/>
  </r>
  <r>
    <n v="94"/>
    <n v="177343675"/>
    <s v="Home "/>
    <s v="English"/>
    <x v="8"/>
    <n v="135000000"/>
    <x v="12"/>
    <n v="6.7"/>
  </r>
  <r>
    <n v="107"/>
    <n v="77564037"/>
    <s v="The Adventures of Tintin "/>
    <s v="English"/>
    <x v="8"/>
    <n v="135000000"/>
    <x v="15"/>
    <n v="7.4"/>
  </r>
  <r>
    <n v="98"/>
    <n v="187165546"/>
    <s v="The Croods "/>
    <s v="English"/>
    <x v="8"/>
    <n v="135000000"/>
    <x v="17"/>
    <n v="7.3"/>
  </r>
  <r>
    <n v="112"/>
    <n v="81638674"/>
    <s v="Teenage Mutant Ninja Turtles: Out of the Shadows "/>
    <s v="English"/>
    <x v="8"/>
    <n v="135000000"/>
    <x v="14"/>
    <n v="6.3"/>
  </r>
  <r>
    <n v="94"/>
    <n v="177343675"/>
    <s v="Home "/>
    <s v="English"/>
    <x v="8"/>
    <n v="135000000"/>
    <x v="12"/>
    <n v="6.7"/>
  </r>
  <r>
    <n v="94"/>
    <n v="177343675"/>
    <s v="Home "/>
    <s v="English"/>
    <x v="8"/>
    <n v="135000000"/>
    <x v="12"/>
    <n v="6.7"/>
  </r>
  <r>
    <n v="84"/>
    <n v="140015224"/>
    <s v="Stuart Little "/>
    <s v="English"/>
    <x v="12"/>
    <n v="133000000"/>
    <x v="5"/>
    <n v="5.9"/>
  </r>
  <r>
    <n v="92"/>
    <n v="83348920"/>
    <s v="Penguins of Madagascar "/>
    <s v="English"/>
    <x v="8"/>
    <n v="132000000"/>
    <x v="16"/>
    <n v="6.7"/>
  </r>
  <r>
    <n v="116"/>
    <n v="234277056"/>
    <s v="War of the Worlds "/>
    <s v="English"/>
    <x v="8"/>
    <n v="132000000"/>
    <x v="1"/>
    <n v="6.5"/>
  </r>
  <r>
    <n v="215"/>
    <n v="107503316"/>
    <s v="Watchmen "/>
    <s v="English"/>
    <x v="8"/>
    <n v="130000000"/>
    <x v="13"/>
    <n v="7.7"/>
  </r>
  <r>
    <n v="122"/>
    <n v="122512052"/>
    <s v="G.I. Joe: Retaliation "/>
    <s v="English"/>
    <x v="8"/>
    <n v="130000000"/>
    <x v="17"/>
    <n v="5.8"/>
  </r>
  <r>
    <n v="124"/>
    <n v="68642452"/>
    <s v="Sahara "/>
    <s v="English"/>
    <x v="9"/>
    <n v="130000000"/>
    <x v="1"/>
    <n v="6"/>
  </r>
  <r>
    <n v="92"/>
    <n v="215395021"/>
    <s v="Kung Fu Panda "/>
    <s v="English"/>
    <x v="8"/>
    <n v="130000000"/>
    <x v="7"/>
    <n v="7.6"/>
  </r>
  <r>
    <n v="117"/>
    <n v="180191634"/>
    <s v="Ant-Man "/>
    <s v="English"/>
    <x v="8"/>
    <n v="130000000"/>
    <x v="12"/>
    <n v="7.4"/>
  </r>
  <r>
    <n v="146"/>
    <n v="424645577"/>
    <s v="The Hunger Games: Catching Fire "/>
    <s v="English"/>
    <x v="8"/>
    <n v="130000000"/>
    <x v="17"/>
    <n v="7.6"/>
  </r>
  <r>
    <n v="147"/>
    <n v="138396624"/>
    <s v="Bad Boys II "/>
    <s v="English"/>
    <x v="8"/>
    <n v="130000000"/>
    <x v="18"/>
    <n v="6.6"/>
  </r>
  <r>
    <n v="90"/>
    <n v="149234747"/>
    <s v="Puss in Boots "/>
    <s v="English"/>
    <x v="8"/>
    <n v="130000000"/>
    <x v="15"/>
    <n v="6.7"/>
  </r>
  <r>
    <n v="142"/>
    <n v="249358727"/>
    <s v="Harry Potter and the Prisoner of Azkaban "/>
    <s v="English"/>
    <x v="9"/>
    <n v="130000000"/>
    <x v="3"/>
    <n v="7.8"/>
  </r>
  <r>
    <n v="165"/>
    <n v="49551662"/>
    <s v="Australia "/>
    <s v="English"/>
    <x v="13"/>
    <n v="130000000"/>
    <x v="7"/>
    <n v="6.6"/>
  </r>
  <r>
    <n v="100"/>
    <n v="60522097"/>
    <s v="After Earth "/>
    <s v="English"/>
    <x v="8"/>
    <n v="130000000"/>
    <x v="17"/>
    <n v="4.9000000000000004"/>
  </r>
  <r>
    <n v="95"/>
    <n v="148337537"/>
    <s v="Megamind "/>
    <s v="English"/>
    <x v="8"/>
    <n v="130000000"/>
    <x v="11"/>
    <n v="7.3"/>
  </r>
  <r>
    <n v="96"/>
    <n v="33592415"/>
    <s v="R.I.P.D. "/>
    <s v="English"/>
    <x v="8"/>
    <n v="130000000"/>
    <x v="17"/>
    <n v="5.6"/>
  </r>
  <r>
    <n v="92"/>
    <n v="131920333"/>
    <s v="Fantastic 4: Rise of the Silver Surfer "/>
    <s v="English"/>
    <x v="8"/>
    <n v="130000000"/>
    <x v="9"/>
    <n v="5.6"/>
  </r>
  <r>
    <n v="124"/>
    <n v="126464904"/>
    <s v="Prometheus "/>
    <s v="English"/>
    <x v="8"/>
    <n v="130000000"/>
    <x v="10"/>
    <n v="7"/>
  </r>
  <r>
    <n v="194"/>
    <n v="47396698"/>
    <s v="Kingdom of Heaven "/>
    <s v="English"/>
    <x v="8"/>
    <n v="130000000"/>
    <x v="1"/>
    <n v="7.2"/>
  </r>
  <r>
    <n v="82"/>
    <n v="137748063"/>
    <s v="Dinosaur "/>
    <s v="English"/>
    <x v="8"/>
    <n v="127500000"/>
    <x v="21"/>
    <n v="6.5"/>
  </r>
  <r>
    <n v="98"/>
    <n v="113733726"/>
    <s v="Night at the Museum: Secret of the Tomb "/>
    <s v="English"/>
    <x v="8"/>
    <n v="127000000"/>
    <x v="16"/>
    <n v="6.2"/>
  </r>
  <r>
    <n v="136"/>
    <n v="35799026"/>
    <s v="The Island "/>
    <s v="English"/>
    <x v="8"/>
    <n v="126000000"/>
    <x v="1"/>
    <n v="6.9"/>
  </r>
  <r>
    <n v="136"/>
    <n v="35799026"/>
    <s v="The Island "/>
    <s v="English"/>
    <x v="8"/>
    <n v="126000000"/>
    <x v="1"/>
    <n v="6.9"/>
  </r>
  <r>
    <n v="138"/>
    <n v="101160529"/>
    <s v="Noah "/>
    <s v="English"/>
    <x v="8"/>
    <n v="125000000"/>
    <x v="16"/>
    <n v="5.8"/>
  </r>
  <r>
    <n v="159"/>
    <n v="317557891"/>
    <s v="Harry Potter and the Sorcerer's Stone "/>
    <s v="English"/>
    <x v="9"/>
    <n v="125000000"/>
    <x v="8"/>
    <n v="7.5"/>
  </r>
  <r>
    <n v="123"/>
    <n v="337103873"/>
    <s v="The Hunger Games: Mockingjay - Part 1 "/>
    <s v="English"/>
    <x v="8"/>
    <n v="125000000"/>
    <x v="16"/>
    <n v="6.7"/>
  </r>
  <r>
    <n v="174"/>
    <n v="217536138"/>
    <s v="The Da Vinci Code "/>
    <s v="English"/>
    <x v="8"/>
    <n v="125000000"/>
    <x v="0"/>
    <n v="6.6"/>
  </r>
  <r>
    <n v="132"/>
    <n v="209805005"/>
    <s v="Fast Five "/>
    <s v="English"/>
    <x v="8"/>
    <n v="125000000"/>
    <x v="15"/>
    <n v="7.3"/>
  </r>
  <r>
    <n v="129"/>
    <n v="186830669"/>
    <s v="Sherlock Holmes: A Game of Shadows "/>
    <s v="English"/>
    <x v="8"/>
    <n v="125000000"/>
    <x v="15"/>
    <n v="7.5"/>
  </r>
  <r>
    <n v="106"/>
    <n v="163192114"/>
    <s v="Clash of the Titans "/>
    <s v="English"/>
    <x v="8"/>
    <n v="125000000"/>
    <x v="11"/>
    <n v="5.8"/>
  </r>
  <r>
    <n v="135"/>
    <n v="113165635"/>
    <s v="The Bourne Legacy "/>
    <s v="English"/>
    <x v="8"/>
    <n v="125000000"/>
    <x v="10"/>
    <n v="6.7"/>
  </r>
  <r>
    <n v="125"/>
    <n v="107285004"/>
    <s v="Batman &amp; Robin "/>
    <s v="English"/>
    <x v="8"/>
    <n v="125000000"/>
    <x v="2"/>
    <n v="3.7"/>
  </r>
  <r>
    <n v="124"/>
    <n v="186739919"/>
    <s v="The Day After Tomorrow "/>
    <s v="English"/>
    <x v="8"/>
    <n v="125000000"/>
    <x v="3"/>
    <n v="6.4"/>
  </r>
  <r>
    <n v="123"/>
    <n v="215397307"/>
    <s v="Mission: Impossible II "/>
    <s v="English"/>
    <x v="8"/>
    <n v="125000000"/>
    <x v="21"/>
    <n v="6.1"/>
  </r>
  <r>
    <n v="101"/>
    <n v="190871240"/>
    <s v="Teenage Mutant Ninja Turtles "/>
    <s v="English"/>
    <x v="8"/>
    <n v="125000000"/>
    <x v="16"/>
    <n v="5.9"/>
  </r>
  <r>
    <n v="106"/>
    <n v="163192114"/>
    <s v="Clash of the Titans "/>
    <s v="English"/>
    <x v="8"/>
    <n v="125000000"/>
    <x v="11"/>
    <n v="5.8"/>
  </r>
  <r>
    <n v="101"/>
    <n v="190871240"/>
    <s v="Teenage Mutant Ninja Turtles "/>
    <s v="English"/>
    <x v="8"/>
    <n v="125000000"/>
    <x v="16"/>
    <n v="5.9"/>
  </r>
  <r>
    <n v="110"/>
    <n v="260031035"/>
    <s v="How the Grinch Stole Christmas "/>
    <s v="English"/>
    <x v="8"/>
    <n v="123000000"/>
    <x v="21"/>
    <n v="6"/>
  </r>
  <r>
    <n v="115"/>
    <n v="292298923"/>
    <s v="The Twilight Saga: Breaking Dawn - Part 2 "/>
    <s v="English"/>
    <x v="8"/>
    <n v="120000000"/>
    <x v="10"/>
    <n v="5.5"/>
  </r>
  <r>
    <n v="115"/>
    <n v="292298923"/>
    <s v="The Twilight Saga: Breaking Dawn - Part 2 "/>
    <s v="English"/>
    <x v="8"/>
    <n v="120000000"/>
    <x v="10"/>
    <n v="5.5"/>
  </r>
  <r>
    <n v="127"/>
    <n v="124976634"/>
    <s v="Life of Pi "/>
    <s v="English"/>
    <x v="8"/>
    <n v="120000000"/>
    <x v="10"/>
    <n v="8"/>
  </r>
  <r>
    <n v="123"/>
    <n v="108521835"/>
    <s v="Jason Bourne "/>
    <s v="English"/>
    <x v="9"/>
    <n v="120000000"/>
    <x v="14"/>
    <n v="7.1"/>
  </r>
  <r>
    <n v="107"/>
    <n v="100685880"/>
    <s v="Charlie's Angels: Full Throttle "/>
    <s v="English"/>
    <x v="8"/>
    <n v="120000000"/>
    <x v="18"/>
    <n v="4.8"/>
  </r>
  <r>
    <n v="77"/>
    <n v="64736114"/>
    <s v="Stuart Little 2 "/>
    <s v="English"/>
    <x v="8"/>
    <n v="120000000"/>
    <x v="20"/>
    <n v="5.4"/>
  </r>
  <r>
    <n v="135"/>
    <n v="43929341"/>
    <s v="Speed Racer "/>
    <s v="English"/>
    <x v="8"/>
    <n v="120000000"/>
    <x v="7"/>
    <n v="6.1"/>
  </r>
  <r>
    <n v="121"/>
    <n v="30212620"/>
    <s v="How Do You Know "/>
    <s v="English"/>
    <x v="8"/>
    <n v="120000000"/>
    <x v="11"/>
    <n v="5.3"/>
  </r>
  <r>
    <n v="124"/>
    <n v="89021735"/>
    <s v="Oblivion "/>
    <s v="English"/>
    <x v="8"/>
    <n v="120000000"/>
    <x v="17"/>
    <n v="7"/>
  </r>
  <r>
    <n v="138"/>
    <n v="132550960"/>
    <s v="The Wolverine "/>
    <s v="English"/>
    <x v="8"/>
    <n v="120000000"/>
    <x v="17"/>
    <n v="6.7"/>
  </r>
  <r>
    <n v="100"/>
    <n v="56114221"/>
    <s v="Fantastic Four "/>
    <s v="English"/>
    <x v="8"/>
    <n v="120000000"/>
    <x v="12"/>
    <n v="4.3"/>
  </r>
  <r>
    <n v="126"/>
    <n v="186336103"/>
    <s v="Mr. &amp; Mrs. Smith "/>
    <s v="English"/>
    <x v="8"/>
    <n v="120000000"/>
    <x v="1"/>
    <n v="6.5"/>
  </r>
  <r>
    <n v="119"/>
    <n v="98780042"/>
    <s v="The Green Hornet "/>
    <s v="English"/>
    <x v="8"/>
    <n v="120000000"/>
    <x v="15"/>
    <n v="5.8"/>
  </r>
  <r>
    <n v="115"/>
    <n v="144795350"/>
    <s v="I, Robot "/>
    <s v="English"/>
    <x v="8"/>
    <n v="120000000"/>
    <x v="3"/>
    <n v="7.1"/>
  </r>
  <r>
    <n v="95"/>
    <n v="84037039"/>
    <s v="Atlantis: The Lost Empire "/>
    <s v="English"/>
    <x v="8"/>
    <n v="120000000"/>
    <x v="8"/>
    <n v="6.8"/>
  </r>
  <r>
    <n v="100"/>
    <n v="56114221"/>
    <s v="Fantastic Four "/>
    <s v="English"/>
    <x v="8"/>
    <n v="120000000"/>
    <x v="12"/>
    <n v="4.3"/>
  </r>
  <r>
    <n v="117"/>
    <n v="244052771"/>
    <s v="Cars "/>
    <s v="English"/>
    <x v="8"/>
    <n v="120000000"/>
    <x v="0"/>
    <n v="7.2"/>
  </r>
  <r>
    <n v="95"/>
    <n v="162792677"/>
    <s v="A Bug's Life "/>
    <s v="English"/>
    <x v="8"/>
    <n v="120000000"/>
    <x v="6"/>
    <n v="7.2"/>
  </r>
  <r>
    <n v="117"/>
    <n v="76418654"/>
    <s v="Knight and Day "/>
    <s v="English"/>
    <x v="8"/>
    <n v="117000000"/>
    <x v="11"/>
    <n v="6.3"/>
  </r>
  <r>
    <n v="108"/>
    <n v="67155742"/>
    <s v="Dante's Peak "/>
    <s v="English"/>
    <x v="8"/>
    <n v="116000000"/>
    <x v="2"/>
    <n v="5.8"/>
  </r>
  <r>
    <n v="109"/>
    <n v="93050117"/>
    <s v="Elysium "/>
    <s v="English"/>
    <x v="8"/>
    <n v="115000000"/>
    <x v="17"/>
    <n v="6.6"/>
  </r>
  <r>
    <n v="142"/>
    <n v="310675583"/>
    <s v="Star Wars: Episode II - Attack of the Clones "/>
    <s v="English"/>
    <x v="8"/>
    <n v="115000000"/>
    <x v="20"/>
    <n v="6.7"/>
  </r>
  <r>
    <n v="92"/>
    <n v="289907418"/>
    <s v="Monsters, Inc. "/>
    <s v="English"/>
    <x v="8"/>
    <n v="115000000"/>
    <x v="8"/>
    <n v="8.1"/>
  </r>
  <r>
    <n v="136"/>
    <n v="474544677"/>
    <s v="Star Wars: Episode I - The Phantom Menace "/>
    <s v="English"/>
    <x v="8"/>
    <n v="115000000"/>
    <x v="5"/>
    <n v="6.5"/>
  </r>
  <r>
    <n v="153"/>
    <n v="40911830"/>
    <s v="Windtalkers "/>
    <s v="English"/>
    <x v="8"/>
    <n v="115000000"/>
    <x v="20"/>
    <n v="6"/>
  </r>
  <r>
    <n v="120"/>
    <n v="47952020"/>
    <s v="The Huntsman: Winter's War "/>
    <s v="English"/>
    <x v="8"/>
    <n v="115000000"/>
    <x v="14"/>
    <n v="6.1"/>
  </r>
  <r>
    <n v="141"/>
    <n v="146282411"/>
    <s v="True Lies "/>
    <s v="English"/>
    <x v="8"/>
    <n v="115000000"/>
    <x v="22"/>
    <n v="7.2"/>
  </r>
  <r>
    <n v="100"/>
    <n v="131144183"/>
    <s v="Lara Croft: Tomb Raider "/>
    <s v="English"/>
    <x v="8"/>
    <n v="115000000"/>
    <x v="8"/>
    <n v="5.7"/>
  </r>
  <r>
    <n v="140"/>
    <n v="380262555"/>
    <s v="Star Wars: Episode III - Revenge of the Sith "/>
    <s v="English"/>
    <x v="8"/>
    <n v="113000000"/>
    <x v="1"/>
    <n v="7.6"/>
  </r>
  <r>
    <n v="85"/>
    <n v="42776259"/>
    <s v="Gulliver's Travels "/>
    <s v="English"/>
    <x v="8"/>
    <n v="112000000"/>
    <x v="11"/>
    <n v="4.9000000000000004"/>
  </r>
  <r>
    <n v="115"/>
    <n v="227137090"/>
    <s v="The Bourne Ultimatum "/>
    <s v="English"/>
    <x v="8"/>
    <n v="110000000"/>
    <x v="9"/>
    <n v="8.1"/>
  </r>
  <r>
    <n v="101"/>
    <n v="118311368"/>
    <s v="Salt "/>
    <s v="English"/>
    <x v="8"/>
    <n v="110000000"/>
    <x v="11"/>
    <n v="6.4"/>
  </r>
  <r>
    <n v="134"/>
    <n v="214948780"/>
    <s v="X-Men 2 "/>
    <s v="English"/>
    <x v="11"/>
    <n v="110000000"/>
    <x v="18"/>
    <n v="7.5"/>
  </r>
  <r>
    <n v="123"/>
    <n v="115802596"/>
    <s v="Ghost Rider "/>
    <s v="English"/>
    <x v="8"/>
    <n v="110000000"/>
    <x v="9"/>
    <n v="5.2"/>
  </r>
  <r>
    <n v="108"/>
    <n v="250863268"/>
    <s v="Night at the Museum "/>
    <s v="English"/>
    <x v="8"/>
    <n v="110000000"/>
    <x v="0"/>
    <n v="6.4"/>
  </r>
  <r>
    <n v="114"/>
    <n v="155181732"/>
    <s v="San Andreas "/>
    <s v="English"/>
    <x v="8"/>
    <n v="110000000"/>
    <x v="12"/>
    <n v="6.1"/>
  </r>
  <r>
    <n v="119"/>
    <n v="125332007"/>
    <s v="Tomorrow Never Dies "/>
    <s v="English"/>
    <x v="9"/>
    <n v="110000000"/>
    <x v="2"/>
    <n v="6.5"/>
  </r>
  <r>
    <n v="142"/>
    <n v="113330342"/>
    <s v="The Patriot "/>
    <s v="English"/>
    <x v="8"/>
    <n v="110000000"/>
    <x v="21"/>
    <n v="7.1"/>
  </r>
  <r>
    <n v="125"/>
    <n v="125531634"/>
    <s v="Ocean's Twelve "/>
    <s v="English"/>
    <x v="8"/>
    <n v="110000000"/>
    <x v="3"/>
    <n v="6.4"/>
  </r>
  <r>
    <n v="119"/>
    <n v="129995817"/>
    <s v="Insurgent "/>
    <s v="English"/>
    <x v="8"/>
    <n v="110000000"/>
    <x v="12"/>
    <n v="6.3"/>
  </r>
  <r>
    <n v="170"/>
    <n v="102608827"/>
    <s v="The Aviator "/>
    <s v="English"/>
    <x v="8"/>
    <n v="110000000"/>
    <x v="3"/>
    <n v="7.5"/>
  </r>
  <r>
    <n v="102"/>
    <n v="106369117"/>
    <s v="300: Rise of an Empire "/>
    <s v="English"/>
    <x v="8"/>
    <n v="110000000"/>
    <x v="16"/>
    <n v="6.2"/>
  </r>
  <r>
    <n v="103"/>
    <n v="142614158"/>
    <s v="The Smurfs "/>
    <s v="English"/>
    <x v="8"/>
    <n v="110000000"/>
    <x v="15"/>
    <n v="5.5"/>
  </r>
  <r>
    <n v="76"/>
    <n v="50026353"/>
    <s v="Home on the Range "/>
    <s v="English"/>
    <x v="8"/>
    <n v="110000000"/>
    <x v="3"/>
    <n v="5.4"/>
  </r>
  <r>
    <n v="120"/>
    <n v="66002193"/>
    <s v="Allegiant "/>
    <s v="English"/>
    <x v="8"/>
    <n v="110000000"/>
    <x v="14"/>
    <n v="5.8"/>
  </r>
  <r>
    <n v="127"/>
    <n v="85463309"/>
    <s v="Real Steel "/>
    <s v="English"/>
    <x v="8"/>
    <n v="110000000"/>
    <x v="15"/>
    <n v="7.1"/>
  </r>
  <r>
    <n v="114"/>
    <n v="61656849"/>
    <s v="Ender's Game "/>
    <s v="English"/>
    <x v="8"/>
    <n v="110000000"/>
    <x v="17"/>
    <n v="6.7"/>
  </r>
  <r>
    <n v="129"/>
    <n v="134520804"/>
    <s v="Live Free or Die Hard "/>
    <s v="English"/>
    <x v="8"/>
    <n v="110000000"/>
    <x v="9"/>
    <n v="7.2"/>
  </r>
  <r>
    <n v="120"/>
    <n v="24004159"/>
    <s v="Around the World in 80 Days "/>
    <s v="English"/>
    <x v="8"/>
    <n v="110000000"/>
    <x v="3"/>
    <n v="5.8"/>
  </r>
  <r>
    <n v="120"/>
    <n v="24004159"/>
    <s v="Around the World in 80 Days "/>
    <s v="English"/>
    <x v="8"/>
    <n v="110000000"/>
    <x v="3"/>
    <n v="5.8"/>
  </r>
  <r>
    <n v="82"/>
    <n v="100446895"/>
    <s v="The Cat in the Hat "/>
    <s v="English"/>
    <x v="8"/>
    <n v="109000000"/>
    <x v="18"/>
    <n v="3.8"/>
  </r>
  <r>
    <n v="151"/>
    <n v="228430993"/>
    <s v="The Martian "/>
    <s v="English"/>
    <x v="8"/>
    <n v="108000000"/>
    <x v="12"/>
    <n v="8.1"/>
  </r>
  <r>
    <n v="165"/>
    <n v="58183966"/>
    <s v="Ali "/>
    <s v="English"/>
    <x v="8"/>
    <n v="107000000"/>
    <x v="8"/>
    <n v="6.8"/>
  </r>
  <r>
    <n v="137"/>
    <n v="22406362"/>
    <s v="The Alamo "/>
    <s v="English"/>
    <x v="8"/>
    <n v="107000000"/>
    <x v="3"/>
    <n v="6"/>
  </r>
  <r>
    <n v="137"/>
    <n v="22406362"/>
    <s v="The Alamo "/>
    <s v="English"/>
    <x v="8"/>
    <n v="107000000"/>
    <x v="3"/>
    <n v="6"/>
  </r>
  <r>
    <n v="143"/>
    <n v="144812796"/>
    <s v="The Great Gatsby "/>
    <s v="English"/>
    <x v="13"/>
    <n v="105000000"/>
    <x v="17"/>
    <n v="7.3"/>
  </r>
  <r>
    <n v="134"/>
    <n v="57637485"/>
    <s v="The Chronicles of Riddick "/>
    <s v="English"/>
    <x v="8"/>
    <n v="105000000"/>
    <x v="3"/>
    <n v="6.7"/>
  </r>
  <r>
    <n v="105"/>
    <n v="71017784"/>
    <s v="The Smurfs 2 "/>
    <s v="English"/>
    <x v="8"/>
    <n v="105000000"/>
    <x v="17"/>
    <n v="5.4"/>
  </r>
  <r>
    <n v="97"/>
    <n v="104374107"/>
    <s v="The Princess and the Frog "/>
    <s v="English"/>
    <x v="8"/>
    <n v="105000000"/>
    <x v="13"/>
    <n v="7.1"/>
  </r>
  <r>
    <n v="129"/>
    <n v="54700065"/>
    <s v="Starship Troopers "/>
    <s v="English"/>
    <x v="8"/>
    <n v="105000000"/>
    <x v="2"/>
    <n v="7.2"/>
  </r>
  <r>
    <n v="114"/>
    <n v="28772222"/>
    <s v="Point Break "/>
    <s v="English"/>
    <x v="8"/>
    <n v="105000000"/>
    <x v="12"/>
    <n v="5.3"/>
  </r>
  <r>
    <n v="83"/>
    <n v="90646554"/>
    <s v="Antz "/>
    <s v="English"/>
    <x v="8"/>
    <n v="105000000"/>
    <x v="6"/>
    <n v="6.6"/>
  </r>
  <r>
    <n v="114"/>
    <n v="28772222"/>
    <s v="Point Break "/>
    <s v="English"/>
    <x v="8"/>
    <n v="105000000"/>
    <x v="12"/>
    <n v="5.3"/>
  </r>
  <r>
    <n v="143"/>
    <n v="144812796"/>
    <s v="The Great Gatsby "/>
    <s v="English"/>
    <x v="13"/>
    <n v="105000000"/>
    <x v="17"/>
    <n v="7.3"/>
  </r>
  <r>
    <n v="101"/>
    <n v="131536019"/>
    <s v="Rio 2 "/>
    <s v="English"/>
    <x v="8"/>
    <n v="103000000"/>
    <x v="16"/>
    <n v="6.4"/>
  </r>
  <r>
    <n v="171"/>
    <n v="187670866"/>
    <s v="Gladiator "/>
    <s v="English"/>
    <x v="8"/>
    <n v="103000000"/>
    <x v="21"/>
    <n v="8.5"/>
  </r>
  <r>
    <n v="132"/>
    <n v="274299"/>
    <s v="Amen. "/>
    <s v="English"/>
    <x v="7"/>
    <n v="103000000"/>
    <x v="20"/>
    <n v="7.3"/>
  </r>
  <r>
    <n v="145"/>
    <n v="132014112"/>
    <s v="Minority Report "/>
    <s v="English"/>
    <x v="8"/>
    <n v="102000000"/>
    <x v="20"/>
    <n v="7.7"/>
  </r>
  <r>
    <n v="153"/>
    <n v="204843350"/>
    <s v="Terminator 2: Judgment Day "/>
    <s v="English"/>
    <x v="8"/>
    <n v="102000000"/>
    <x v="23"/>
    <n v="8.5"/>
  </r>
  <r>
    <n v="172"/>
    <n v="27098580"/>
    <s v="Cloud Atlas "/>
    <s v="English"/>
    <x v="12"/>
    <n v="102000000"/>
    <x v="10"/>
    <n v="7.5"/>
  </r>
  <r>
    <n v="113"/>
    <n v="79711678"/>
    <s v="Dark Shadows "/>
    <s v="English"/>
    <x v="8"/>
    <n v="100000000"/>
    <x v="10"/>
    <n v="6.2"/>
  </r>
  <r>
    <n v="90"/>
    <n v="110332737"/>
    <s v="Fun with Dick and Jane "/>
    <s v="English"/>
    <x v="8"/>
    <n v="100000000"/>
    <x v="1"/>
    <n v="6.1"/>
  </r>
  <r>
    <n v="117"/>
    <n v="58607007"/>
    <s v="RoboCop "/>
    <s v="English"/>
    <x v="8"/>
    <n v="100000000"/>
    <x v="16"/>
    <n v="6.2"/>
  </r>
  <r>
    <n v="91"/>
    <n v="274084951"/>
    <s v="Gravity "/>
    <s v="English"/>
    <x v="9"/>
    <n v="100000000"/>
    <x v="17"/>
    <n v="7.8"/>
  </r>
  <r>
    <n v="174"/>
    <n v="261970615"/>
    <s v="Harry Potter and the Chamber of Secrets "/>
    <s v="English"/>
    <x v="9"/>
    <n v="100000000"/>
    <x v="20"/>
    <n v="7.4"/>
  </r>
  <r>
    <n v="119"/>
    <n v="180011740"/>
    <s v="Planet of the Apes "/>
    <s v="English"/>
    <x v="8"/>
    <n v="100000000"/>
    <x v="8"/>
    <n v="5.7"/>
  </r>
  <r>
    <n v="140"/>
    <n v="97030725"/>
    <s v="Public Enemies "/>
    <s v="English"/>
    <x v="8"/>
    <n v="100000000"/>
    <x v="13"/>
    <n v="7"/>
  </r>
  <r>
    <n v="176"/>
    <n v="130127620"/>
    <s v="American Gangster "/>
    <s v="English"/>
    <x v="8"/>
    <n v="100000000"/>
    <x v="9"/>
    <n v="7.8"/>
  </r>
  <r>
    <n v="106"/>
    <n v="65452312"/>
    <s v="The Taking of Pelham 1 2 3 "/>
    <s v="English"/>
    <x v="8"/>
    <n v="100000000"/>
    <x v="13"/>
    <n v="6.4"/>
  </r>
  <r>
    <n v="98"/>
    <n v="148383780"/>
    <s v="Little Fockers "/>
    <s v="English"/>
    <x v="8"/>
    <n v="100000000"/>
    <x v="11"/>
    <n v="5.5"/>
  </r>
  <r>
    <n v="116"/>
    <n v="119219978"/>
    <s v="The Other Guys "/>
    <s v="English"/>
    <x v="8"/>
    <n v="100000000"/>
    <x v="11"/>
    <n v="6.7"/>
  </r>
  <r>
    <n v="115"/>
    <n v="101228120"/>
    <s v="Eraser "/>
    <s v="English"/>
    <x v="8"/>
    <n v="100000000"/>
    <x v="24"/>
    <n v="6.1"/>
  </r>
  <r>
    <n v="165"/>
    <n v="162804648"/>
    <s v="Django Unchained "/>
    <s v="English"/>
    <x v="8"/>
    <n v="100000000"/>
    <x v="10"/>
    <n v="8.5"/>
  </r>
  <r>
    <n v="91"/>
    <n v="100117603"/>
    <s v="The Hunchback of Notre Dame "/>
    <s v="English"/>
    <x v="8"/>
    <n v="100000000"/>
    <x v="24"/>
    <n v="6.9"/>
  </r>
  <r>
    <n v="78"/>
    <n v="89296573"/>
    <s v="The Emperor's New Groove "/>
    <s v="English"/>
    <x v="8"/>
    <n v="100000000"/>
    <x v="21"/>
    <n v="7.3"/>
  </r>
  <r>
    <n v="131"/>
    <n v="173005002"/>
    <s v="National Treasure "/>
    <s v="English"/>
    <x v="8"/>
    <n v="100000000"/>
    <x v="3"/>
    <n v="6.9"/>
  </r>
  <r>
    <n v="104"/>
    <n v="75030163"/>
    <s v="Eragon "/>
    <s v="English"/>
    <x v="8"/>
    <n v="100000000"/>
    <x v="0"/>
    <n v="5.0999999999999996"/>
  </r>
  <r>
    <n v="101"/>
    <n v="77222184"/>
    <s v="Where the Wild Things Are "/>
    <s v="English"/>
    <x v="12"/>
    <n v="100000000"/>
    <x v="13"/>
    <n v="6.8"/>
  </r>
  <r>
    <n v="102"/>
    <n v="107515297"/>
    <s v="Epic "/>
    <s v="English"/>
    <x v="8"/>
    <n v="100000000"/>
    <x v="17"/>
    <n v="6.7"/>
  </r>
  <r>
    <n v="103"/>
    <n v="67631157"/>
    <s v="The Tourist "/>
    <s v="English"/>
    <x v="8"/>
    <n v="100000000"/>
    <x v="11"/>
    <n v="6"/>
  </r>
  <r>
    <n v="143"/>
    <n v="57366262"/>
    <s v="Blood Diamond "/>
    <s v="English"/>
    <x v="12"/>
    <n v="100000000"/>
    <x v="0"/>
    <n v="8"/>
  </r>
  <r>
    <n v="240"/>
    <n v="116866727"/>
    <s v="The Wolf of Wall Street "/>
    <s v="English"/>
    <x v="8"/>
    <n v="100000000"/>
    <x v="17"/>
    <n v="8.1999999999999993"/>
  </r>
  <r>
    <n v="121"/>
    <n v="184031112"/>
    <s v="Batman Forever "/>
    <s v="English"/>
    <x v="8"/>
    <n v="100000000"/>
    <x v="19"/>
    <n v="5.4"/>
  </r>
  <r>
    <n v="87"/>
    <n v="40198710"/>
    <s v="Catwoman "/>
    <s v="English"/>
    <x v="8"/>
    <n v="100000000"/>
    <x v="3"/>
    <n v="3.3"/>
  </r>
  <r>
    <n v="101"/>
    <n v="72660029"/>
    <s v="Hercules "/>
    <s v="English"/>
    <x v="8"/>
    <n v="100000000"/>
    <x v="16"/>
    <n v="6"/>
  </r>
  <r>
    <n v="102"/>
    <n v="49392095"/>
    <s v="Land of the Lost "/>
    <s v="English"/>
    <x v="8"/>
    <n v="100000000"/>
    <x v="13"/>
    <n v="5.4"/>
  </r>
  <r>
    <n v="122"/>
    <n v="24985612"/>
    <s v="In the Heart of the Sea "/>
    <s v="English"/>
    <x v="8"/>
    <n v="100000000"/>
    <x v="12"/>
    <n v="7"/>
  </r>
  <r>
    <n v="95"/>
    <n v="4411102"/>
    <s v="The Adventures of Pluto Nash "/>
    <s v="English"/>
    <x v="8"/>
    <n v="100000000"/>
    <x v="20"/>
    <n v="3.8"/>
  </r>
  <r>
    <n v="115"/>
    <n v="35024475"/>
    <s v="Green Zone "/>
    <s v="English"/>
    <x v="7"/>
    <n v="100000000"/>
    <x v="11"/>
    <n v="6.9"/>
  </r>
  <r>
    <n v="216"/>
    <n v="77679638"/>
    <s v="Gangs of New York "/>
    <s v="English"/>
    <x v="8"/>
    <n v="100000000"/>
    <x v="20"/>
    <n v="7.5"/>
  </r>
  <r>
    <n v="85"/>
    <n v="58867694"/>
    <s v="Surf's Up "/>
    <s v="English"/>
    <x v="8"/>
    <n v="100000000"/>
    <x v="9"/>
    <n v="6.8"/>
  </r>
  <r>
    <n v="146"/>
    <n v="95328937"/>
    <s v="Sex and the City 2 "/>
    <s v="English"/>
    <x v="8"/>
    <n v="100000000"/>
    <x v="11"/>
    <n v="4.3"/>
  </r>
  <r>
    <n v="119"/>
    <n v="23014504"/>
    <s v="Transcendence "/>
    <s v="English"/>
    <x v="9"/>
    <n v="100000000"/>
    <x v="16"/>
    <n v="6.3"/>
  </r>
  <r>
    <n v="98"/>
    <n v="81557479"/>
    <s v="Unstoppable "/>
    <s v="English"/>
    <x v="8"/>
    <n v="100000000"/>
    <x v="11"/>
    <n v="6.8"/>
  </r>
  <r>
    <n v="130"/>
    <n v="155370362"/>
    <s v="What Lies Beneath "/>
    <s v="English"/>
    <x v="8"/>
    <n v="100000000"/>
    <x v="21"/>
    <n v="6.6"/>
  </r>
  <r>
    <n v="90"/>
    <n v="124870275"/>
    <s v="Cloudy with a Chance of Meatballs "/>
    <s v="English"/>
    <x v="8"/>
    <n v="100000000"/>
    <x v="13"/>
    <n v="7"/>
  </r>
  <r>
    <n v="146"/>
    <n v="78616689"/>
    <s v="A.I. Artificial Intelligence "/>
    <s v="English"/>
    <x v="8"/>
    <n v="100000000"/>
    <x v="8"/>
    <n v="7.1"/>
  </r>
  <r>
    <n v="132"/>
    <n v="58220776"/>
    <s v="Bicentennial Man "/>
    <s v="English"/>
    <x v="8"/>
    <n v="100000000"/>
    <x v="5"/>
    <n v="6.8"/>
  </r>
  <r>
    <n v="138"/>
    <n v="35168677"/>
    <s v="K-19: The Widowmaker "/>
    <s v="English"/>
    <x v="9"/>
    <n v="100000000"/>
    <x v="20"/>
    <n v="6.7"/>
  </r>
  <r>
    <n v="108"/>
    <n v="197992827"/>
    <s v="Happy Feet "/>
    <s v="English"/>
    <x v="8"/>
    <n v="100000000"/>
    <x v="0"/>
    <n v="6.5"/>
  </r>
  <r>
    <n v="97"/>
    <n v="46440491"/>
    <s v="Arthur Christmas "/>
    <s v="English"/>
    <x v="9"/>
    <n v="100000000"/>
    <x v="15"/>
    <n v="7.1"/>
  </r>
  <r>
    <n v="136"/>
    <n v="67286731"/>
    <s v="Hidalgo "/>
    <s v="English"/>
    <x v="8"/>
    <n v="100000000"/>
    <x v="3"/>
    <n v="6.7"/>
  </r>
  <r>
    <n v="101"/>
    <n v="72660029"/>
    <s v="Hercules "/>
    <s v="English"/>
    <x v="8"/>
    <n v="100000000"/>
    <x v="16"/>
    <n v="6"/>
  </r>
  <r>
    <n v="105"/>
    <n v="103738726"/>
    <s v="Dick Tracy "/>
    <s v="English"/>
    <x v="8"/>
    <n v="100000000"/>
    <x v="25"/>
    <n v="6.1"/>
  </r>
  <r>
    <n v="117"/>
    <n v="58607007"/>
    <s v="RoboCop "/>
    <s v="English"/>
    <x v="8"/>
    <n v="100000000"/>
    <x v="16"/>
    <n v="6.2"/>
  </r>
  <r>
    <n v="112"/>
    <n v="3058380"/>
    <s v="The Widow of Saint-Pierre "/>
    <s v="French"/>
    <x v="7"/>
    <n v="100000000"/>
    <x v="21"/>
    <n v="7.3"/>
  </r>
  <r>
    <n v="119"/>
    <n v="11041228"/>
    <s v="House of Flying Daggers "/>
    <s v="Mandarin"/>
    <x v="5"/>
    <n v="100000000"/>
    <x v="3"/>
    <n v="7.6"/>
  </r>
  <r>
    <n v="103"/>
    <n v="67631157"/>
    <s v="The Tourist "/>
    <s v="English"/>
    <x v="8"/>
    <n v="100000000"/>
    <x v="11"/>
    <n v="6"/>
  </r>
  <r>
    <n v="119"/>
    <n v="180011740"/>
    <s v="Planet of the Apes "/>
    <s v="English"/>
    <x v="8"/>
    <n v="100000000"/>
    <x v="8"/>
    <n v="5.7"/>
  </r>
  <r>
    <n v="88"/>
    <n v="130174897"/>
    <s v="The Peanuts Movie "/>
    <s v="English"/>
    <x v="8"/>
    <n v="99000000"/>
    <x v="12"/>
    <n v="7.2"/>
  </r>
  <r>
    <n v="130"/>
    <n v="202007640"/>
    <s v="The Mummy Returns "/>
    <s v="English"/>
    <x v="8"/>
    <n v="98000000"/>
    <x v="8"/>
    <n v="6.3"/>
  </r>
  <r>
    <n v="124"/>
    <n v="11000000"/>
    <s v="Cutthroat Island "/>
    <s v="English"/>
    <x v="8"/>
    <n v="98000000"/>
    <x v="19"/>
    <n v="5.6"/>
  </r>
  <r>
    <n v="85"/>
    <n v="86897182"/>
    <s v="The Campaign "/>
    <s v="English"/>
    <x v="8"/>
    <n v="95000000"/>
    <x v="10"/>
    <n v="6.2"/>
  </r>
  <r>
    <n v="89"/>
    <n v="50802661"/>
    <s v="The Road to El Dorado "/>
    <s v="English"/>
    <x v="8"/>
    <n v="95000000"/>
    <x v="21"/>
    <n v="6.9"/>
  </r>
  <r>
    <n v="88"/>
    <n v="161317423"/>
    <s v="Ice Age: Continental Drift "/>
    <s v="English"/>
    <x v="8"/>
    <n v="95000000"/>
    <x v="10"/>
    <n v="6.6"/>
  </r>
  <r>
    <n v="105"/>
    <n v="201148159"/>
    <s v="Cinderella "/>
    <s v="English"/>
    <x v="8"/>
    <n v="95000000"/>
    <x v="12"/>
    <n v="7"/>
  </r>
  <r>
    <n v="102"/>
    <n v="17176900"/>
    <s v="Seventh Son "/>
    <s v="English"/>
    <x v="8"/>
    <n v="95000000"/>
    <x v="16"/>
    <n v="5.5"/>
  </r>
  <r>
    <n v="118"/>
    <n v="88761720"/>
    <s v="Percy Jackson &amp; the Olympians: The Lightning Thief "/>
    <s v="English"/>
    <x v="9"/>
    <n v="95000000"/>
    <x v="11"/>
    <n v="5.9"/>
  </r>
  <r>
    <n v="119"/>
    <n v="73209340"/>
    <s v="Hollow Man "/>
    <s v="English"/>
    <x v="8"/>
    <n v="95000000"/>
    <x v="21"/>
    <n v="5.7"/>
  </r>
  <r>
    <n v="117"/>
    <n v="65653758"/>
    <s v="Lara Croft Tomb Raider: The Cradle of Life "/>
    <s v="English"/>
    <x v="8"/>
    <n v="95000000"/>
    <x v="18"/>
    <n v="5.5"/>
  </r>
  <r>
    <n v="116"/>
    <n v="102678089"/>
    <s v="The General's Daughter "/>
    <s v="English"/>
    <x v="8"/>
    <n v="95000000"/>
    <x v="5"/>
    <n v="6.3"/>
  </r>
  <r>
    <n v="105"/>
    <n v="201148159"/>
    <s v="Cinderella "/>
    <s v="English"/>
    <x v="8"/>
    <n v="95000000"/>
    <x v="12"/>
    <n v="7"/>
  </r>
  <r>
    <n v="146"/>
    <n v="9213"/>
    <s v="The Flowers of War "/>
    <s v="Mandarin"/>
    <x v="5"/>
    <n v="94000000"/>
    <x v="15"/>
    <n v="7.6"/>
  </r>
  <r>
    <n v="100"/>
    <n v="380838870"/>
    <s v="Finding Nemo "/>
    <s v="English"/>
    <x v="8"/>
    <n v="94000000"/>
    <x v="18"/>
    <n v="8.1999999999999993"/>
  </r>
  <r>
    <n v="192"/>
    <n v="377019252"/>
    <s v="The Lord of the Rings: The Return of the King "/>
    <s v="English"/>
    <x v="8"/>
    <n v="94000000"/>
    <x v="18"/>
    <n v="8.9"/>
  </r>
  <r>
    <n v="172"/>
    <n v="340478898"/>
    <s v="The Lord of the Rings: The Two Towers "/>
    <s v="English"/>
    <x v="8"/>
    <n v="94000000"/>
    <x v="20"/>
    <n v="8.6999999999999993"/>
  </r>
  <r>
    <n v="171"/>
    <n v="313837577"/>
    <s v="The Lord of the Rings: The Fellowship of the Ring "/>
    <s v="English"/>
    <x v="10"/>
    <n v="93000000"/>
    <x v="8"/>
    <n v="8.8000000000000007"/>
  </r>
  <r>
    <n v="126"/>
    <n v="63540020"/>
    <s v="The Fifth Element "/>
    <s v="English"/>
    <x v="7"/>
    <n v="93000000"/>
    <x v="2"/>
    <n v="7.7"/>
  </r>
  <r>
    <n v="92"/>
    <n v="181166115"/>
    <s v="Jurassic Park III "/>
    <s v="English"/>
    <x v="8"/>
    <n v="93000000"/>
    <x v="8"/>
    <n v="5.9"/>
  </r>
  <r>
    <n v="105"/>
    <n v="176740650"/>
    <s v="Rise of the Planet of the Apes "/>
    <s v="English"/>
    <x v="8"/>
    <n v="93000000"/>
    <x v="15"/>
    <n v="7.6"/>
  </r>
  <r>
    <n v="103"/>
    <n v="85017401"/>
    <s v="The Expendables 2 "/>
    <s v="English"/>
    <x v="8"/>
    <n v="92000000"/>
    <x v="10"/>
    <n v="6.7"/>
  </r>
  <r>
    <n v="152"/>
    <n v="108638745"/>
    <s v="Black Hawk Down "/>
    <s v="English"/>
    <x v="8"/>
    <n v="92000000"/>
    <x v="8"/>
    <n v="7.7"/>
  </r>
  <r>
    <n v="101"/>
    <n v="67344392"/>
    <s v="A Good Day to Die Hard "/>
    <s v="English"/>
    <x v="8"/>
    <n v="92000000"/>
    <x v="17"/>
    <n v="5.3"/>
  </r>
  <r>
    <n v="115"/>
    <n v="261437578"/>
    <s v="The Incredibles "/>
    <s v="English"/>
    <x v="8"/>
    <n v="92000000"/>
    <x v="3"/>
    <n v="8"/>
  </r>
  <r>
    <n v="94"/>
    <n v="125305545"/>
    <s v="Charlie's Angels "/>
    <s v="English"/>
    <x v="8"/>
    <n v="92000000"/>
    <x v="21"/>
    <n v="5.5"/>
  </r>
  <r>
    <n v="121"/>
    <n v="110416702"/>
    <s v="Tropic Thunder "/>
    <s v="English"/>
    <x v="8"/>
    <n v="92000000"/>
    <x v="7"/>
    <n v="7"/>
  </r>
  <r>
    <n v="114"/>
    <n v="26871"/>
    <s v="Spy Game "/>
    <s v="English"/>
    <x v="12"/>
    <n v="92000000"/>
    <x v="8"/>
    <n v="7"/>
  </r>
  <r>
    <n v="113"/>
    <n v="241688385"/>
    <s v="Twister "/>
    <s v="English"/>
    <x v="8"/>
    <n v="92000000"/>
    <x v="24"/>
    <n v="6.3"/>
  </r>
  <r>
    <n v="127"/>
    <n v="101643008"/>
    <s v="Gone in Sixty Seconds "/>
    <s v="English"/>
    <x v="8"/>
    <n v="90000000"/>
    <x v="21"/>
    <n v="6.5"/>
  </r>
  <r>
    <n v="131"/>
    <n v="39292022"/>
    <s v="The Expendables 3 "/>
    <s v="English"/>
    <x v="8"/>
    <n v="90000000"/>
    <x v="16"/>
    <n v="6.1"/>
  </r>
  <r>
    <n v="93"/>
    <n v="59475623"/>
    <s v="The Stepford Wives "/>
    <s v="English"/>
    <x v="8"/>
    <n v="90000000"/>
    <x v="3"/>
    <n v="5.2"/>
  </r>
  <r>
    <n v="107"/>
    <n v="71148699"/>
    <s v="The Spiderwick Chronicles "/>
    <s v="English"/>
    <x v="8"/>
    <n v="90000000"/>
    <x v="7"/>
    <n v="6.6"/>
  </r>
  <r>
    <n v="98"/>
    <n v="250147615"/>
    <s v="Men in Black "/>
    <s v="English"/>
    <x v="8"/>
    <n v="90000000"/>
    <x v="2"/>
    <n v="7.3"/>
  </r>
  <r>
    <n v="82"/>
    <n v="245823397"/>
    <s v="Toy Story 2 "/>
    <s v="English"/>
    <x v="8"/>
    <n v="90000000"/>
    <x v="5"/>
    <n v="7.9"/>
  </r>
  <r>
    <n v="90"/>
    <n v="226138454"/>
    <s v="Rush Hour 2 "/>
    <s v="English"/>
    <x v="8"/>
    <n v="90000000"/>
    <x v="8"/>
    <n v="6.6"/>
  </r>
  <r>
    <n v="94"/>
    <n v="196573705"/>
    <s v="Ice Age: Dawn of the Dinosaurs "/>
    <s v="English"/>
    <x v="8"/>
    <n v="90000000"/>
    <x v="13"/>
    <n v="7"/>
  </r>
  <r>
    <n v="114"/>
    <n v="58229120"/>
    <s v="The Secret Life of Walter Mitty "/>
    <s v="English"/>
    <x v="8"/>
    <n v="90000000"/>
    <x v="17"/>
    <n v="7.3"/>
  </r>
  <r>
    <n v="151"/>
    <n v="132373442"/>
    <s v="The Departed "/>
    <s v="English"/>
    <x v="8"/>
    <n v="90000000"/>
    <x v="0"/>
    <n v="8.5"/>
  </r>
  <r>
    <n v="88"/>
    <n v="120618403"/>
    <s v="Mulan "/>
    <s v="English"/>
    <x v="8"/>
    <n v="90000000"/>
    <x v="6"/>
    <n v="7.5"/>
  </r>
  <r>
    <n v="158"/>
    <n v="102515793"/>
    <s v="The Girl with the Dragon Tattoo "/>
    <s v="English"/>
    <x v="8"/>
    <n v="90000000"/>
    <x v="15"/>
    <n v="7.8"/>
  </r>
  <r>
    <n v="128"/>
    <n v="100012500"/>
    <s v="Die Hard with a Vengeance "/>
    <s v="English"/>
    <x v="8"/>
    <n v="90000000"/>
    <x v="19"/>
    <n v="7.6"/>
  </r>
  <r>
    <n v="128"/>
    <n v="209019489"/>
    <s v="Sherlock Holmes "/>
    <s v="English"/>
    <x v="8"/>
    <n v="90000000"/>
    <x v="13"/>
    <n v="7.6"/>
  </r>
  <r>
    <n v="92"/>
    <n v="85884815"/>
    <s v="Alvin and the Chipmunks: The Road Chip "/>
    <s v="English"/>
    <x v="8"/>
    <n v="90000000"/>
    <x v="12"/>
    <n v="5"/>
  </r>
  <r>
    <n v="113"/>
    <n v="100018837"/>
    <s v="You Don't Mess with the Zohan "/>
    <s v="English"/>
    <x v="8"/>
    <n v="90000000"/>
    <x v="7"/>
    <n v="5.5"/>
  </r>
  <r>
    <n v="88"/>
    <n v="75817994"/>
    <s v="The Haunted Mansion "/>
    <s v="English"/>
    <x v="8"/>
    <n v="90000000"/>
    <x v="18"/>
    <n v="4.9000000000000004"/>
  </r>
  <r>
    <n v="150"/>
    <n v="100853835"/>
    <s v="Contact "/>
    <s v="English"/>
    <x v="8"/>
    <n v="90000000"/>
    <x v="2"/>
    <n v="7.4"/>
  </r>
  <r>
    <n v="106"/>
    <n v="68558662"/>
    <s v="Percy Jackson: Sea of Monsters "/>
    <s v="English"/>
    <x v="8"/>
    <n v="90000000"/>
    <x v="17"/>
    <n v="5.9"/>
  </r>
  <r>
    <n v="129"/>
    <n v="64685359"/>
    <s v="Now You See Me 2 "/>
    <s v="English"/>
    <x v="8"/>
    <n v="90000000"/>
    <x v="14"/>
    <n v="6.9"/>
  </r>
  <r>
    <n v="114"/>
    <n v="60874615"/>
    <s v="Mission to Mars "/>
    <s v="English"/>
    <x v="8"/>
    <n v="90000000"/>
    <x v="21"/>
    <n v="5.6"/>
  </r>
  <r>
    <n v="96"/>
    <n v="143618384"/>
    <s v="Rio "/>
    <s v="English"/>
    <x v="8"/>
    <n v="90000000"/>
    <x v="15"/>
    <n v="7"/>
  </r>
  <r>
    <n v="104"/>
    <n v="47474112"/>
    <s v="Volcano "/>
    <s v="English"/>
    <x v="8"/>
    <n v="90000000"/>
    <x v="2"/>
    <n v="5.4"/>
  </r>
  <r>
    <n v="110"/>
    <n v="190562"/>
    <s v="The Nutcracker in 3D "/>
    <s v="English"/>
    <x v="9"/>
    <n v="90000000"/>
    <x v="11"/>
    <n v="4.4000000000000004"/>
  </r>
  <r>
    <n v="143"/>
    <n v="233630478"/>
    <s v="Cast Away "/>
    <s v="English"/>
    <x v="8"/>
    <n v="90000000"/>
    <x v="21"/>
    <n v="7.7"/>
  </r>
  <r>
    <n v="140"/>
    <n v="111544445"/>
    <s v="Enemy of the State "/>
    <s v="English"/>
    <x v="8"/>
    <n v="90000000"/>
    <x v="6"/>
    <n v="7.3"/>
  </r>
  <r>
    <n v="178"/>
    <n v="44606335"/>
    <s v="Meet Joe Black "/>
    <s v="English"/>
    <x v="8"/>
    <n v="90000000"/>
    <x v="6"/>
    <n v="7.1"/>
  </r>
  <r>
    <n v="114"/>
    <n v="50628009"/>
    <s v="Mighty Joe Young "/>
    <s v="English"/>
    <x v="8"/>
    <n v="90000000"/>
    <x v="6"/>
    <n v="5.6"/>
  </r>
  <r>
    <n v="106"/>
    <n v="27356090"/>
    <s v="The Last Witch Hunter "/>
    <s v="English"/>
    <x v="8"/>
    <n v="90000000"/>
    <x v="12"/>
    <n v="6"/>
  </r>
  <r>
    <n v="135"/>
    <n v="33574332"/>
    <s v="Flags of Our Fathers "/>
    <s v="English"/>
    <x v="8"/>
    <n v="90000000"/>
    <x v="0"/>
    <n v="7.1"/>
  </r>
  <r>
    <n v="106"/>
    <n v="78747585"/>
    <s v="Pixels "/>
    <s v="English"/>
    <x v="8"/>
    <n v="88000000"/>
    <x v="12"/>
    <n v="5.6"/>
  </r>
  <r>
    <n v="144"/>
    <n v="61644321"/>
    <s v="Cinderella Man "/>
    <s v="English"/>
    <x v="8"/>
    <n v="88000000"/>
    <x v="1"/>
    <n v="8"/>
  </r>
  <r>
    <n v="118"/>
    <n v="37899638"/>
    <s v="The Brothers Grimm "/>
    <s v="English"/>
    <x v="8"/>
    <n v="88000000"/>
    <x v="1"/>
    <n v="5.9"/>
  </r>
  <r>
    <n v="140"/>
    <n v="120147445"/>
    <s v="Seabiscuit "/>
    <s v="English"/>
    <x v="8"/>
    <n v="87000000"/>
    <x v="18"/>
    <n v="7.3"/>
  </r>
  <r>
    <n v="101"/>
    <n v="26082914"/>
    <s v="xXx: State of the Union "/>
    <s v="English"/>
    <x v="8"/>
    <n v="87000000"/>
    <x v="1"/>
    <n v="4.3"/>
  </r>
  <r>
    <n v="111"/>
    <n v="42877165"/>
    <s v="The Devil's Own "/>
    <s v="English"/>
    <x v="8"/>
    <n v="86000000"/>
    <x v="2"/>
    <n v="6.1"/>
  </r>
  <r>
    <n v="94"/>
    <n v="15131330"/>
    <s v="Arthur and the Invisibles "/>
    <s v="English"/>
    <x v="7"/>
    <n v="86000000"/>
    <x v="0"/>
    <n v="6"/>
  </r>
  <r>
    <n v="102"/>
    <n v="32694788"/>
    <s v="The 13th Warrior "/>
    <s v="English"/>
    <x v="8"/>
    <n v="85000000"/>
    <x v="5"/>
    <n v="6.6"/>
  </r>
  <r>
    <n v="124"/>
    <n v="172620724"/>
    <s v="Air Force One "/>
    <s v="English"/>
    <x v="8"/>
    <n v="85000000"/>
    <x v="2"/>
    <n v="6.4"/>
  </r>
  <r>
    <n v="116"/>
    <n v="183405771"/>
    <s v="Ocean's Eleven "/>
    <s v="English"/>
    <x v="8"/>
    <n v="85000000"/>
    <x v="8"/>
    <n v="7.8"/>
  </r>
  <r>
    <n v="91"/>
    <n v="148313048"/>
    <s v="Hotel Transylvania "/>
    <s v="English"/>
    <x v="8"/>
    <n v="85000000"/>
    <x v="10"/>
    <n v="7.1"/>
  </r>
  <r>
    <n v="107"/>
    <n v="127706877"/>
    <s v="Enchanted "/>
    <s v="English"/>
    <x v="8"/>
    <n v="85000000"/>
    <x v="9"/>
    <n v="7.1"/>
  </r>
  <r>
    <n v="115"/>
    <n v="126149655"/>
    <s v="Safe House "/>
    <s v="English"/>
    <x v="8"/>
    <n v="85000000"/>
    <x v="10"/>
    <n v="6.8"/>
  </r>
  <r>
    <n v="100"/>
    <n v="66941559"/>
    <s v="102 Dalmatians "/>
    <s v="English"/>
    <x v="8"/>
    <n v="85000000"/>
    <x v="21"/>
    <n v="4.8"/>
  </r>
  <r>
    <n v="138"/>
    <n v="63224849"/>
    <s v="The Holiday "/>
    <s v="English"/>
    <x v="8"/>
    <n v="85000000"/>
    <x v="0"/>
    <n v="6.9"/>
  </r>
  <r>
    <n v="120"/>
    <n v="112703470"/>
    <s v="It's Complicated "/>
    <s v="English"/>
    <x v="8"/>
    <n v="85000000"/>
    <x v="13"/>
    <n v="6.6"/>
  </r>
  <r>
    <n v="122"/>
    <n v="117144465"/>
    <s v="Ocean's Thirteen "/>
    <s v="English"/>
    <x v="8"/>
    <n v="85000000"/>
    <x v="9"/>
    <n v="6.9"/>
  </r>
  <r>
    <n v="83"/>
    <n v="84303558"/>
    <s v="Open Season "/>
    <s v="English"/>
    <x v="8"/>
    <n v="85000000"/>
    <x v="0"/>
    <n v="6.2"/>
  </r>
  <r>
    <n v="139"/>
    <n v="150832203"/>
    <s v="Divergent "/>
    <s v="English"/>
    <x v="8"/>
    <n v="85000000"/>
    <x v="16"/>
    <n v="6.7"/>
  </r>
  <r>
    <n v="104"/>
    <n v="47592825"/>
    <s v="The Rundown "/>
    <s v="English"/>
    <x v="8"/>
    <n v="85000000"/>
    <x v="18"/>
    <n v="6.7"/>
  </r>
  <r>
    <n v="145"/>
    <n v="57010853"/>
    <s v="Memoirs of a Geisha "/>
    <s v="English"/>
    <x v="8"/>
    <n v="85000000"/>
    <x v="1"/>
    <n v="7.3"/>
  </r>
  <r>
    <n v="104"/>
    <n v="62494975"/>
    <s v="The Fast and the Furious: Tokyo Drift "/>
    <s v="English"/>
    <x v="8"/>
    <n v="85000000"/>
    <x v="0"/>
    <n v="6"/>
  </r>
  <r>
    <n v="108"/>
    <n v="40048332"/>
    <s v="Collateral Damage "/>
    <s v="English"/>
    <x v="8"/>
    <n v="85000000"/>
    <x v="20"/>
    <n v="5.5"/>
  </r>
  <r>
    <n v="106"/>
    <n v="64933670"/>
    <s v="Mirror Mirror "/>
    <s v="English"/>
    <x v="8"/>
    <n v="85000000"/>
    <x v="10"/>
    <n v="5.6"/>
  </r>
  <r>
    <n v="82"/>
    <n v="43575716"/>
    <s v="Cats &amp; Dogs: The Revenge of Kitty Galore "/>
    <s v="English"/>
    <x v="8"/>
    <n v="85000000"/>
    <x v="11"/>
    <n v="4.3"/>
  </r>
  <r>
    <n v="88"/>
    <n v="80170146"/>
    <s v="Jumper "/>
    <s v="English"/>
    <x v="8"/>
    <n v="85000000"/>
    <x v="7"/>
    <n v="6.1"/>
  </r>
  <r>
    <n v="120"/>
    <n v="75754670"/>
    <s v="Hellboy II: The Golden Army "/>
    <s v="English"/>
    <x v="8"/>
    <n v="85000000"/>
    <x v="7"/>
    <n v="7"/>
  </r>
  <r>
    <n v="113"/>
    <n v="55350897"/>
    <s v="What Dreams May Come "/>
    <s v="English"/>
    <x v="8"/>
    <n v="85000000"/>
    <x v="6"/>
    <n v="7"/>
  </r>
  <r>
    <n v="113"/>
    <n v="617228"/>
    <s v="I Served the King of England "/>
    <s v="Czech"/>
    <x v="14"/>
    <n v="84450000"/>
    <x v="0"/>
    <n v="7.4"/>
  </r>
  <r>
    <n v="94"/>
    <n v="17010646"/>
    <s v="Son of the Mask "/>
    <s v="English"/>
    <x v="8"/>
    <n v="84000000"/>
    <x v="1"/>
    <n v="2.2000000000000002"/>
  </r>
  <r>
    <n v="86"/>
    <n v="153288182"/>
    <s v="Scooby-Doo "/>
    <s v="English"/>
    <x v="8"/>
    <n v="84000000"/>
    <x v="20"/>
    <n v="4.9000000000000004"/>
  </r>
  <r>
    <n v="116"/>
    <n v="53215979"/>
    <s v="RED 2 "/>
    <s v="English"/>
    <x v="8"/>
    <n v="84000000"/>
    <x v="17"/>
    <n v="6.7"/>
  </r>
  <r>
    <n v="121"/>
    <n v="66862068"/>
    <s v="End of Days "/>
    <s v="English"/>
    <x v="8"/>
    <n v="83000000"/>
    <x v="5"/>
    <n v="5.7"/>
  </r>
  <r>
    <n v="123"/>
    <n v="34543701"/>
    <s v="The 6th Day "/>
    <s v="English"/>
    <x v="8"/>
    <n v="82000000"/>
    <x v="21"/>
    <n v="5.9"/>
  </r>
  <r>
    <n v="113"/>
    <n v="158115031"/>
    <s v="The Longest Yard "/>
    <s v="English"/>
    <x v="8"/>
    <n v="82000000"/>
    <x v="1"/>
    <n v="6.4"/>
  </r>
  <r>
    <n v="128"/>
    <n v="36381716"/>
    <s v="Sucker Punch "/>
    <s v="English"/>
    <x v="8"/>
    <n v="82000000"/>
    <x v="15"/>
    <n v="6.1"/>
  </r>
  <r>
    <n v="108"/>
    <n v="1339152"/>
    <s v="The Little Prince "/>
    <s v="English"/>
    <x v="7"/>
    <n v="81200000"/>
    <x v="12"/>
    <n v="7.8"/>
  </r>
  <r>
    <n v="101"/>
    <n v="242589580"/>
    <s v="Bruce Almighty "/>
    <s v="English"/>
    <x v="8"/>
    <n v="81000000"/>
    <x v="18"/>
    <n v="6.7"/>
  </r>
  <r>
    <n v="101"/>
    <n v="55673333"/>
    <s v="Legend of the Guardians: The Owls of Ga'Hoole "/>
    <s v="English"/>
    <x v="8"/>
    <n v="80000000"/>
    <x v="11"/>
    <n v="7"/>
  </r>
  <r>
    <n v="128"/>
    <n v="72515360"/>
    <s v="The Interpreter "/>
    <s v="Aboriginal"/>
    <x v="9"/>
    <n v="80000000"/>
    <x v="1"/>
    <n v="6.4"/>
  </r>
  <r>
    <n v="113"/>
    <n v="102981571"/>
    <s v="The Expendables "/>
    <s v="English"/>
    <x v="8"/>
    <n v="80000000"/>
    <x v="11"/>
    <n v="6.5"/>
  </r>
  <r>
    <n v="110"/>
    <n v="180965237"/>
    <s v="Mission: Impossible "/>
    <s v="English"/>
    <x v="8"/>
    <n v="80000000"/>
    <x v="24"/>
    <n v="7.1"/>
  </r>
  <r>
    <n v="102"/>
    <n v="254455986"/>
    <s v="The Hangover Part II "/>
    <s v="English"/>
    <x v="8"/>
    <n v="80000000"/>
    <x v="15"/>
    <n v="6.5"/>
  </r>
  <r>
    <n v="126"/>
    <n v="162831698"/>
    <s v="Batman Returns "/>
    <s v="English"/>
    <x v="8"/>
    <n v="80000000"/>
    <x v="26"/>
    <n v="7"/>
  </r>
  <r>
    <n v="83"/>
    <n v="155019340"/>
    <s v="Over the Hedge "/>
    <s v="English"/>
    <x v="8"/>
    <n v="80000000"/>
    <x v="0"/>
    <n v="6.8"/>
  </r>
  <r>
    <n v="85"/>
    <n v="145771527"/>
    <s v="Lilo &amp; Stitch "/>
    <s v="English"/>
    <x v="8"/>
    <n v="80000000"/>
    <x v="20"/>
    <n v="7.2"/>
  </r>
  <r>
    <n v="101"/>
    <n v="133668525"/>
    <s v="Grown Ups 2 "/>
    <s v="English"/>
    <x v="8"/>
    <n v="80000000"/>
    <x v="17"/>
    <n v="5.4"/>
  </r>
  <r>
    <n v="110"/>
    <n v="130313314"/>
    <s v="Get Smart "/>
    <s v="English"/>
    <x v="8"/>
    <n v="80000000"/>
    <x v="7"/>
    <n v="6.5"/>
  </r>
  <r>
    <n v="128"/>
    <n v="124590960"/>
    <s v="Something's Gotta Give "/>
    <s v="English"/>
    <x v="8"/>
    <n v="80000000"/>
    <x v="18"/>
    <n v="6.7"/>
  </r>
  <r>
    <n v="138"/>
    <n v="127968405"/>
    <s v="Shutter Island "/>
    <s v="English"/>
    <x v="8"/>
    <n v="80000000"/>
    <x v="11"/>
    <n v="8.1"/>
  </r>
  <r>
    <n v="88"/>
    <n v="120136047"/>
    <s v="Four Christmases "/>
    <s v="English"/>
    <x v="12"/>
    <n v="80000000"/>
    <x v="7"/>
    <n v="5.6"/>
  </r>
  <r>
    <n v="138"/>
    <n v="112225777"/>
    <s v="Face/Off "/>
    <s v="English"/>
    <x v="8"/>
    <n v="80000000"/>
    <x v="2"/>
    <n v="7.3"/>
  </r>
  <r>
    <n v="99"/>
    <n v="109993847"/>
    <s v="Bedtime Stories "/>
    <s v="English"/>
    <x v="8"/>
    <n v="80000000"/>
    <x v="7"/>
    <n v="6.1"/>
  </r>
  <r>
    <n v="117"/>
    <n v="104054514"/>
    <s v="Road to Perdition "/>
    <s v="English"/>
    <x v="8"/>
    <n v="80000000"/>
    <x v="20"/>
    <n v="7.7"/>
  </r>
  <r>
    <n v="117"/>
    <n v="103028109"/>
    <s v="Just Go with It "/>
    <s v="English"/>
    <x v="8"/>
    <n v="80000000"/>
    <x v="15"/>
    <n v="6.4"/>
  </r>
  <r>
    <n v="118"/>
    <n v="101111837"/>
    <s v="Eagle Eye "/>
    <s v="English"/>
    <x v="8"/>
    <n v="80000000"/>
    <x v="7"/>
    <n v="6.6"/>
  </r>
  <r>
    <n v="118"/>
    <n v="94822707"/>
    <s v="The Book of Eli "/>
    <s v="English"/>
    <x v="8"/>
    <n v="80000000"/>
    <x v="11"/>
    <n v="6.9"/>
  </r>
  <r>
    <n v="90"/>
    <n v="92969824"/>
    <s v="Flubber "/>
    <s v="English"/>
    <x v="8"/>
    <n v="80000000"/>
    <x v="2"/>
    <n v="5.2"/>
  </r>
  <r>
    <n v="113"/>
    <n v="91188905"/>
    <s v="The Haunting "/>
    <s v="English"/>
    <x v="8"/>
    <n v="80000000"/>
    <x v="5"/>
    <n v="4.9000000000000004"/>
  </r>
  <r>
    <n v="88"/>
    <n v="90443603"/>
    <s v="Space Jam "/>
    <s v="English"/>
    <x v="8"/>
    <n v="80000000"/>
    <x v="24"/>
    <n v="6.3"/>
  </r>
  <r>
    <n v="104"/>
    <n v="79363785"/>
    <s v="The Day the Earth Stood Still "/>
    <s v="English"/>
    <x v="8"/>
    <n v="80000000"/>
    <x v="7"/>
    <n v="5.5"/>
  </r>
  <r>
    <n v="80"/>
    <n v="100169068"/>
    <s v="Yogi Bear "/>
    <s v="English"/>
    <x v="8"/>
    <n v="80000000"/>
    <x v="11"/>
    <n v="4.5999999999999996"/>
  </r>
  <r>
    <n v="83"/>
    <n v="73215310"/>
    <s v="Spirit: Stallion of the Cimarron "/>
    <s v="English"/>
    <x v="8"/>
    <n v="80000000"/>
    <x v="20"/>
    <n v="7"/>
  </r>
  <r>
    <n v="102"/>
    <n v="80360866"/>
    <s v="Zookeeper "/>
    <s v="English"/>
    <x v="8"/>
    <n v="80000000"/>
    <x v="15"/>
    <n v="5.2"/>
  </r>
  <r>
    <n v="130"/>
    <n v="69102910"/>
    <s v="Lost in Space "/>
    <s v="English"/>
    <x v="8"/>
    <n v="80000000"/>
    <x v="6"/>
    <n v="5.0999999999999996"/>
  </r>
  <r>
    <n v="129"/>
    <n v="65948711"/>
    <s v="The Manchurian Candidate "/>
    <s v="English"/>
    <x v="8"/>
    <n v="80000000"/>
    <x v="3"/>
    <n v="6.6"/>
  </r>
  <r>
    <n v="89"/>
    <n v="169692572"/>
    <s v="Hotel Transylvania 2 "/>
    <s v="English"/>
    <x v="8"/>
    <n v="80000000"/>
    <x v="12"/>
    <n v="6.7"/>
  </r>
  <r>
    <n v="74"/>
    <n v="60507228"/>
    <s v="Fantasia 2000 "/>
    <s v="English"/>
    <x v="8"/>
    <n v="80000000"/>
    <x v="5"/>
    <n v="7.3"/>
  </r>
  <r>
    <n v="96"/>
    <n v="56684819"/>
    <s v="The Time Machine "/>
    <s v="English"/>
    <x v="8"/>
    <n v="80000000"/>
    <x v="20"/>
    <n v="5.9"/>
  </r>
  <r>
    <n v="99"/>
    <n v="69772969"/>
    <s v="Swordfish "/>
    <s v="English"/>
    <x v="8"/>
    <n v="80000000"/>
    <x v="8"/>
    <n v="6.5"/>
  </r>
  <r>
    <n v="90"/>
    <n v="39442871"/>
    <s v="Little Nicky "/>
    <s v="English"/>
    <x v="8"/>
    <n v="80000000"/>
    <x v="21"/>
    <n v="5.3"/>
  </r>
  <r>
    <n v="89"/>
    <n v="38542418"/>
    <s v="Surrogates "/>
    <s v="English"/>
    <x v="8"/>
    <n v="80000000"/>
    <x v="13"/>
    <n v="6.3"/>
  </r>
  <r>
    <n v="145"/>
    <n v="34566746"/>
    <s v="Thirteen Days "/>
    <s v="English"/>
    <x v="8"/>
    <n v="80000000"/>
    <x v="21"/>
    <n v="7.3"/>
  </r>
  <r>
    <n v="114"/>
    <n v="32885565"/>
    <s v="Daylight "/>
    <s v="English"/>
    <x v="8"/>
    <n v="80000000"/>
    <x v="24"/>
    <n v="5.8"/>
  </r>
  <r>
    <n v="87"/>
    <n v="36073232"/>
    <s v="Walking with Dinosaurs 3D "/>
    <s v="English"/>
    <x v="8"/>
    <n v="80000000"/>
    <x v="17"/>
    <n v="5.2"/>
  </r>
  <r>
    <n v="91"/>
    <n v="20950820"/>
    <s v="Looney Tunes: Back in Action "/>
    <s v="English"/>
    <x v="12"/>
    <n v="80000000"/>
    <x v="18"/>
    <n v="5.7"/>
  </r>
  <r>
    <n v="118"/>
    <n v="19673424"/>
    <s v="Nine "/>
    <s v="English"/>
    <x v="8"/>
    <n v="80000000"/>
    <x v="13"/>
    <n v="5.8"/>
  </r>
  <r>
    <n v="116"/>
    <n v="19480739"/>
    <s v="Timeline "/>
    <s v="English"/>
    <x v="8"/>
    <n v="80000000"/>
    <x v="18"/>
    <n v="5.6"/>
  </r>
  <r>
    <n v="177"/>
    <n v="17593391"/>
    <s v="The Postman "/>
    <s v="English"/>
    <x v="8"/>
    <n v="80000000"/>
    <x v="2"/>
    <n v="6"/>
  </r>
  <r>
    <n v="97"/>
    <n v="18318000"/>
    <s v="Babe: Pig in the City "/>
    <s v="English"/>
    <x v="13"/>
    <n v="80000000"/>
    <x v="6"/>
    <n v="5.8"/>
  </r>
  <r>
    <n v="105"/>
    <n v="23219748"/>
    <s v="Pompeii "/>
    <s v="English"/>
    <x v="11"/>
    <n v="80000000"/>
    <x v="16"/>
    <n v="5.6"/>
  </r>
  <r>
    <n v="99"/>
    <n v="15071514"/>
    <s v="The Invasion "/>
    <s v="English"/>
    <x v="8"/>
    <n v="80000000"/>
    <x v="9"/>
    <n v="5.9"/>
  </r>
  <r>
    <n v="115"/>
    <n v="195329763"/>
    <s v="Ice Age: The Meltdown "/>
    <s v="English"/>
    <x v="8"/>
    <n v="80000000"/>
    <x v="0"/>
    <n v="6.9"/>
  </r>
  <r>
    <n v="102"/>
    <n v="162001186"/>
    <s v="Grown Ups "/>
    <s v="English"/>
    <x v="8"/>
    <n v="80000000"/>
    <x v="11"/>
    <n v="6"/>
  </r>
  <r>
    <n v="131"/>
    <n v="42044321"/>
    <s v="Spanglish "/>
    <s v="English"/>
    <x v="8"/>
    <n v="80000000"/>
    <x v="3"/>
    <n v="6.5"/>
  </r>
  <r>
    <n v="123"/>
    <n v="41523271"/>
    <s v="Bandits "/>
    <s v="English"/>
    <x v="8"/>
    <n v="80000000"/>
    <x v="8"/>
    <n v="6.6"/>
  </r>
  <r>
    <n v="139"/>
    <n v="136448821"/>
    <s v="Ransom "/>
    <s v="English"/>
    <x v="8"/>
    <n v="80000000"/>
    <x v="24"/>
    <n v="6.6"/>
  </r>
  <r>
    <n v="117"/>
    <n v="116643346"/>
    <s v="S.W.A.T. "/>
    <s v="English"/>
    <x v="8"/>
    <n v="80000000"/>
    <x v="18"/>
    <n v="6"/>
  </r>
  <r>
    <n v="106"/>
    <n v="279167575"/>
    <s v="Meet the Fockers "/>
    <s v="English"/>
    <x v="8"/>
    <n v="80000000"/>
    <x v="3"/>
    <n v="6.3"/>
  </r>
  <r>
    <n v="117"/>
    <n v="43290977"/>
    <s v="Edge of Darkness "/>
    <s v="English"/>
    <x v="9"/>
    <n v="80000000"/>
    <x v="11"/>
    <n v="6.6"/>
  </r>
  <r>
    <n v="132"/>
    <n v="10166502"/>
    <s v="The Great Raid "/>
    <s v="Filipino"/>
    <x v="8"/>
    <n v="80000000"/>
    <x v="1"/>
    <n v="6.7"/>
  </r>
  <r>
    <n v="93"/>
    <n v="84185387"/>
    <s v="Scooby-Doo 2: Monsters Unleashed "/>
    <s v="English"/>
    <x v="8"/>
    <n v="80000000"/>
    <x v="3"/>
    <n v="4.9000000000000004"/>
  </r>
  <r>
    <n v="104"/>
    <n v="79363785"/>
    <s v="The Day the Earth Stood Still "/>
    <s v="English"/>
    <x v="8"/>
    <n v="80000000"/>
    <x v="7"/>
    <n v="5.5"/>
  </r>
  <r>
    <n v="154"/>
    <n v="95632614"/>
    <s v="Cold Mountain "/>
    <s v="English"/>
    <x v="8"/>
    <n v="79000000"/>
    <x v="18"/>
    <n v="7.2"/>
  </r>
  <r>
    <n v="94"/>
    <n v="103812241"/>
    <s v="Journey 2: The Mysterious Island "/>
    <s v="English"/>
    <x v="8"/>
    <n v="79000000"/>
    <x v="10"/>
    <n v="5.8"/>
  </r>
  <r>
    <n v="91"/>
    <n v="74158157"/>
    <s v="Jack and Jill "/>
    <s v="English"/>
    <x v="8"/>
    <n v="79000000"/>
    <x v="15"/>
    <n v="3.4"/>
  </r>
  <r>
    <n v="142"/>
    <n v="407999255"/>
    <s v="The Hunger Games "/>
    <s v="English"/>
    <x v="8"/>
    <n v="78000000"/>
    <x v="10"/>
    <n v="7.3"/>
  </r>
  <r>
    <n v="95"/>
    <n v="119793567"/>
    <s v="Cloudy with a Chance of Meatballs 2 "/>
    <s v="English"/>
    <x v="8"/>
    <n v="78000000"/>
    <x v="17"/>
    <n v="6.5"/>
  </r>
  <r>
    <n v="124"/>
    <n v="92930005"/>
    <s v="Red Dragon "/>
    <s v="English"/>
    <x v="12"/>
    <n v="78000000"/>
    <x v="20"/>
    <n v="7.2"/>
  </r>
  <r>
    <n v="110"/>
    <n v="66462600"/>
    <s v="The League of Extraordinary Gentlemen "/>
    <s v="English"/>
    <x v="8"/>
    <n v="78000000"/>
    <x v="18"/>
    <n v="5.8"/>
  </r>
  <r>
    <n v="122"/>
    <n v="33201661"/>
    <s v="Amélie "/>
    <s v="French"/>
    <x v="7"/>
    <n v="77000000"/>
    <x v="8"/>
    <n v="8.4"/>
  </r>
  <r>
    <n v="107"/>
    <n v="127083765"/>
    <s v="2 Fast 2 Furious "/>
    <s v="English"/>
    <x v="8"/>
    <n v="76000000"/>
    <x v="18"/>
    <n v="5.9"/>
  </r>
  <r>
    <n v="92"/>
    <n v="26000610"/>
    <s v="The Adventures of Rocky &amp; Bullwinkle "/>
    <s v="English"/>
    <x v="8"/>
    <n v="76000000"/>
    <x v="21"/>
    <n v="4.0999999999999996"/>
  </r>
  <r>
    <n v="98"/>
    <n v="368049635"/>
    <s v="Despicable Me 2 "/>
    <s v="English"/>
    <x v="8"/>
    <n v="76000000"/>
    <x v="17"/>
    <n v="7.5"/>
  </r>
  <r>
    <n v="109"/>
    <n v="35286428"/>
    <s v="Children of Men "/>
    <s v="English"/>
    <x v="8"/>
    <n v="76000000"/>
    <x v="0"/>
    <n v="7.9"/>
  </r>
  <r>
    <n v="121"/>
    <n v="83077470"/>
    <s v="Valkyrie "/>
    <s v="English"/>
    <x v="8"/>
    <n v="75000000"/>
    <x v="7"/>
    <n v="7.1"/>
  </r>
  <r>
    <n v="108"/>
    <n v="176049130"/>
    <s v="The Bourne Supremacy "/>
    <s v="English"/>
    <x v="8"/>
    <n v="75000000"/>
    <x v="3"/>
    <n v="7.8"/>
  </r>
  <r>
    <n v="110"/>
    <n v="20315324"/>
    <s v="The Three Musketeers "/>
    <s v="English"/>
    <x v="12"/>
    <n v="75000000"/>
    <x v="15"/>
    <n v="5.8"/>
  </r>
  <r>
    <n v="104"/>
    <n v="78009155"/>
    <s v="Tower Heist "/>
    <s v="English"/>
    <x v="8"/>
    <n v="75000000"/>
    <x v="15"/>
    <n v="6.2"/>
  </r>
  <r>
    <n v="120"/>
    <n v="140459099"/>
    <s v="Deep Impact "/>
    <s v="English"/>
    <x v="8"/>
    <n v="75000000"/>
    <x v="6"/>
    <n v="6.1"/>
  </r>
  <r>
    <n v="87"/>
    <n v="133103929"/>
    <s v="Alvin and the Chipmunks: Chipwrecked "/>
    <s v="English"/>
    <x v="8"/>
    <n v="75000000"/>
    <x v="15"/>
    <n v="4.4000000000000004"/>
  </r>
  <r>
    <n v="91"/>
    <n v="128200012"/>
    <s v="Robots "/>
    <s v="English"/>
    <x v="8"/>
    <n v="75000000"/>
    <x v="1"/>
    <n v="6.3"/>
  </r>
  <r>
    <n v="123"/>
    <n v="101087161"/>
    <s v="Con Air "/>
    <s v="English"/>
    <x v="8"/>
    <n v="75000000"/>
    <x v="2"/>
    <n v="6.8"/>
  </r>
  <r>
    <n v="135"/>
    <n v="76081498"/>
    <s v="Conspiracy Theory "/>
    <s v="English"/>
    <x v="8"/>
    <n v="75000000"/>
    <x v="2"/>
    <n v="6.7"/>
  </r>
  <r>
    <n v="129"/>
    <n v="45356386"/>
    <s v="The Legend of Zorro "/>
    <s v="Spanish"/>
    <x v="8"/>
    <n v="75000000"/>
    <x v="1"/>
    <n v="5.9"/>
  </r>
  <r>
    <n v="87"/>
    <n v="323505540"/>
    <s v="The Secret Life of Pets "/>
    <s v="English"/>
    <x v="2"/>
    <n v="75000000"/>
    <x v="14"/>
    <n v="6.8"/>
  </r>
  <r>
    <n v="154"/>
    <n v="306124059"/>
    <s v="Independence Day "/>
    <s v="English"/>
    <x v="8"/>
    <n v="75000000"/>
    <x v="24"/>
    <n v="6.9"/>
  </r>
  <r>
    <n v="86"/>
    <n v="193136719"/>
    <s v="Madagascar "/>
    <s v="English"/>
    <x v="8"/>
    <n v="75000000"/>
    <x v="1"/>
    <n v="6.9"/>
  </r>
  <r>
    <n v="104"/>
    <n v="157299717"/>
    <s v="X-Men "/>
    <s v="English"/>
    <x v="8"/>
    <n v="75000000"/>
    <x v="21"/>
    <n v="7.4"/>
  </r>
  <r>
    <n v="110"/>
    <n v="134568845"/>
    <s v="Wanted "/>
    <s v="English"/>
    <x v="8"/>
    <n v="75000000"/>
    <x v="7"/>
    <n v="6.7"/>
  </r>
  <r>
    <n v="136"/>
    <n v="134006721"/>
    <s v="The Rock "/>
    <s v="English"/>
    <x v="8"/>
    <n v="75000000"/>
    <x v="24"/>
    <n v="7.4"/>
  </r>
  <r>
    <n v="99"/>
    <n v="120776832"/>
    <s v="50 First Dates "/>
    <s v="English"/>
    <x v="8"/>
    <n v="75000000"/>
    <x v="3"/>
    <n v="6.8"/>
  </r>
  <r>
    <n v="117"/>
    <n v="118823091"/>
    <s v="Hairspray "/>
    <s v="English"/>
    <x v="8"/>
    <n v="75000000"/>
    <x v="9"/>
    <n v="6.7"/>
  </r>
  <r>
    <n v="110"/>
    <n v="97360069"/>
    <s v="Inspector Gadget "/>
    <s v="English"/>
    <x v="8"/>
    <n v="75000000"/>
    <x v="5"/>
    <n v="4.0999999999999996"/>
  </r>
  <r>
    <n v="125"/>
    <n v="117698894"/>
    <s v="Now You See Me "/>
    <s v="English"/>
    <x v="8"/>
    <n v="75000000"/>
    <x v="17"/>
    <n v="7.3"/>
  </r>
  <r>
    <n v="124"/>
    <n v="68473360"/>
    <s v="Vertical Limit "/>
    <s v="English"/>
    <x v="8"/>
    <n v="75000000"/>
    <x v="21"/>
    <n v="5.9"/>
  </r>
  <r>
    <n v="102"/>
    <n v="66636385"/>
    <s v="Charlie Wilson's War "/>
    <s v="English"/>
    <x v="8"/>
    <n v="75000000"/>
    <x v="9"/>
    <n v="7.1"/>
  </r>
  <r>
    <n v="90"/>
    <n v="160762022"/>
    <s v="Shark Tale "/>
    <s v="English"/>
    <x v="8"/>
    <n v="75000000"/>
    <x v="3"/>
    <n v="6"/>
  </r>
  <r>
    <n v="100"/>
    <n v="47000485"/>
    <s v="Killers "/>
    <s v="English"/>
    <x v="8"/>
    <n v="75000000"/>
    <x v="11"/>
    <n v="5.4"/>
  </r>
  <r>
    <n v="116"/>
    <n v="45434443"/>
    <s v="The Man from U.N.C.L.E. "/>
    <s v="English"/>
    <x v="8"/>
    <n v="75000000"/>
    <x v="12"/>
    <n v="7.3"/>
  </r>
  <r>
    <n v="91"/>
    <n v="73661010"/>
    <s v="Monster House "/>
    <s v="English"/>
    <x v="8"/>
    <n v="75000000"/>
    <x v="0"/>
    <n v="6.6"/>
  </r>
  <r>
    <n v="148"/>
    <n v="39251128"/>
    <s v="Anna and the King "/>
    <s v="English"/>
    <x v="8"/>
    <n v="75000000"/>
    <x v="5"/>
    <n v="6.7"/>
  </r>
  <r>
    <n v="110"/>
    <n v="83503161"/>
    <s v="Immortals "/>
    <s v="English"/>
    <x v="8"/>
    <n v="75000000"/>
    <x v="15"/>
    <n v="6.1"/>
  </r>
  <r>
    <n v="94"/>
    <n v="22751979"/>
    <s v="Titan A.E. "/>
    <s v="English"/>
    <x v="8"/>
    <n v="75000000"/>
    <x v="21"/>
    <n v="6.6"/>
  </r>
  <r>
    <n v="116"/>
    <n v="30013346"/>
    <s v="Hollywood Homicide "/>
    <s v="English"/>
    <x v="8"/>
    <n v="75000000"/>
    <x v="18"/>
    <n v="5.3"/>
  </r>
  <r>
    <n v="99"/>
    <n v="14567883"/>
    <s v="Soldier "/>
    <s v="English"/>
    <x v="9"/>
    <n v="75000000"/>
    <x v="6"/>
    <n v="6"/>
  </r>
  <r>
    <n v="93"/>
    <n v="5409517"/>
    <s v="Monkeybone "/>
    <s v="English"/>
    <x v="8"/>
    <n v="75000000"/>
    <x v="8"/>
    <n v="4.7"/>
  </r>
  <r>
    <n v="106"/>
    <n v="94999143"/>
    <s v="Unbreakable "/>
    <s v="English"/>
    <x v="8"/>
    <n v="75000000"/>
    <x v="21"/>
    <n v="7.2"/>
  </r>
  <r>
    <n v="134"/>
    <n v="36976367"/>
    <s v="Sphere "/>
    <s v="English"/>
    <x v="8"/>
    <n v="75000000"/>
    <x v="6"/>
    <n v="6"/>
  </r>
  <r>
    <n v="153"/>
    <n v="51814190"/>
    <s v="Funny People "/>
    <s v="English"/>
    <x v="8"/>
    <n v="75000000"/>
    <x v="13"/>
    <n v="6.4"/>
  </r>
  <r>
    <n v="87"/>
    <n v="183132370"/>
    <s v="The Simpsons Movie "/>
    <s v="English"/>
    <x v="8"/>
    <n v="75000000"/>
    <x v="9"/>
    <n v="7.4"/>
  </r>
  <r>
    <n v="153"/>
    <n v="120523073"/>
    <s v="Inglourious Basterds "/>
    <s v="English"/>
    <x v="8"/>
    <n v="75000000"/>
    <x v="13"/>
    <n v="8.3000000000000007"/>
  </r>
  <r>
    <n v="88"/>
    <n v="219613391"/>
    <s v="Alvin and the Chipmunks: The Squeakquel "/>
    <s v="English"/>
    <x v="8"/>
    <n v="75000000"/>
    <x v="13"/>
    <n v="4.5"/>
  </r>
  <r>
    <n v="124"/>
    <n v="78120196"/>
    <s v="We Were Soldiers "/>
    <s v="English"/>
    <x v="8"/>
    <n v="75000000"/>
    <x v="20"/>
    <n v="7.1"/>
  </r>
  <r>
    <n v="136"/>
    <n v="38509342"/>
    <s v="Rock of Ages "/>
    <s v="English"/>
    <x v="8"/>
    <n v="75000000"/>
    <x v="10"/>
    <n v="5.9"/>
  </r>
  <r>
    <n v="116"/>
    <n v="47748610"/>
    <s v="Alien: Resurrection "/>
    <s v="English"/>
    <x v="8"/>
    <n v="75000000"/>
    <x v="2"/>
    <n v="6.3"/>
  </r>
  <r>
    <n v="91"/>
    <n v="336029560"/>
    <s v="Minions "/>
    <s v="English"/>
    <x v="8"/>
    <n v="74000000"/>
    <x v="12"/>
    <n v="6.4"/>
  </r>
  <r>
    <n v="92"/>
    <n v="162495848"/>
    <s v="The SpongeBob Movie: Sponge Out of Water "/>
    <s v="English"/>
    <x v="8"/>
    <n v="74000000"/>
    <x v="12"/>
    <n v="6"/>
  </r>
  <r>
    <n v="129"/>
    <n v="229074524"/>
    <s v="The Lost World: Jurassic Park "/>
    <s v="English"/>
    <x v="8"/>
    <n v="73000000"/>
    <x v="2"/>
    <n v="6.5"/>
  </r>
  <r>
    <n v="97"/>
    <n v="107225164"/>
    <s v="The Angry Birds Movie "/>
    <s v="English"/>
    <x v="8"/>
    <n v="73000000"/>
    <x v="14"/>
    <n v="6.3"/>
  </r>
  <r>
    <n v="122"/>
    <n v="148213377"/>
    <s v="Talladega Nights: The Ballad of Ricky Bobby "/>
    <s v="English"/>
    <x v="8"/>
    <n v="73000000"/>
    <x v="0"/>
    <n v="6.6"/>
  </r>
  <r>
    <n v="87"/>
    <n v="112950721"/>
    <s v="Dr. Dolittle 2 "/>
    <s v="English"/>
    <x v="8"/>
    <n v="72000000"/>
    <x v="8"/>
    <n v="4.5999999999999996"/>
  </r>
  <r>
    <n v="178"/>
    <n v="75600000"/>
    <s v="Braveheart "/>
    <s v="English"/>
    <x v="8"/>
    <n v="72000000"/>
    <x v="19"/>
    <n v="8.4"/>
  </r>
  <r>
    <n v="152"/>
    <n v="27796042"/>
    <s v="The Majestic "/>
    <s v="English"/>
    <x v="8"/>
    <n v="72000000"/>
    <x v="8"/>
    <n v="6.9"/>
  </r>
  <r>
    <n v="116"/>
    <n v="32616869"/>
    <s v="Driven "/>
    <s v="English"/>
    <x v="8"/>
    <n v="72000000"/>
    <x v="8"/>
    <n v="4.5"/>
  </r>
  <r>
    <n v="106"/>
    <n v="227965690"/>
    <s v="Signs "/>
    <s v="English"/>
    <x v="8"/>
    <n v="72000000"/>
    <x v="20"/>
    <n v="6.7"/>
  </r>
  <r>
    <n v="85"/>
    <n v="144156464"/>
    <s v="Doctor Dolittle "/>
    <s v="English"/>
    <x v="8"/>
    <n v="71500000"/>
    <x v="6"/>
    <n v="5.3"/>
  </r>
  <r>
    <n v="100"/>
    <n v="11466088"/>
    <s v="Turbulence "/>
    <s v="English"/>
    <x v="8"/>
    <n v="71000000"/>
    <x v="2"/>
    <n v="4.7"/>
  </r>
  <r>
    <n v="130"/>
    <n v="50016394"/>
    <s v="Last Action Hero "/>
    <s v="English"/>
    <x v="8"/>
    <n v="70000000"/>
    <x v="27"/>
    <n v="6.2"/>
  </r>
  <r>
    <n v="107"/>
    <n v="137340146"/>
    <s v="Click "/>
    <s v="English"/>
    <x v="8"/>
    <n v="70000000"/>
    <x v="0"/>
    <n v="6.4"/>
  </r>
  <r>
    <n v="98"/>
    <n v="74329966"/>
    <s v="Six Days Seven Nights "/>
    <s v="English"/>
    <x v="8"/>
    <n v="70000000"/>
    <x v="6"/>
    <n v="5.7"/>
  </r>
  <r>
    <n v="106"/>
    <n v="37754208"/>
    <s v="Mars Attacks! "/>
    <s v="English"/>
    <x v="8"/>
    <n v="70000000"/>
    <x v="24"/>
    <n v="6.3"/>
  </r>
  <r>
    <n v="106"/>
    <n v="17473245"/>
    <s v="Red Planet "/>
    <s v="English"/>
    <x v="8"/>
    <n v="70000000"/>
    <x v="21"/>
    <n v="5.7"/>
  </r>
  <r>
    <n v="130"/>
    <n v="103338338"/>
    <s v="Dreamgirls "/>
    <s v="English"/>
    <x v="8"/>
    <n v="70000000"/>
    <x v="0"/>
    <n v="6.5"/>
  </r>
  <r>
    <n v="163"/>
    <n v="47379090"/>
    <s v="Munich "/>
    <s v="English"/>
    <x v="7"/>
    <n v="70000000"/>
    <x v="1"/>
    <n v="7.6"/>
  </r>
  <r>
    <n v="142"/>
    <n v="43426961"/>
    <s v="Tears of the Sun "/>
    <s v="English"/>
    <x v="8"/>
    <n v="70000000"/>
    <x v="18"/>
    <n v="6.6"/>
  </r>
  <r>
    <n v="112"/>
    <n v="70224196"/>
    <s v="Fool's Gold "/>
    <s v="English"/>
    <x v="8"/>
    <n v="70000000"/>
    <x v="7"/>
    <n v="5.6"/>
  </r>
  <r>
    <n v="110"/>
    <n v="47456450"/>
    <s v="The Kingdom "/>
    <s v="English"/>
    <x v="8"/>
    <n v="70000000"/>
    <x v="9"/>
    <n v="7.1"/>
  </r>
  <r>
    <n v="125"/>
    <n v="62647540"/>
    <s v="Jarhead "/>
    <s v="English"/>
    <x v="12"/>
    <n v="70000000"/>
    <x v="1"/>
    <n v="7.1"/>
  </r>
  <r>
    <n v="116"/>
    <n v="152149590"/>
    <s v="Runaway Bride "/>
    <s v="English"/>
    <x v="8"/>
    <n v="70000000"/>
    <x v="5"/>
    <n v="5.5"/>
  </r>
  <r>
    <n v="132"/>
    <n v="141204016"/>
    <s v="xXx "/>
    <s v="English"/>
    <x v="8"/>
    <n v="70000000"/>
    <x v="20"/>
    <n v="5.8"/>
  </r>
  <r>
    <n v="142"/>
    <n v="119654900"/>
    <s v="Hook "/>
    <s v="English"/>
    <x v="8"/>
    <n v="70000000"/>
    <x v="23"/>
    <n v="6.7"/>
  </r>
  <r>
    <n v="124"/>
    <n v="117541000"/>
    <s v="Die Hard 2 "/>
    <s v="English"/>
    <x v="8"/>
    <n v="70000000"/>
    <x v="25"/>
    <n v="7.1"/>
  </r>
  <r>
    <n v="110"/>
    <n v="42272747"/>
    <s v="Lady in the Water "/>
    <s v="English"/>
    <x v="8"/>
    <n v="70000000"/>
    <x v="0"/>
    <n v="5.6"/>
  </r>
  <r>
    <n v="119"/>
    <n v="98895417"/>
    <s v="Olympus Has Fallen "/>
    <s v="English"/>
    <x v="8"/>
    <n v="70000000"/>
    <x v="17"/>
    <n v="6.5"/>
  </r>
  <r>
    <n v="116"/>
    <n v="83552429"/>
    <s v="Battle Los Angeles "/>
    <s v="English"/>
    <x v="8"/>
    <n v="70000000"/>
    <x v="15"/>
    <n v="5.8"/>
  </r>
  <r>
    <n v="125"/>
    <n v="66257002"/>
    <s v="Big Fish "/>
    <s v="English"/>
    <x v="8"/>
    <n v="70000000"/>
    <x v="18"/>
    <n v="8"/>
  </r>
  <r>
    <n v="125"/>
    <n v="65012000"/>
    <s v="Wolf "/>
    <s v="English"/>
    <x v="8"/>
    <n v="70000000"/>
    <x v="22"/>
    <n v="6.2"/>
  </r>
  <r>
    <n v="118"/>
    <n v="78031620"/>
    <s v="The Monuments Men "/>
    <s v="English"/>
    <x v="8"/>
    <n v="70000000"/>
    <x v="16"/>
    <n v="6.1"/>
  </r>
  <r>
    <n v="136"/>
    <n v="52474616"/>
    <s v="Wall Street: Money Never Sleeps "/>
    <s v="English"/>
    <x v="8"/>
    <n v="70000000"/>
    <x v="11"/>
    <n v="6.3"/>
  </r>
  <r>
    <n v="92"/>
    <n v="55942830"/>
    <s v="Dracula Untold "/>
    <s v="English"/>
    <x v="8"/>
    <n v="70000000"/>
    <x v="16"/>
    <n v="6.3"/>
  </r>
  <r>
    <n v="116"/>
    <n v="40932372"/>
    <s v="The Siege "/>
    <s v="English"/>
    <x v="8"/>
    <n v="70000000"/>
    <x v="6"/>
    <n v="6.3"/>
  </r>
  <r>
    <n v="127"/>
    <n v="38345403"/>
    <s v="Stardust "/>
    <s v="English"/>
    <x v="9"/>
    <n v="70000000"/>
    <x v="9"/>
    <n v="7.7"/>
  </r>
  <r>
    <n v="136"/>
    <n v="37901509"/>
    <s v="Seven Years in Tibet "/>
    <s v="English"/>
    <x v="8"/>
    <n v="70000000"/>
    <x v="2"/>
    <n v="7"/>
  </r>
  <r>
    <n v="111"/>
    <n v="48430355"/>
    <s v="The Dilemma "/>
    <s v="English"/>
    <x v="8"/>
    <n v="70000000"/>
    <x v="15"/>
    <n v="5.3"/>
  </r>
  <r>
    <n v="116"/>
    <n v="30157016"/>
    <s v="Bad Company "/>
    <s v="English"/>
    <x v="8"/>
    <n v="70000000"/>
    <x v="20"/>
    <n v="5.6"/>
  </r>
  <r>
    <n v="97"/>
    <n v="33105600"/>
    <s v="I Spy "/>
    <s v="English"/>
    <x v="8"/>
    <n v="70000000"/>
    <x v="20"/>
    <n v="5.4"/>
  </r>
  <r>
    <n v="88"/>
    <n v="62321039"/>
    <s v="Underworld: Awakening "/>
    <s v="English"/>
    <x v="8"/>
    <n v="70000000"/>
    <x v="10"/>
    <n v="6.4"/>
  </r>
  <r>
    <n v="98"/>
    <n v="18990542"/>
    <s v="Rollerball "/>
    <s v="English"/>
    <x v="8"/>
    <n v="70000000"/>
    <x v="20"/>
    <n v="3"/>
  </r>
  <r>
    <n v="91"/>
    <n v="14294842"/>
    <s v="Ballistic: Ecks vs. Sever "/>
    <s v="English"/>
    <x v="8"/>
    <n v="70000000"/>
    <x v="20"/>
    <n v="3.6"/>
  </r>
  <r>
    <n v="97"/>
    <n v="19819494"/>
    <s v="Hard Rain "/>
    <s v="English"/>
    <x v="8"/>
    <n v="70000000"/>
    <x v="6"/>
    <n v="5.8"/>
  </r>
  <r>
    <n v="95"/>
    <n v="13596911"/>
    <s v="Osmosis Jones "/>
    <s v="English"/>
    <x v="8"/>
    <n v="70000000"/>
    <x v="8"/>
    <n v="6.2"/>
  </r>
  <r>
    <n v="133"/>
    <n v="7097125"/>
    <s v="Blackhat "/>
    <s v="English"/>
    <x v="8"/>
    <n v="70000000"/>
    <x v="12"/>
    <n v="5.4"/>
  </r>
  <r>
    <n v="106"/>
    <n v="37760080"/>
    <s v="Sky Captain and the World of Tomorrow "/>
    <s v="English"/>
    <x v="8"/>
    <n v="70000000"/>
    <x v="3"/>
    <n v="6.1"/>
  </r>
  <r>
    <n v="116"/>
    <n v="5851188"/>
    <s v="Basic Instinct 2 "/>
    <s v="English"/>
    <x v="9"/>
    <n v="70000000"/>
    <x v="0"/>
    <n v="4.2"/>
  </r>
  <r>
    <n v="99"/>
    <n v="18821279"/>
    <s v="The Legend of Hercules "/>
    <s v="English"/>
    <x v="8"/>
    <n v="70000000"/>
    <x v="16"/>
    <n v="4.2"/>
  </r>
  <r>
    <n v="141"/>
    <n v="617840"/>
    <s v="Agora "/>
    <s v="English"/>
    <x v="4"/>
    <n v="70000000"/>
    <x v="13"/>
    <n v="7.2"/>
  </r>
  <r>
    <n v="128"/>
    <n v="39380442"/>
    <s v="Body of Lies "/>
    <s v="English"/>
    <x v="8"/>
    <n v="70000000"/>
    <x v="7"/>
    <n v="7.1"/>
  </r>
  <r>
    <n v="169"/>
    <n v="216119491"/>
    <s v="Saving Private Ryan "/>
    <s v="English"/>
    <x v="8"/>
    <n v="70000000"/>
    <x v="6"/>
    <n v="8.6"/>
  </r>
  <r>
    <n v="127"/>
    <n v="182805123"/>
    <s v="What Women Want "/>
    <s v="English"/>
    <x v="8"/>
    <n v="70000000"/>
    <x v="21"/>
    <n v="6.4"/>
  </r>
  <r>
    <n v="124"/>
    <n v="84049211"/>
    <s v="Cliffhanger "/>
    <s v="English"/>
    <x v="8"/>
    <n v="70000000"/>
    <x v="27"/>
    <n v="6.4"/>
  </r>
  <r>
    <n v="100"/>
    <n v="17218080"/>
    <s v="Hudson Hawk "/>
    <s v="English"/>
    <x v="8"/>
    <n v="70000000"/>
    <x v="23"/>
    <n v="5.7"/>
  </r>
  <r>
    <n v="99"/>
    <n v="101217900"/>
    <s v="The Prince of Egypt "/>
    <s v="English"/>
    <x v="8"/>
    <n v="70000000"/>
    <x v="6"/>
    <n v="7"/>
  </r>
  <r>
    <n v="146"/>
    <n v="77862546"/>
    <s v="Man on Fire "/>
    <s v="English"/>
    <x v="8"/>
    <n v="70000000"/>
    <x v="3"/>
    <n v="7.7"/>
  </r>
  <r>
    <n v="91"/>
    <n v="42194060"/>
    <s v="Planet 51 "/>
    <s v="English"/>
    <x v="4"/>
    <n v="70000000"/>
    <x v="13"/>
    <n v="6.1"/>
  </r>
  <r>
    <n v="116"/>
    <n v="36931089"/>
    <s v="That's My Boy "/>
    <s v="English"/>
    <x v="8"/>
    <n v="70000000"/>
    <x v="10"/>
    <n v="5.6"/>
  </r>
  <r>
    <n v="118"/>
    <n v="177575142"/>
    <s v="Hitch "/>
    <s v="English"/>
    <x v="8"/>
    <n v="70000000"/>
    <x v="1"/>
    <n v="6.6"/>
  </r>
  <r>
    <n v="143"/>
    <n v="51225796"/>
    <s v="The Phantom of the Opera "/>
    <s v="English"/>
    <x v="9"/>
    <n v="70000000"/>
    <x v="3"/>
    <n v="7.4"/>
  </r>
  <r>
    <n v="104"/>
    <n v="97680195"/>
    <s v="Yes Man "/>
    <s v="English"/>
    <x v="8"/>
    <n v="70000000"/>
    <x v="7"/>
    <n v="6.8"/>
  </r>
  <r>
    <n v="90"/>
    <n v="23159305"/>
    <s v="The Iron Giant "/>
    <s v="English"/>
    <x v="8"/>
    <n v="70000000"/>
    <x v="5"/>
    <n v="8"/>
  </r>
  <r>
    <n v="101"/>
    <n v="22531698"/>
    <s v="Babylon A.D. "/>
    <s v="English"/>
    <x v="7"/>
    <n v="70000000"/>
    <x v="7"/>
    <n v="5.6"/>
  </r>
  <r>
    <n v="105"/>
    <n v="116735231"/>
    <s v="Double Jeopardy "/>
    <s v="English"/>
    <x v="8"/>
    <n v="70000000"/>
    <x v="5"/>
    <n v="6.4"/>
  </r>
  <r>
    <n v="171"/>
    <n v="54222000"/>
    <s v="The Abyss "/>
    <s v="English"/>
    <x v="8"/>
    <n v="69500000"/>
    <x v="28"/>
    <n v="7.6"/>
  </r>
  <r>
    <n v="98"/>
    <n v="55585389"/>
    <s v="Snake Eyes "/>
    <s v="English"/>
    <x v="8"/>
    <n v="69000000"/>
    <x v="6"/>
    <n v="5.9"/>
  </r>
  <r>
    <n v="87"/>
    <n v="251501645"/>
    <s v="Despicable Me "/>
    <s v="English"/>
    <x v="8"/>
    <n v="69000000"/>
    <x v="11"/>
    <n v="7.7"/>
  </r>
  <r>
    <n v="105"/>
    <n v="37516013"/>
    <s v="Abraham Lincoln: Vampire Hunter "/>
    <s v="English"/>
    <x v="8"/>
    <n v="69000000"/>
    <x v="10"/>
    <n v="5.9"/>
  </r>
  <r>
    <n v="116"/>
    <n v="61355436"/>
    <s v="The Saint "/>
    <s v="English"/>
    <x v="8"/>
    <n v="68000000"/>
    <x v="2"/>
    <n v="6.2"/>
  </r>
  <r>
    <n v="131"/>
    <n v="51396781"/>
    <s v="Enemy at the Gates "/>
    <s v="English"/>
    <x v="8"/>
    <n v="68000000"/>
    <x v="8"/>
    <n v="7.6"/>
  </r>
  <r>
    <n v="134"/>
    <n v="85707116"/>
    <s v="Fury "/>
    <s v="English"/>
    <x v="8"/>
    <n v="68000000"/>
    <x v="16"/>
    <n v="7.6"/>
  </r>
  <r>
    <n v="141"/>
    <n v="100614858"/>
    <s v="Vanilla Sky "/>
    <s v="English"/>
    <x v="8"/>
    <n v="68000000"/>
    <x v="8"/>
    <n v="6.9"/>
  </r>
  <r>
    <n v="124"/>
    <n v="118471320"/>
    <s v="The Sum of All Fears "/>
    <s v="English"/>
    <x v="8"/>
    <n v="68000000"/>
    <x v="20"/>
    <n v="6.4"/>
  </r>
  <r>
    <n v="124"/>
    <n v="300523113"/>
    <s v="The Twilight Saga: Eclipse "/>
    <s v="English"/>
    <x v="8"/>
    <n v="68000000"/>
    <x v="11"/>
    <n v="4.9000000000000004"/>
  </r>
  <r>
    <n v="124"/>
    <n v="71069884"/>
    <s v="The Score "/>
    <s v="English"/>
    <x v="8"/>
    <n v="68000000"/>
    <x v="8"/>
    <n v="6.8"/>
  </r>
  <r>
    <n v="105"/>
    <n v="35324232"/>
    <s v="Money Train "/>
    <s v="English"/>
    <x v="8"/>
    <n v="68000000"/>
    <x v="19"/>
    <n v="5.6"/>
  </r>
  <r>
    <n v="125"/>
    <n v="81257500"/>
    <s v="Ted 2 "/>
    <s v="English"/>
    <x v="8"/>
    <n v="68000000"/>
    <x v="12"/>
    <n v="6.4"/>
  </r>
  <r>
    <n v="157"/>
    <n v="28965197"/>
    <s v="The Insider "/>
    <s v="English"/>
    <x v="8"/>
    <n v="68000000"/>
    <x v="5"/>
    <n v="7.9"/>
  </r>
  <r>
    <n v="136"/>
    <n v="33685268"/>
    <s v="Dreamcatcher "/>
    <s v="English"/>
    <x v="8"/>
    <n v="68000000"/>
    <x v="18"/>
    <n v="5.5"/>
  </r>
  <r>
    <n v="102"/>
    <n v="34350553"/>
    <s v="The Watch "/>
    <s v="English"/>
    <x v="8"/>
    <n v="68000000"/>
    <x v="10"/>
    <n v="5.7"/>
  </r>
  <r>
    <n v="102"/>
    <n v="34350553"/>
    <s v="The Watch "/>
    <s v="English"/>
    <x v="8"/>
    <n v="68000000"/>
    <x v="10"/>
    <n v="5.7"/>
  </r>
  <r>
    <n v="146"/>
    <n v="79883359"/>
    <s v="War Horse "/>
    <s v="English"/>
    <x v="8"/>
    <n v="66000000"/>
    <x v="15"/>
    <n v="7.2"/>
  </r>
  <r>
    <n v="113"/>
    <n v="87704396"/>
    <s v="Entrapment "/>
    <s v="English"/>
    <x v="8"/>
    <n v="66000000"/>
    <x v="5"/>
    <n v="6.2"/>
  </r>
  <r>
    <n v="121"/>
    <n v="83892374"/>
    <s v="The X Files "/>
    <s v="English"/>
    <x v="8"/>
    <n v="66000000"/>
    <x v="6"/>
    <n v="7"/>
  </r>
  <r>
    <n v="132"/>
    <n v="43568507"/>
    <s v="Need for Speed "/>
    <s v="English"/>
    <x v="8"/>
    <n v="66000000"/>
    <x v="16"/>
    <n v="6.5"/>
  </r>
  <r>
    <n v="132"/>
    <n v="59035104"/>
    <s v="Hellboy "/>
    <s v="English"/>
    <x v="8"/>
    <n v="66000000"/>
    <x v="3"/>
    <n v="6.8"/>
  </r>
  <r>
    <n v="113"/>
    <n v="119412921"/>
    <s v="Total Recall "/>
    <s v="English"/>
    <x v="8"/>
    <n v="65000000"/>
    <x v="25"/>
    <n v="7.5"/>
  </r>
  <r>
    <n v="135"/>
    <n v="43982842"/>
    <s v="The Lovely Bones "/>
    <s v="English"/>
    <x v="8"/>
    <n v="65000000"/>
    <x v="13"/>
    <n v="6.7"/>
  </r>
  <r>
    <n v="109"/>
    <n v="123307945"/>
    <s v="Nutty Professor II: The Klumps "/>
    <s v="English"/>
    <x v="8"/>
    <n v="65000000"/>
    <x v="21"/>
    <n v="4.3"/>
  </r>
  <r>
    <n v="162"/>
    <n v="33048353"/>
    <s v="Zodiac "/>
    <s v="English"/>
    <x v="8"/>
    <n v="65000000"/>
    <x v="9"/>
    <n v="7.7"/>
  </r>
  <r>
    <n v="93"/>
    <n v="82226474"/>
    <s v="The Pink Panther "/>
    <s v="English"/>
    <x v="8"/>
    <n v="65000000"/>
    <x v="0"/>
    <n v="5.6"/>
  </r>
  <r>
    <n v="121"/>
    <n v="29655590"/>
    <s v="Mystery Men "/>
    <s v="English"/>
    <x v="8"/>
    <n v="65000000"/>
    <x v="5"/>
    <n v="6"/>
  </r>
  <r>
    <n v="150"/>
    <n v="182204440"/>
    <s v="Lincoln "/>
    <s v="English"/>
    <x v="8"/>
    <n v="65000000"/>
    <x v="10"/>
    <n v="7.4"/>
  </r>
  <r>
    <n v="113"/>
    <n v="119412921"/>
    <s v="Total Recall "/>
    <s v="English"/>
    <x v="8"/>
    <n v="65000000"/>
    <x v="25"/>
    <n v="7.5"/>
  </r>
  <r>
    <n v="119"/>
    <n v="115731542"/>
    <s v="You've Got Mail "/>
    <s v="English"/>
    <x v="8"/>
    <n v="65000000"/>
    <x v="6"/>
    <n v="6.5"/>
  </r>
  <r>
    <n v="106"/>
    <n v="100468793"/>
    <s v="Step Brothers "/>
    <s v="English"/>
    <x v="8"/>
    <n v="65000000"/>
    <x v="7"/>
    <n v="6.9"/>
  </r>
  <r>
    <n v="136"/>
    <n v="93771072"/>
    <s v="The Mask of Zorro "/>
    <s v="English"/>
    <x v="8"/>
    <n v="65000000"/>
    <x v="6"/>
    <n v="6.7"/>
  </r>
  <r>
    <n v="95"/>
    <n v="100448498"/>
    <s v="Due Date "/>
    <s v="English"/>
    <x v="8"/>
    <n v="65000000"/>
    <x v="11"/>
    <n v="6.6"/>
  </r>
  <r>
    <n v="137"/>
    <n v="115603980"/>
    <s v="Unbroken "/>
    <s v="English"/>
    <x v="8"/>
    <n v="65000000"/>
    <x v="16"/>
    <n v="7.2"/>
  </r>
  <r>
    <n v="130"/>
    <n v="90454043"/>
    <s v="Space Cowboys "/>
    <s v="English"/>
    <x v="8"/>
    <n v="65000000"/>
    <x v="21"/>
    <n v="6.4"/>
  </r>
  <r>
    <n v="117"/>
    <n v="63695760"/>
    <s v="Mona Lisa Smile "/>
    <s v="English"/>
    <x v="8"/>
    <n v="65000000"/>
    <x v="18"/>
    <n v="6.4"/>
  </r>
  <r>
    <n v="99"/>
    <n v="59617068"/>
    <s v="The Dictator "/>
    <s v="English"/>
    <x v="8"/>
    <n v="65000000"/>
    <x v="10"/>
    <n v="6.4"/>
  </r>
  <r>
    <n v="159"/>
    <n v="55637680"/>
    <s v="Eyes Wide Shut "/>
    <s v="English"/>
    <x v="9"/>
    <n v="65000000"/>
    <x v="5"/>
    <n v="7.3"/>
  </r>
  <r>
    <n v="118"/>
    <n v="85911262"/>
    <s v="Annie "/>
    <s v="English"/>
    <x v="8"/>
    <n v="65000000"/>
    <x v="16"/>
    <n v="5.2"/>
  </r>
  <r>
    <n v="103"/>
    <n v="54758461"/>
    <s v="This Means War "/>
    <s v="English"/>
    <x v="8"/>
    <n v="65000000"/>
    <x v="10"/>
    <n v="6.3"/>
  </r>
  <r>
    <n v="122"/>
    <n v="52397389"/>
    <s v="Blade: Trinity "/>
    <s v="English"/>
    <x v="8"/>
    <n v="65000000"/>
    <x v="3"/>
    <n v="5.9"/>
  </r>
  <r>
    <n v="143"/>
    <n v="38966057"/>
    <s v="Primary Colors "/>
    <s v="English"/>
    <x v="7"/>
    <n v="65000000"/>
    <x v="6"/>
    <n v="6.7"/>
  </r>
  <r>
    <n v="96"/>
    <n v="42345531"/>
    <s v="Resident Evil: Retribution "/>
    <s v="English"/>
    <x v="12"/>
    <n v="65000000"/>
    <x v="10"/>
    <n v="5.4"/>
  </r>
  <r>
    <n v="121"/>
    <n v="33328051"/>
    <s v="The Long Kiss Goodnight "/>
    <s v="English"/>
    <x v="8"/>
    <n v="65000000"/>
    <x v="24"/>
    <n v="6.7"/>
  </r>
  <r>
    <n v="135"/>
    <n v="32598931"/>
    <s v="Proof of Life "/>
    <s v="English"/>
    <x v="8"/>
    <n v="65000000"/>
    <x v="21"/>
    <n v="6.2"/>
  </r>
  <r>
    <n v="101"/>
    <n v="28045540"/>
    <s v="Zathura: A Space Adventure "/>
    <s v="English"/>
    <x v="8"/>
    <n v="65000000"/>
    <x v="1"/>
    <n v="6.1"/>
  </r>
  <r>
    <n v="131"/>
    <n v="43532294"/>
    <s v="We Are Marshall "/>
    <s v="English"/>
    <x v="8"/>
    <n v="65000000"/>
    <x v="0"/>
    <n v="7.1"/>
  </r>
  <r>
    <n v="105"/>
    <n v="10014234"/>
    <s v="Lucky Numbers "/>
    <s v="English"/>
    <x v="7"/>
    <n v="65000000"/>
    <x v="21"/>
    <n v="5"/>
  </r>
  <r>
    <n v="92"/>
    <n v="19059018"/>
    <s v="I, Frankenstein "/>
    <s v="English"/>
    <x v="13"/>
    <n v="65000000"/>
    <x v="16"/>
    <n v="5.0999999999999996"/>
  </r>
  <r>
    <n v="102"/>
    <n v="13750556"/>
    <s v="Sin City: A Dame to Kill For "/>
    <s v="English"/>
    <x v="8"/>
    <n v="65000000"/>
    <x v="16"/>
    <n v="6.5"/>
  </r>
  <r>
    <n v="94"/>
    <n v="19548064"/>
    <s v="Astro Boy "/>
    <s v="English"/>
    <x v="15"/>
    <n v="65000000"/>
    <x v="13"/>
    <n v="6.3"/>
  </r>
  <r>
    <n v="103"/>
    <n v="72413"/>
    <s v="Dragon Blade "/>
    <s v="Mandarin"/>
    <x v="5"/>
    <n v="65000000"/>
    <x v="12"/>
    <n v="6.1"/>
  </r>
  <r>
    <n v="117"/>
    <n v="210592590"/>
    <s v="300 "/>
    <s v="English"/>
    <x v="8"/>
    <n v="65000000"/>
    <x v="0"/>
    <n v="7.7"/>
  </r>
  <r>
    <n v="120"/>
    <n v="100003492"/>
    <s v="Collateral "/>
    <s v="English"/>
    <x v="8"/>
    <n v="65000000"/>
    <x v="3"/>
    <n v="7.6"/>
  </r>
  <r>
    <n v="94"/>
    <n v="36830057"/>
    <s v="My Favorite Martian "/>
    <s v="English"/>
    <x v="8"/>
    <n v="65000000"/>
    <x v="5"/>
    <n v="4.9000000000000004"/>
  </r>
  <r>
    <n v="91"/>
    <n v="14218868"/>
    <s v="Supernova "/>
    <s v="English"/>
    <x v="8"/>
    <n v="65000000"/>
    <x v="21"/>
    <n v="4.8"/>
  </r>
  <r>
    <n v="98"/>
    <n v="67128202"/>
    <s v="Race to Witch Mountain "/>
    <s v="English"/>
    <x v="8"/>
    <n v="65000000"/>
    <x v="13"/>
    <n v="5.7"/>
  </r>
  <r>
    <n v="144"/>
    <n v="56083966"/>
    <s v="A Knight's Tale "/>
    <s v="English"/>
    <x v="8"/>
    <n v="65000000"/>
    <x v="8"/>
    <n v="6.9"/>
  </r>
  <r>
    <n v="137"/>
    <n v="115603980"/>
    <s v="Unbroken "/>
    <s v="English"/>
    <x v="8"/>
    <n v="65000000"/>
    <x v="16"/>
    <n v="7.2"/>
  </r>
  <r>
    <n v="93"/>
    <n v="68208190"/>
    <s v="Blue Streak "/>
    <s v="English"/>
    <x v="8"/>
    <n v="65000000"/>
    <x v="5"/>
    <n v="6.3"/>
  </r>
  <r>
    <n v="135"/>
    <n v="43982842"/>
    <s v="The Lovely Bones "/>
    <s v="English"/>
    <x v="8"/>
    <n v="65000000"/>
    <x v="13"/>
    <n v="6.7"/>
  </r>
  <r>
    <n v="133"/>
    <n v="31054924"/>
    <s v="Random Hearts "/>
    <s v="English"/>
    <x v="8"/>
    <n v="64000000"/>
    <x v="5"/>
    <n v="5.0999999999999996"/>
  </r>
  <r>
    <n v="98"/>
    <n v="58255287"/>
    <s v="Littleman "/>
    <s v="English"/>
    <x v="8"/>
    <n v="64000000"/>
    <x v="0"/>
    <n v="4.3"/>
  </r>
  <r>
    <n v="136"/>
    <n v="171383253"/>
    <s v="The Matrix "/>
    <s v="English"/>
    <x v="8"/>
    <n v="63000000"/>
    <x v="5"/>
    <n v="8.6999999999999993"/>
  </r>
  <r>
    <n v="129"/>
    <n v="70236496"/>
    <s v="World Trade Center "/>
    <s v="English"/>
    <x v="8"/>
    <n v="63000000"/>
    <x v="0"/>
    <n v="6"/>
  </r>
  <r>
    <n v="151"/>
    <n v="37023395"/>
    <s v="Fight Club "/>
    <s v="English"/>
    <x v="8"/>
    <n v="63000000"/>
    <x v="5"/>
    <n v="8.8000000000000007"/>
  </r>
  <r>
    <n v="94"/>
    <n v="213079163"/>
    <s v="Austin Powers in Goldmember "/>
    <s v="English"/>
    <x v="8"/>
    <n v="63000000"/>
    <x v="20"/>
    <n v="6.2"/>
  </r>
  <r>
    <n v="127"/>
    <n v="356784000"/>
    <s v="Jurassic Park "/>
    <s v="English"/>
    <x v="8"/>
    <n v="63000000"/>
    <x v="27"/>
    <n v="8.1"/>
  </r>
  <r>
    <n v="212"/>
    <n v="25052000"/>
    <s v="Wyatt Earp "/>
    <s v="English"/>
    <x v="8"/>
    <n v="63000000"/>
    <x v="22"/>
    <n v="6.6"/>
  </r>
  <r>
    <n v="95"/>
    <n v="108012170"/>
    <s v="Hop "/>
    <s v="English"/>
    <x v="8"/>
    <n v="63000000"/>
    <x v="15"/>
    <n v="5.5"/>
  </r>
  <r>
    <n v="87"/>
    <n v="53715611"/>
    <s v="Rambo III "/>
    <s v="English"/>
    <x v="8"/>
    <n v="63000000"/>
    <x v="4"/>
    <n v="5.7"/>
  </r>
  <r>
    <n v="140"/>
    <n v="172071312"/>
    <s v="Apollo 13 "/>
    <s v="English"/>
    <x v="8"/>
    <n v="62000000"/>
    <x v="19"/>
    <n v="7.6"/>
  </r>
  <r>
    <n v="141"/>
    <n v="122012710"/>
    <s v="Clear and Present Danger "/>
    <s v="English"/>
    <x v="8"/>
    <n v="62000000"/>
    <x v="22"/>
    <n v="6.9"/>
  </r>
  <r>
    <n v="116"/>
    <n v="77086030"/>
    <s v="U-571 "/>
    <s v="English"/>
    <x v="7"/>
    <n v="62000000"/>
    <x v="21"/>
    <n v="6.6"/>
  </r>
  <r>
    <n v="114"/>
    <n v="65000000"/>
    <s v="The American President "/>
    <s v="English"/>
    <x v="8"/>
    <n v="62000000"/>
    <x v="19"/>
    <n v="6.8"/>
  </r>
  <r>
    <n v="87"/>
    <n v="32178777"/>
    <s v="The Love Guru "/>
    <s v="English"/>
    <x v="8"/>
    <n v="62000000"/>
    <x v="7"/>
    <n v="3.8"/>
  </r>
  <r>
    <n v="93"/>
    <n v="25857987"/>
    <s v="Æon Flux "/>
    <s v="English"/>
    <x v="8"/>
    <n v="62000000"/>
    <x v="1"/>
    <n v="5.5"/>
  </r>
  <r>
    <n v="158"/>
    <n v="148775460"/>
    <s v="Les Misérables "/>
    <s v="English"/>
    <x v="8"/>
    <n v="61000000"/>
    <x v="10"/>
    <n v="7.6"/>
  </r>
  <r>
    <n v="93"/>
    <n v="118153533"/>
    <s v="Blades of Glory "/>
    <s v="English"/>
    <x v="8"/>
    <n v="61000000"/>
    <x v="9"/>
    <n v="6.3"/>
  </r>
  <r>
    <n v="149"/>
    <n v="167735396"/>
    <s v="Gone Girl "/>
    <s v="English"/>
    <x v="8"/>
    <n v="61000000"/>
    <x v="16"/>
    <n v="8.1"/>
  </r>
  <r>
    <n v="109"/>
    <n v="75573300"/>
    <s v="2 Guns "/>
    <s v="English"/>
    <x v="8"/>
    <n v="61000000"/>
    <x v="17"/>
    <n v="6.7"/>
  </r>
  <r>
    <n v="132"/>
    <n v="81687587"/>
    <s v="The Scorch Trials "/>
    <s v="English"/>
    <x v="8"/>
    <n v="61000000"/>
    <x v="12"/>
    <n v="6.4"/>
  </r>
  <r>
    <n v="124"/>
    <n v="46975183"/>
    <s v="Shooter "/>
    <s v="English"/>
    <x v="8"/>
    <n v="61000000"/>
    <x v="9"/>
    <n v="7.2"/>
  </r>
  <r>
    <n v="112"/>
    <n v="31494270"/>
    <s v="Scott Pilgrim vs. the World "/>
    <s v="English"/>
    <x v="8"/>
    <n v="60000000"/>
    <x v="11"/>
    <n v="7.5"/>
  </r>
  <r>
    <n v="135"/>
    <n v="31111260"/>
    <s v="The Core "/>
    <s v="English"/>
    <x v="8"/>
    <n v="60000000"/>
    <x v="18"/>
    <n v="5.4"/>
  </r>
  <r>
    <n v="128"/>
    <n v="77032279"/>
    <s v="The Terminal "/>
    <s v="English"/>
    <x v="8"/>
    <n v="60000000"/>
    <x v="3"/>
    <n v="7.3"/>
  </r>
  <r>
    <n v="108"/>
    <n v="114195633"/>
    <s v="The Village "/>
    <s v="English"/>
    <x v="8"/>
    <n v="60000000"/>
    <x v="3"/>
    <n v="6.5"/>
  </r>
  <r>
    <n v="109"/>
    <n v="80281096"/>
    <s v="AVP: Alien vs. Predator "/>
    <s v="English"/>
    <x v="8"/>
    <n v="60000000"/>
    <x v="3"/>
    <n v="5.6"/>
  </r>
  <r>
    <n v="113"/>
    <n v="28031250"/>
    <s v="Doom "/>
    <s v="English"/>
    <x v="9"/>
    <n v="60000000"/>
    <x v="1"/>
    <n v="5.2"/>
  </r>
  <r>
    <n v="125"/>
    <n v="19076815"/>
    <s v="Hart's War "/>
    <s v="English"/>
    <x v="8"/>
    <n v="60000000"/>
    <x v="20"/>
    <n v="6.3"/>
  </r>
  <r>
    <n v="104"/>
    <n v="139225854"/>
    <s v="The Santa Clause 2 "/>
    <s v="English"/>
    <x v="8"/>
    <n v="60000000"/>
    <x v="20"/>
    <n v="5.5"/>
  </r>
  <r>
    <n v="104"/>
    <n v="69688384"/>
    <s v="The Kid "/>
    <s v="English"/>
    <x v="8"/>
    <n v="60000000"/>
    <x v="21"/>
    <n v="6.1"/>
  </r>
  <r>
    <n v="115"/>
    <n v="143151473"/>
    <s v="Marley &amp; Me "/>
    <s v="English"/>
    <x v="8"/>
    <n v="60000000"/>
    <x v="7"/>
    <n v="7.1"/>
  </r>
  <r>
    <n v="189"/>
    <n v="136801374"/>
    <s v="The Green Mile "/>
    <s v="English"/>
    <x v="8"/>
    <n v="60000000"/>
    <x v="5"/>
    <n v="8.5"/>
  </r>
  <r>
    <n v="119"/>
    <n v="121468960"/>
    <s v="The Bourne Identity "/>
    <s v="English"/>
    <x v="8"/>
    <n v="60000000"/>
    <x v="20"/>
    <n v="7.9"/>
  </r>
  <r>
    <n v="103"/>
    <n v="125603360"/>
    <s v="The Truman Show "/>
    <s v="English"/>
    <x v="8"/>
    <n v="60000000"/>
    <x v="6"/>
    <n v="8.1"/>
  </r>
  <r>
    <n v="92"/>
    <n v="104148781"/>
    <s v="Daddy Day Care "/>
    <s v="English"/>
    <x v="8"/>
    <n v="60000000"/>
    <x v="18"/>
    <n v="5.5"/>
  </r>
  <r>
    <n v="87"/>
    <n v="93375151"/>
    <s v="Cats &amp; Dogs "/>
    <s v="English"/>
    <x v="8"/>
    <n v="60000000"/>
    <x v="8"/>
    <n v="5.2"/>
  </r>
  <r>
    <n v="111"/>
    <n v="106126012"/>
    <s v="The Italian Job "/>
    <s v="English"/>
    <x v="8"/>
    <n v="60000000"/>
    <x v="18"/>
    <n v="7"/>
  </r>
  <r>
    <n v="101"/>
    <n v="93307796"/>
    <s v="Two Weeks Notice "/>
    <s v="English"/>
    <x v="8"/>
    <n v="60000000"/>
    <x v="20"/>
    <n v="6.1"/>
  </r>
  <r>
    <n v="113"/>
    <n v="109176215"/>
    <s v="Couples Retreat "/>
    <s v="English"/>
    <x v="8"/>
    <n v="60000000"/>
    <x v="13"/>
    <n v="5.5"/>
  </r>
  <r>
    <n v="107"/>
    <n v="82670733"/>
    <s v="Days of Thunder "/>
    <s v="English"/>
    <x v="8"/>
    <n v="60000000"/>
    <x v="25"/>
    <n v="5.9"/>
  </r>
  <r>
    <n v="94"/>
    <n v="82569532"/>
    <s v="Cheaper by the Dozen 2 "/>
    <s v="English"/>
    <x v="8"/>
    <n v="60000000"/>
    <x v="1"/>
    <n v="5.4"/>
  </r>
  <r>
    <n v="140"/>
    <n v="80574010"/>
    <s v="Eat Pray Love "/>
    <s v="English"/>
    <x v="8"/>
    <n v="60000000"/>
    <x v="11"/>
    <n v="5.7"/>
  </r>
  <r>
    <n v="125"/>
    <n v="75764085"/>
    <s v="The Family Man "/>
    <s v="English"/>
    <x v="8"/>
    <n v="60000000"/>
    <x v="21"/>
    <n v="6.7"/>
  </r>
  <r>
    <n v="170"/>
    <n v="75370763"/>
    <s v="The Horse Whisperer "/>
    <s v="English"/>
    <x v="8"/>
    <n v="60000000"/>
    <x v="6"/>
    <n v="6.5"/>
  </r>
  <r>
    <n v="100"/>
    <n v="90341670"/>
    <s v="The Scorpion King "/>
    <s v="English"/>
    <x v="8"/>
    <n v="60000000"/>
    <x v="20"/>
    <n v="5.5"/>
  </r>
  <r>
    <n v="130"/>
    <n v="80033643"/>
    <s v="Jack Reacher "/>
    <s v="English"/>
    <x v="8"/>
    <n v="60000000"/>
    <x v="10"/>
    <n v="7"/>
  </r>
  <r>
    <n v="105"/>
    <n v="73648142"/>
    <s v="Deep Blue Sea "/>
    <s v="English"/>
    <x v="8"/>
    <n v="60000000"/>
    <x v="5"/>
    <n v="5.8"/>
  </r>
  <r>
    <n v="111"/>
    <n v="71844424"/>
    <s v="This Is It "/>
    <s v="English"/>
    <x v="8"/>
    <n v="60000000"/>
    <x v="13"/>
    <n v="7.3"/>
  </r>
  <r>
    <n v="106"/>
    <n v="75638743"/>
    <s v="Contagion "/>
    <s v="English"/>
    <x v="8"/>
    <n v="60000000"/>
    <x v="15"/>
    <n v="6.6"/>
  </r>
  <r>
    <n v="89"/>
    <n v="66734992"/>
    <s v="Kangaroo Jack "/>
    <s v="English"/>
    <x v="8"/>
    <n v="60000000"/>
    <x v="18"/>
    <n v="4.4000000000000004"/>
  </r>
  <r>
    <n v="100"/>
    <n v="75280058"/>
    <s v="Coraline "/>
    <s v="English"/>
    <x v="8"/>
    <n v="60000000"/>
    <x v="13"/>
    <n v="7.7"/>
  </r>
  <r>
    <n v="101"/>
    <n v="88200225"/>
    <s v="Starsky &amp; Hutch "/>
    <s v="English"/>
    <x v="8"/>
    <n v="60000000"/>
    <x v="3"/>
    <n v="6.1"/>
  </r>
  <r>
    <n v="94"/>
    <n v="60573641"/>
    <s v="Jingle All the Way "/>
    <s v="English"/>
    <x v="8"/>
    <n v="60000000"/>
    <x v="24"/>
    <n v="5.4"/>
  </r>
  <r>
    <n v="115"/>
    <n v="56702901"/>
    <s v="A Civil Action "/>
    <s v="English"/>
    <x v="8"/>
    <n v="60000000"/>
    <x v="6"/>
    <n v="6.5"/>
  </r>
  <r>
    <n v="92"/>
    <n v="55994557"/>
    <s v="ParaNorman "/>
    <s v="English"/>
    <x v="8"/>
    <n v="60000000"/>
    <x v="10"/>
    <n v="7"/>
  </r>
  <r>
    <n v="124"/>
    <n v="54910560"/>
    <s v="The Jackal "/>
    <s v="English"/>
    <x v="8"/>
    <n v="60000000"/>
    <x v="2"/>
    <n v="6.3"/>
  </r>
  <r>
    <n v="119"/>
    <n v="53789313"/>
    <s v="Paycheck "/>
    <s v="English"/>
    <x v="8"/>
    <n v="60000000"/>
    <x v="18"/>
    <n v="6.3"/>
  </r>
  <r>
    <n v="124"/>
    <n v="51045801"/>
    <s v="Up Close &amp; Personal "/>
    <s v="English"/>
    <x v="8"/>
    <n v="60000000"/>
    <x v="24"/>
    <n v="6.1"/>
  </r>
  <r>
    <n v="93"/>
    <n v="50818750"/>
    <s v="The Tale of Despereaux "/>
    <s v="English"/>
    <x v="9"/>
    <n v="60000000"/>
    <x v="7"/>
    <n v="6.1"/>
  </r>
  <r>
    <n v="98"/>
    <n v="50189179"/>
    <s v="The Tuxedo "/>
    <s v="English"/>
    <x v="8"/>
    <n v="60000000"/>
    <x v="20"/>
    <n v="5.3"/>
  </r>
  <r>
    <n v="92"/>
    <n v="50024083"/>
    <s v="Under Siege 2: Dark Territory "/>
    <s v="English"/>
    <x v="8"/>
    <n v="60000000"/>
    <x v="19"/>
    <n v="5.4"/>
  </r>
  <r>
    <n v="105"/>
    <n v="50549107"/>
    <s v="Jack Ryan: Shadow Recruit "/>
    <s v="English"/>
    <x v="8"/>
    <n v="60000000"/>
    <x v="16"/>
    <n v="6.2"/>
  </r>
  <r>
    <n v="124"/>
    <n v="56443482"/>
    <s v="Joy "/>
    <s v="English"/>
    <x v="8"/>
    <n v="60000000"/>
    <x v="12"/>
    <n v="6.6"/>
  </r>
  <r>
    <n v="99"/>
    <n v="62401264"/>
    <s v="London Has Fallen "/>
    <s v="English"/>
    <x v="9"/>
    <n v="60000000"/>
    <x v="14"/>
    <n v="5.9"/>
  </r>
  <r>
    <n v="96"/>
    <n v="50807639"/>
    <s v="The Boxtrolls "/>
    <s v="English"/>
    <x v="8"/>
    <n v="60000000"/>
    <x v="16"/>
    <n v="6.8"/>
  </r>
  <r>
    <n v="100"/>
    <n v="257756197"/>
    <s v="The Lego Movie "/>
    <s v="English"/>
    <x v="13"/>
    <n v="60000000"/>
    <x v="16"/>
    <n v="7.8"/>
  </r>
  <r>
    <n v="101"/>
    <n v="43060566"/>
    <s v="Reign of Fire "/>
    <s v="English"/>
    <x v="8"/>
    <n v="60000000"/>
    <x v="20"/>
    <n v="6.2"/>
  </r>
  <r>
    <n v="113"/>
    <n v="45996718"/>
    <s v="Gangster Squad "/>
    <s v="English"/>
    <x v="8"/>
    <n v="60000000"/>
    <x v="17"/>
    <n v="6.7"/>
  </r>
  <r>
    <n v="100"/>
    <n v="43337279"/>
    <s v="Year One "/>
    <s v="English"/>
    <x v="8"/>
    <n v="60000000"/>
    <x v="13"/>
    <n v="4.9000000000000004"/>
  </r>
  <r>
    <n v="134"/>
    <n v="37479778"/>
    <s v="Invictus "/>
    <s v="English"/>
    <x v="8"/>
    <n v="60000000"/>
    <x v="13"/>
    <n v="7.4"/>
  </r>
  <r>
    <n v="125"/>
    <n v="40559930"/>
    <s v="Duplicity "/>
    <s v="English"/>
    <x v="8"/>
    <n v="60000000"/>
    <x v="13"/>
    <n v="6.2"/>
  </r>
  <r>
    <n v="107"/>
    <n v="36279230"/>
    <s v="The Sentinel "/>
    <s v="English"/>
    <x v="8"/>
    <n v="60000000"/>
    <x v="0"/>
    <n v="6.1"/>
  </r>
  <r>
    <n v="116"/>
    <n v="43119879"/>
    <s v="Star Trek: Nemesis "/>
    <s v="English"/>
    <x v="8"/>
    <n v="60000000"/>
    <x v="20"/>
    <n v="6.4"/>
  </r>
  <r>
    <n v="100"/>
    <n v="35096190"/>
    <s v="Intolerable Cruelty "/>
    <s v="English"/>
    <x v="8"/>
    <n v="60000000"/>
    <x v="18"/>
    <n v="6.3"/>
  </r>
  <r>
    <n v="96"/>
    <n v="32122249"/>
    <s v="Analyze That "/>
    <s v="English"/>
    <x v="8"/>
    <n v="60000000"/>
    <x v="20"/>
    <n v="5.9"/>
  </r>
  <r>
    <n v="101"/>
    <n v="40076438"/>
    <s v="Righteous Kill "/>
    <s v="English"/>
    <x v="8"/>
    <n v="60000000"/>
    <x v="7"/>
    <n v="6"/>
  </r>
  <r>
    <n v="111"/>
    <n v="32940507"/>
    <s v="Mercury Rising "/>
    <s v="English"/>
    <x v="8"/>
    <n v="60000000"/>
    <x v="6"/>
    <n v="6.1"/>
  </r>
  <r>
    <n v="117"/>
    <n v="31670931"/>
    <s v="The Soloist "/>
    <s v="English"/>
    <x v="9"/>
    <n v="60000000"/>
    <x v="13"/>
    <n v="6.7"/>
  </r>
  <r>
    <n v="126"/>
    <n v="30695227"/>
    <s v="The Legend of Bagger Vance "/>
    <s v="English"/>
    <x v="8"/>
    <n v="60000000"/>
    <x v="21"/>
    <n v="6.7"/>
  </r>
  <r>
    <n v="152"/>
    <n v="32522352"/>
    <s v="Almost Famous "/>
    <s v="English"/>
    <x v="8"/>
    <n v="60000000"/>
    <x v="21"/>
    <n v="7.9"/>
  </r>
  <r>
    <n v="87"/>
    <n v="29136626"/>
    <s v="Priest "/>
    <s v="English"/>
    <x v="8"/>
    <n v="60000000"/>
    <x v="15"/>
    <n v="5.7"/>
  </r>
  <r>
    <n v="85"/>
    <n v="26288320"/>
    <s v="Sinbad: Legend of the Seven Seas "/>
    <s v="English"/>
    <x v="8"/>
    <n v="60000000"/>
    <x v="18"/>
    <n v="6.7"/>
  </r>
  <r>
    <n v="130"/>
    <n v="26616590"/>
    <s v="Event Horizon "/>
    <s v="English"/>
    <x v="9"/>
    <n v="60000000"/>
    <x v="2"/>
    <n v="6.7"/>
  </r>
  <r>
    <n v="104"/>
    <n v="30063805"/>
    <s v="Dragonfly "/>
    <s v="English"/>
    <x v="8"/>
    <n v="60000000"/>
    <x v="20"/>
    <n v="6.1"/>
  </r>
  <r>
    <n v="140"/>
    <n v="13082288"/>
    <s v="Flyboys "/>
    <s v="English"/>
    <x v="9"/>
    <n v="60000000"/>
    <x v="0"/>
    <n v="6.6"/>
  </r>
  <r>
    <n v="131"/>
    <n v="18208078"/>
    <s v="The Last Castle "/>
    <s v="English"/>
    <x v="8"/>
    <n v="60000000"/>
    <x v="8"/>
    <n v="6.9"/>
  </r>
  <r>
    <n v="118"/>
    <n v="22451"/>
    <s v="Winter's Tale "/>
    <s v="English"/>
    <x v="8"/>
    <n v="60000000"/>
    <x v="16"/>
    <n v="6.2"/>
  </r>
  <r>
    <n v="130"/>
    <n v="31165421"/>
    <s v="The Mortal Instruments: City of Bones "/>
    <s v="English"/>
    <x v="8"/>
    <n v="60000000"/>
    <x v="17"/>
    <n v="6"/>
  </r>
  <r>
    <n v="90"/>
    <n v="11802056"/>
    <s v="Meet Dave "/>
    <s v="English"/>
    <x v="8"/>
    <n v="60000000"/>
    <x v="7"/>
    <n v="4.9000000000000004"/>
  </r>
  <r>
    <n v="106"/>
    <n v="17281832"/>
    <s v="Inkheart "/>
    <s v="English"/>
    <x v="12"/>
    <n v="60000000"/>
    <x v="7"/>
    <n v="6.1"/>
  </r>
  <r>
    <n v="103"/>
    <n v="19781879"/>
    <s v="The Spirit "/>
    <s v="English"/>
    <x v="8"/>
    <n v="60000000"/>
    <x v="7"/>
    <n v="4.8"/>
  </r>
  <r>
    <n v="107"/>
    <n v="7605668"/>
    <s v="Mortdecai "/>
    <s v="English"/>
    <x v="9"/>
    <n v="60000000"/>
    <x v="12"/>
    <n v="5.5"/>
  </r>
  <r>
    <n v="156"/>
    <n v="4535117"/>
    <s v="In the Name of the King: A Dungeon Siege Tale "/>
    <s v="English"/>
    <x v="12"/>
    <n v="60000000"/>
    <x v="9"/>
    <n v="3.8"/>
  </r>
  <r>
    <n v="114"/>
    <n v="12065985"/>
    <s v="Holy Man "/>
    <s v="English"/>
    <x v="8"/>
    <n v="60000000"/>
    <x v="6"/>
    <n v="4.9000000000000004"/>
  </r>
  <r>
    <n v="90"/>
    <n v="35231365"/>
    <s v="The Flintstones in Viva Rock Vegas "/>
    <s v="English"/>
    <x v="8"/>
    <n v="60000000"/>
    <x v="21"/>
    <n v="3.6"/>
  </r>
  <r>
    <n v="97"/>
    <n v="60128566"/>
    <s v="Resident Evil: Afterlife "/>
    <s v="English"/>
    <x v="12"/>
    <n v="60000000"/>
    <x v="11"/>
    <n v="5.9"/>
  </r>
  <r>
    <n v="92"/>
    <n v="217326336"/>
    <s v="Alvin and the Chipmunks "/>
    <s v="English"/>
    <x v="8"/>
    <n v="60000000"/>
    <x v="9"/>
    <n v="5.2"/>
  </r>
  <r>
    <n v="90"/>
    <n v="267652016"/>
    <s v="Shrek "/>
    <s v="English"/>
    <x v="8"/>
    <n v="60000000"/>
    <x v="8"/>
    <n v="7.9"/>
  </r>
  <r>
    <n v="123"/>
    <n v="105264608"/>
    <s v="Interview with the Vampire: The Vampire Chronicles "/>
    <s v="English"/>
    <x v="8"/>
    <n v="60000000"/>
    <x v="22"/>
    <n v="7.6"/>
  </r>
  <r>
    <n v="99"/>
    <n v="73701902"/>
    <s v="Christmas with the Kranks "/>
    <s v="English"/>
    <x v="8"/>
    <n v="60000000"/>
    <x v="3"/>
    <n v="5.2"/>
  </r>
  <r>
    <n v="109"/>
    <n v="55092830"/>
    <s v="I Am Number Four "/>
    <s v="English"/>
    <x v="8"/>
    <n v="60000000"/>
    <x v="15"/>
    <n v="6.1"/>
  </r>
  <r>
    <n v="124"/>
    <n v="19445217"/>
    <s v="Beautiful Creatures "/>
    <s v="English"/>
    <x v="8"/>
    <n v="60000000"/>
    <x v="17"/>
    <n v="6.2"/>
  </r>
  <r>
    <n v="101"/>
    <n v="82931301"/>
    <s v="Monster-in-Law "/>
    <s v="English"/>
    <x v="12"/>
    <n v="60000000"/>
    <x v="1"/>
    <n v="5.5"/>
  </r>
  <r>
    <n v="94"/>
    <n v="36037909"/>
    <s v="Hanging Up "/>
    <s v="English"/>
    <x v="12"/>
    <n v="60000000"/>
    <x v="21"/>
    <n v="4.7"/>
  </r>
  <r>
    <n v="108"/>
    <n v="22433915"/>
    <s v="City by the Sea "/>
    <s v="English"/>
    <x v="8"/>
    <n v="60000000"/>
    <x v="20"/>
    <n v="6.2"/>
  </r>
  <r>
    <n v="128"/>
    <n v="22326247"/>
    <s v="At First Sight "/>
    <s v="English"/>
    <x v="8"/>
    <n v="60000000"/>
    <x v="5"/>
    <n v="5.9"/>
  </r>
  <r>
    <n v="103"/>
    <n v="13395939"/>
    <s v="Alfie "/>
    <s v="English"/>
    <x v="9"/>
    <n v="60000000"/>
    <x v="3"/>
    <n v="6.2"/>
  </r>
  <r>
    <n v="103"/>
    <n v="668171"/>
    <s v="The Promise "/>
    <s v="Mandarin"/>
    <x v="5"/>
    <n v="60000000"/>
    <x v="1"/>
    <n v="5.6"/>
  </r>
  <r>
    <n v="104"/>
    <n v="74058698"/>
    <s v="Along Came a Spider "/>
    <s v="English"/>
    <x v="8"/>
    <n v="60000000"/>
    <x v="8"/>
    <n v="6.3"/>
  </r>
  <r>
    <n v="101"/>
    <n v="231417"/>
    <s v="The Swindle "/>
    <s v="French"/>
    <x v="7"/>
    <n v="60000000"/>
    <x v="2"/>
    <n v="6.6"/>
  </r>
  <r>
    <n v="130"/>
    <n v="80033643"/>
    <s v="Jack Reacher "/>
    <s v="English"/>
    <x v="8"/>
    <n v="60000000"/>
    <x v="10"/>
    <n v="7"/>
  </r>
  <r>
    <n v="111"/>
    <n v="32940507"/>
    <s v="Mercury Rising "/>
    <s v="English"/>
    <x v="8"/>
    <n v="60000000"/>
    <x v="6"/>
    <n v="6.1"/>
  </r>
  <r>
    <n v="109"/>
    <n v="18947630"/>
    <s v="Two Brothers "/>
    <s v="English"/>
    <x v="7"/>
    <n v="59660000"/>
    <x v="3"/>
    <n v="7.1"/>
  </r>
  <r>
    <n v="103"/>
    <n v="176387405"/>
    <s v="Ice Age "/>
    <s v="English"/>
    <x v="8"/>
    <n v="59000000"/>
    <x v="20"/>
    <n v="7.6"/>
  </r>
  <r>
    <n v="133"/>
    <n v="350123553"/>
    <s v="American Sniper "/>
    <s v="English"/>
    <x v="8"/>
    <n v="58800000"/>
    <x v="16"/>
    <n v="7.3"/>
  </r>
  <r>
    <n v="135"/>
    <n v="170708996"/>
    <s v="A Beautiful Mind "/>
    <s v="English"/>
    <x v="8"/>
    <n v="58000000"/>
    <x v="8"/>
    <n v="8.1999999999999993"/>
  </r>
  <r>
    <n v="103"/>
    <n v="70117571"/>
    <s v="Star Trek: Insurrection "/>
    <s v="English"/>
    <x v="8"/>
    <n v="58000000"/>
    <x v="6"/>
    <n v="6.4"/>
  </r>
  <r>
    <n v="130"/>
    <n v="106635996"/>
    <s v="GoldenEye "/>
    <s v="English"/>
    <x v="9"/>
    <n v="58000000"/>
    <x v="19"/>
    <n v="7.2"/>
  </r>
  <r>
    <n v="111"/>
    <n v="90356857"/>
    <s v="RED "/>
    <s v="English"/>
    <x v="8"/>
    <n v="58000000"/>
    <x v="11"/>
    <n v="7.1"/>
  </r>
  <r>
    <n v="108"/>
    <n v="363024263"/>
    <s v="Deadpool "/>
    <s v="English"/>
    <x v="8"/>
    <n v="58000000"/>
    <x v="14"/>
    <n v="8.1"/>
  </r>
  <r>
    <n v="103"/>
    <n v="80021740"/>
    <s v="Goosebumps "/>
    <s v="English"/>
    <x v="8"/>
    <n v="58000000"/>
    <x v="12"/>
    <n v="6.4"/>
  </r>
  <r>
    <n v="95"/>
    <n v="48291624"/>
    <s v="Just Like Heaven "/>
    <s v="English"/>
    <x v="8"/>
    <n v="58000000"/>
    <x v="1"/>
    <n v="6.7"/>
  </r>
  <r>
    <n v="114"/>
    <n v="31199215"/>
    <s v="Leatherheads "/>
    <s v="English"/>
    <x v="8"/>
    <n v="58000000"/>
    <x v="7"/>
    <n v="6"/>
  </r>
  <r>
    <n v="103"/>
    <n v="29580087"/>
    <s v="Did You Hear About the Morgans? "/>
    <s v="English"/>
    <x v="8"/>
    <n v="58000000"/>
    <x v="13"/>
    <n v="4.7"/>
  </r>
  <r>
    <n v="125"/>
    <n v="44665963"/>
    <s v="The Internship "/>
    <s v="English"/>
    <x v="8"/>
    <n v="58000000"/>
    <x v="17"/>
    <n v="6.3"/>
  </r>
  <r>
    <n v="125"/>
    <n v="49875589"/>
    <s v="Red Tails "/>
    <s v="English"/>
    <x v="8"/>
    <n v="58000000"/>
    <x v="10"/>
    <n v="5.9"/>
  </r>
  <r>
    <n v="97"/>
    <n v="28328132"/>
    <s v="After the Sunset "/>
    <s v="English"/>
    <x v="8"/>
    <n v="58000000"/>
    <x v="3"/>
    <n v="6.3"/>
  </r>
  <r>
    <n v="123"/>
    <n v="25900000"/>
    <s v="The Cotton Club "/>
    <s v="English"/>
    <x v="8"/>
    <n v="58000000"/>
    <x v="29"/>
    <n v="6.5"/>
  </r>
  <r>
    <n v="103"/>
    <n v="80021740"/>
    <s v="Goosebumps "/>
    <s v="English"/>
    <x v="8"/>
    <n v="58000000"/>
    <x v="12"/>
    <n v="6.4"/>
  </r>
  <r>
    <n v="136"/>
    <n v="60984028"/>
    <s v="The Devil's Advocate "/>
    <s v="English"/>
    <x v="8"/>
    <n v="57000000"/>
    <x v="2"/>
    <n v="7.5"/>
  </r>
  <r>
    <n v="103"/>
    <n v="51317350"/>
    <s v="DragonHeart "/>
    <s v="English"/>
    <x v="8"/>
    <n v="57000000"/>
    <x v="24"/>
    <n v="6.4"/>
  </r>
  <r>
    <n v="96"/>
    <n v="51774002"/>
    <s v="Ghost Rider: Spirit of Vengeance "/>
    <s v="English"/>
    <x v="8"/>
    <n v="57000000"/>
    <x v="15"/>
    <n v="4.3"/>
  </r>
  <r>
    <n v="131"/>
    <n v="25528495"/>
    <s v="Captain Corelli's Mandolin "/>
    <s v="English"/>
    <x v="9"/>
    <n v="57000000"/>
    <x v="8"/>
    <n v="5.9"/>
  </r>
  <r>
    <n v="95"/>
    <n v="6768055"/>
    <s v="Thunderbirds "/>
    <s v="English"/>
    <x v="9"/>
    <n v="57000000"/>
    <x v="3"/>
    <n v="4.2"/>
  </r>
  <r>
    <n v="123"/>
    <n v="26838389"/>
    <s v="Elizabethtown "/>
    <s v="English"/>
    <x v="8"/>
    <n v="57000000"/>
    <x v="1"/>
    <n v="6.4"/>
  </r>
  <r>
    <n v="220"/>
    <n v="15527125"/>
    <s v="All the Pretty Horses "/>
    <s v="English"/>
    <x v="8"/>
    <n v="57000000"/>
    <x v="21"/>
    <n v="5.8"/>
  </r>
  <r>
    <n v="105"/>
    <n v="16991902"/>
    <s v="Rock Star "/>
    <s v="English"/>
    <x v="8"/>
    <n v="57000000"/>
    <x v="8"/>
    <n v="6.2"/>
  </r>
  <r>
    <n v="95"/>
    <n v="113006880"/>
    <s v="The Pacifier "/>
    <s v="English"/>
    <x v="11"/>
    <n v="56000000"/>
    <x v="1"/>
    <n v="5.5"/>
  </r>
  <r>
    <n v="86"/>
    <n v="45860039"/>
    <s v="Walking Tall "/>
    <s v="English"/>
    <x v="8"/>
    <n v="56000000"/>
    <x v="3"/>
    <n v="6.2"/>
  </r>
  <r>
    <n v="280"/>
    <n v="12870569"/>
    <s v="Gods and Generals "/>
    <s v="English"/>
    <x v="8"/>
    <n v="56000000"/>
    <x v="18"/>
    <n v="6.3"/>
  </r>
  <r>
    <n v="113"/>
    <n v="54540525"/>
    <s v="New Year's Eve "/>
    <s v="English"/>
    <x v="8"/>
    <n v="56000000"/>
    <x v="15"/>
    <n v="5.7"/>
  </r>
  <r>
    <n v="134"/>
    <n v="37600435"/>
    <s v="First Knight "/>
    <s v="English"/>
    <x v="8"/>
    <n v="55000000"/>
    <x v="19"/>
    <n v="5.9"/>
  </r>
  <r>
    <n v="121"/>
    <n v="43247140"/>
    <s v="Everest "/>
    <s v="English"/>
    <x v="9"/>
    <n v="55000000"/>
    <x v="12"/>
    <n v="7.1"/>
  </r>
  <r>
    <n v="156"/>
    <n v="75530832"/>
    <s v="Any Given Sunday "/>
    <s v="English"/>
    <x v="8"/>
    <n v="55000000"/>
    <x v="5"/>
    <n v="6.8"/>
  </r>
  <r>
    <n v="115"/>
    <n v="74540762"/>
    <s v="Ladder 49 "/>
    <s v="English"/>
    <x v="8"/>
    <n v="55000000"/>
    <x v="3"/>
    <n v="6.5"/>
  </r>
  <r>
    <n v="122"/>
    <n v="22362500"/>
    <s v="Edtv "/>
    <s v="English"/>
    <x v="8"/>
    <n v="55000000"/>
    <x v="5"/>
    <n v="6.1"/>
  </r>
  <r>
    <n v="142"/>
    <n v="329691196"/>
    <s v="Forrest Gump "/>
    <s v="English"/>
    <x v="8"/>
    <n v="55000000"/>
    <x v="22"/>
    <n v="8.8000000000000007"/>
  </r>
  <r>
    <n v="108"/>
    <n v="166225040"/>
    <s v="Meet the Parents "/>
    <s v="English"/>
    <x v="8"/>
    <n v="55000000"/>
    <x v="21"/>
    <n v="7"/>
  </r>
  <r>
    <n v="84"/>
    <n v="141600000"/>
    <s v="Pocahontas "/>
    <s v="English"/>
    <x v="8"/>
    <n v="55000000"/>
    <x v="19"/>
    <n v="6.6"/>
  </r>
  <r>
    <n v="188"/>
    <n v="134218018"/>
    <s v="Superman "/>
    <s v="English"/>
    <x v="8"/>
    <n v="55000000"/>
    <x v="30"/>
    <n v="7.3"/>
  </r>
  <r>
    <n v="92"/>
    <n v="105263257"/>
    <s v="George of the Jungle "/>
    <s v="English"/>
    <x v="8"/>
    <n v="55000000"/>
    <x v="2"/>
    <n v="5.4"/>
  </r>
  <r>
    <n v="74"/>
    <n v="104354205"/>
    <s v="American Wedding "/>
    <s v="English"/>
    <x v="8"/>
    <n v="55000000"/>
    <x v="18"/>
    <n v="6.3"/>
  </r>
  <r>
    <n v="134"/>
    <n v="107100855"/>
    <s v="Captain Phillips "/>
    <s v="English"/>
    <x v="8"/>
    <n v="55000000"/>
    <x v="17"/>
    <n v="7.9"/>
  </r>
  <r>
    <n v="101"/>
    <n v="98711404"/>
    <s v="Date Night "/>
    <s v="English"/>
    <x v="8"/>
    <n v="55000000"/>
    <x v="11"/>
    <n v="6.3"/>
  </r>
  <r>
    <n v="132"/>
    <n v="101530738"/>
    <s v="The Equalizer "/>
    <s v="English"/>
    <x v="8"/>
    <n v="55000000"/>
    <x v="16"/>
    <n v="7.2"/>
  </r>
  <r>
    <n v="105"/>
    <n v="93815117"/>
    <s v="Maid in Manhattan "/>
    <s v="English"/>
    <x v="8"/>
    <n v="55000000"/>
    <x v="20"/>
    <n v="5.0999999999999996"/>
  </r>
  <r>
    <n v="117"/>
    <n v="162586036"/>
    <s v="The Pursuit of Happyness "/>
    <s v="English"/>
    <x v="8"/>
    <n v="55000000"/>
    <x v="0"/>
    <n v="8"/>
  </r>
  <r>
    <n v="98"/>
    <n v="89706988"/>
    <s v="Flightplan "/>
    <s v="English"/>
    <x v="8"/>
    <n v="55000000"/>
    <x v="1"/>
    <n v="6.2"/>
  </r>
  <r>
    <n v="128"/>
    <n v="83000000"/>
    <s v="Disclosure "/>
    <s v="English"/>
    <x v="8"/>
    <n v="55000000"/>
    <x v="22"/>
    <n v="6"/>
  </r>
  <r>
    <n v="114"/>
    <n v="78745923"/>
    <s v="City of Angels "/>
    <s v="English"/>
    <x v="12"/>
    <n v="55000000"/>
    <x v="6"/>
    <n v="6.7"/>
  </r>
  <r>
    <n v="85"/>
    <n v="66365290"/>
    <s v="Bowfinger "/>
    <s v="English"/>
    <x v="8"/>
    <n v="55000000"/>
    <x v="5"/>
    <n v="6.4"/>
  </r>
  <r>
    <n v="97"/>
    <n v="63408614"/>
    <s v="Tango &amp; Cash "/>
    <s v="English"/>
    <x v="8"/>
    <n v="55000000"/>
    <x v="28"/>
    <n v="6.3"/>
  </r>
  <r>
    <n v="104"/>
    <n v="58422650"/>
    <s v="Death Becomes Her "/>
    <s v="English"/>
    <x v="8"/>
    <n v="55000000"/>
    <x v="26"/>
    <n v="6.4"/>
  </r>
  <r>
    <n v="110"/>
    <n v="56932305"/>
    <s v="Shanghai Noon "/>
    <s v="English"/>
    <x v="8"/>
    <n v="55000000"/>
    <x v="21"/>
    <n v="6.6"/>
  </r>
  <r>
    <n v="133"/>
    <n v="68750000"/>
    <s v="Executive Decision "/>
    <s v="English"/>
    <x v="8"/>
    <n v="55000000"/>
    <x v="24"/>
    <n v="6.4"/>
  </r>
  <r>
    <n v="94"/>
    <n v="68218041"/>
    <s v="Mr. Popper's Penguins "/>
    <s v="English"/>
    <x v="8"/>
    <n v="55000000"/>
    <x v="15"/>
    <n v="6"/>
  </r>
  <r>
    <n v="104"/>
    <n v="25040293"/>
    <s v="The Forbidden Kingdom "/>
    <s v="English"/>
    <x v="8"/>
    <n v="55000000"/>
    <x v="7"/>
    <n v="6.6"/>
  </r>
  <r>
    <n v="91"/>
    <n v="55747724"/>
    <s v="Free Birds "/>
    <s v="English"/>
    <x v="8"/>
    <n v="55000000"/>
    <x v="17"/>
    <n v="5.9"/>
  </r>
  <r>
    <n v="135"/>
    <n v="49994804"/>
    <s v="Evita "/>
    <s v="English"/>
    <x v="8"/>
    <n v="55000000"/>
    <x v="24"/>
    <n v="6.3"/>
  </r>
  <r>
    <n v="122"/>
    <n v="41609593"/>
    <s v="Ronin "/>
    <s v="English"/>
    <x v="9"/>
    <n v="55000000"/>
    <x v="6"/>
    <n v="7.3"/>
  </r>
  <r>
    <n v="110"/>
    <n v="38553833"/>
    <s v="The Ghost and the Darkness "/>
    <s v="English"/>
    <x v="8"/>
    <n v="55000000"/>
    <x v="24"/>
    <n v="6.8"/>
  </r>
  <r>
    <n v="95"/>
    <n v="76137505"/>
    <s v="Paddington "/>
    <s v="English"/>
    <x v="9"/>
    <n v="55000000"/>
    <x v="16"/>
    <n v="7.2"/>
  </r>
  <r>
    <n v="94"/>
    <n v="34238611"/>
    <s v="The Hunted "/>
    <s v="English"/>
    <x v="8"/>
    <n v="55000000"/>
    <x v="18"/>
    <n v="6"/>
  </r>
  <r>
    <n v="126"/>
    <n v="34098563"/>
    <s v="Instinct "/>
    <s v="English"/>
    <x v="8"/>
    <n v="55000000"/>
    <x v="5"/>
    <n v="6.5"/>
  </r>
  <r>
    <n v="118"/>
    <n v="33828318"/>
    <s v="Stuck on You "/>
    <s v="English"/>
    <x v="8"/>
    <n v="55000000"/>
    <x v="18"/>
    <n v="5.8"/>
  </r>
  <r>
    <n v="99"/>
    <n v="33472850"/>
    <s v="Semi-Pro "/>
    <s v="English"/>
    <x v="8"/>
    <n v="55000000"/>
    <x v="7"/>
    <n v="5.8"/>
  </r>
  <r>
    <n v="88"/>
    <n v="31051126"/>
    <s v="The Pirates! Band of Misfits "/>
    <s v="English"/>
    <x v="9"/>
    <n v="55000000"/>
    <x v="10"/>
    <n v="6.7"/>
  </r>
  <r>
    <n v="141"/>
    <n v="35707327"/>
    <s v="Changeling "/>
    <s v="English"/>
    <x v="8"/>
    <n v="55000000"/>
    <x v="7"/>
    <n v="7.8"/>
  </r>
  <r>
    <n v="116"/>
    <n v="18573791"/>
    <s v="The Fan "/>
    <s v="English"/>
    <x v="8"/>
    <n v="55000000"/>
    <x v="24"/>
    <n v="5.8"/>
  </r>
  <r>
    <n v="114"/>
    <n v="16264475"/>
    <s v="Elizabeth: The Golden Age "/>
    <s v="English"/>
    <x v="9"/>
    <n v="55000000"/>
    <x v="9"/>
    <n v="6.9"/>
  </r>
  <r>
    <n v="107"/>
    <n v="16088610"/>
    <s v="Imagine That "/>
    <s v="English"/>
    <x v="8"/>
    <n v="55000000"/>
    <x v="13"/>
    <n v="5.6"/>
  </r>
  <r>
    <n v="119"/>
    <n v="39440655"/>
    <s v="Burlesque "/>
    <s v="English"/>
    <x v="8"/>
    <n v="55000000"/>
    <x v="11"/>
    <n v="6.4"/>
  </r>
  <r>
    <n v="123"/>
    <n v="69951824"/>
    <s v="Seven Pounds "/>
    <s v="English"/>
    <x v="8"/>
    <n v="55000000"/>
    <x v="7"/>
    <n v="7.7"/>
  </r>
  <r>
    <n v="92"/>
    <n v="9483821"/>
    <s v="Bullet to the Head "/>
    <s v="English"/>
    <x v="8"/>
    <n v="55000000"/>
    <x v="10"/>
    <n v="5.7"/>
  </r>
  <r>
    <n v="128"/>
    <n v="7221458"/>
    <s v="All the King's Men "/>
    <s v="English"/>
    <x v="12"/>
    <n v="55000000"/>
    <x v="0"/>
    <n v="6.2"/>
  </r>
  <r>
    <n v="172"/>
    <n v="22843047"/>
    <s v="Beloved "/>
    <s v="English"/>
    <x v="8"/>
    <n v="55000000"/>
    <x v="6"/>
    <n v="5.9"/>
  </r>
  <r>
    <n v="124"/>
    <n v="5755286"/>
    <s v="Lucky You "/>
    <s v="English"/>
    <x v="8"/>
    <n v="55000000"/>
    <x v="9"/>
    <n v="5.9"/>
  </r>
  <r>
    <n v="104"/>
    <n v="42610000"/>
    <s v="Beverly Hills Cop III "/>
    <s v="English"/>
    <x v="8"/>
    <n v="55000000"/>
    <x v="22"/>
    <n v="5.5"/>
  </r>
  <r>
    <n v="84"/>
    <n v="21283440"/>
    <s v="Dream House "/>
    <s v="English"/>
    <x v="8"/>
    <n v="55000000"/>
    <x v="15"/>
    <n v="6"/>
  </r>
  <r>
    <n v="109"/>
    <n v="8355815"/>
    <s v="Death to Smoochy "/>
    <s v="English"/>
    <x v="9"/>
    <n v="55000000"/>
    <x v="20"/>
    <n v="6.4"/>
  </r>
  <r>
    <n v="122"/>
    <n v="53574088"/>
    <s v="3:10 to Yuma "/>
    <s v="English"/>
    <x v="8"/>
    <n v="55000000"/>
    <x v="9"/>
    <n v="7.8"/>
  </r>
  <r>
    <n v="90"/>
    <n v="7871693"/>
    <s v="City of Ember "/>
    <s v="English"/>
    <x v="8"/>
    <n v="55000000"/>
    <x v="7"/>
    <n v="6.5"/>
  </r>
  <r>
    <n v="107"/>
    <n v="19389454"/>
    <s v="Wonder Boys "/>
    <s v="English"/>
    <x v="8"/>
    <n v="55000000"/>
    <x v="21"/>
    <n v="7.4"/>
  </r>
  <r>
    <n v="121"/>
    <n v="16640210"/>
    <s v="Bringing Out the Dead "/>
    <s v="English"/>
    <x v="8"/>
    <n v="55000000"/>
    <x v="5"/>
    <n v="6.8"/>
  </r>
  <r>
    <n v="131"/>
    <n v="52799004"/>
    <s v="Message in a Bottle "/>
    <s v="English"/>
    <x v="8"/>
    <n v="55000000"/>
    <x v="5"/>
    <n v="6.1"/>
  </r>
  <r>
    <n v="95"/>
    <n v="128769345"/>
    <s v="The Nutty Professor "/>
    <s v="English"/>
    <x v="8"/>
    <n v="54000000"/>
    <x v="24"/>
    <n v="5.6"/>
  </r>
  <r>
    <n v="117"/>
    <n v="81645152"/>
    <s v="Blade II "/>
    <s v="English"/>
    <x v="8"/>
    <n v="54000000"/>
    <x v="20"/>
    <n v="6.7"/>
  </r>
  <r>
    <n v="170"/>
    <n v="66676062"/>
    <s v="The Godfather: Part III "/>
    <s v="English"/>
    <x v="8"/>
    <n v="54000000"/>
    <x v="25"/>
    <n v="7.6"/>
  </r>
  <r>
    <n v="110"/>
    <n v="75604320"/>
    <s v="You, Me and Dupree "/>
    <s v="English"/>
    <x v="8"/>
    <n v="54000000"/>
    <x v="0"/>
    <n v="5.6"/>
  </r>
  <r>
    <n v="116"/>
    <n v="108200000"/>
    <s v="Superman II "/>
    <s v="English"/>
    <x v="8"/>
    <n v="54000000"/>
    <x v="31"/>
    <n v="6.8"/>
  </r>
  <r>
    <n v="121"/>
    <n v="5660084"/>
    <s v="Gigli "/>
    <s v="English"/>
    <x v="8"/>
    <n v="54000000"/>
    <x v="18"/>
    <n v="2.4"/>
  </r>
  <r>
    <n v="132"/>
    <n v="70496802"/>
    <s v="V for Vendetta "/>
    <s v="English"/>
    <x v="8"/>
    <n v="54000000"/>
    <x v="1"/>
    <n v="8.1999999999999993"/>
  </r>
  <r>
    <n v="118"/>
    <n v="55808744"/>
    <s v="Be Cool "/>
    <s v="English"/>
    <x v="8"/>
    <n v="53000000"/>
    <x v="1"/>
    <n v="5.7"/>
  </r>
  <r>
    <n v="123"/>
    <n v="91400000"/>
    <s v="Crimson Tide "/>
    <s v="English"/>
    <x v="8"/>
    <n v="53000000"/>
    <x v="19"/>
    <n v="7.3"/>
  </r>
  <r>
    <n v="89"/>
    <n v="45207112"/>
    <s v="Domestic Disturbance "/>
    <s v="English"/>
    <x v="8"/>
    <n v="53000000"/>
    <x v="8"/>
    <n v="5.5"/>
  </r>
  <r>
    <n v="123"/>
    <n v="62563543"/>
    <s v="Black Mass "/>
    <s v="English"/>
    <x v="8"/>
    <n v="53000000"/>
    <x v="12"/>
    <n v="7"/>
  </r>
  <r>
    <n v="189"/>
    <n v="25031037"/>
    <s v="Grindhouse "/>
    <s v="English"/>
    <x v="8"/>
    <n v="53000000"/>
    <x v="9"/>
    <n v="7.6"/>
  </r>
  <r>
    <n v="127"/>
    <n v="57386369"/>
    <s v="Moulin Rouge! "/>
    <s v="English"/>
    <x v="8"/>
    <n v="52500000"/>
    <x v="8"/>
    <n v="7.6"/>
  </r>
  <r>
    <n v="102"/>
    <n v="1891821"/>
    <s v="A Sound of Thunder "/>
    <s v="English"/>
    <x v="9"/>
    <n v="52000000"/>
    <x v="1"/>
    <n v="4.2"/>
  </r>
  <r>
    <n v="113"/>
    <n v="34636443"/>
    <s v="Hostage "/>
    <s v="English"/>
    <x v="8"/>
    <n v="52000000"/>
    <x v="1"/>
    <n v="6.6"/>
  </r>
  <r>
    <n v="141"/>
    <n v="164435221"/>
    <s v="Catch Me If You Can "/>
    <s v="English"/>
    <x v="8"/>
    <n v="52000000"/>
    <x v="20"/>
    <n v="8"/>
  </r>
  <r>
    <n v="106"/>
    <n v="118683135"/>
    <s v="The Break-Up "/>
    <s v="English"/>
    <x v="8"/>
    <n v="52000000"/>
    <x v="0"/>
    <n v="5.8"/>
  </r>
  <r>
    <n v="108"/>
    <n v="143704210"/>
    <s v="Mamma Mia! "/>
    <s v="English"/>
    <x v="8"/>
    <n v="52000000"/>
    <x v="7"/>
    <n v="6.3"/>
  </r>
  <r>
    <n v="125"/>
    <n v="110476776"/>
    <s v="Valentine's Day "/>
    <s v="English"/>
    <x v="8"/>
    <n v="52000000"/>
    <x v="11"/>
    <n v="5.7"/>
  </r>
  <r>
    <n v="215"/>
    <n v="36385763"/>
    <s v="The Thin Red Line "/>
    <s v="English"/>
    <x v="8"/>
    <n v="52000000"/>
    <x v="6"/>
    <n v="7.6"/>
  </r>
  <r>
    <n v="118"/>
    <n v="37035845"/>
    <s v="The Change-Up "/>
    <s v="English"/>
    <x v="8"/>
    <n v="52000000"/>
    <x v="15"/>
    <n v="6.4"/>
  </r>
  <r>
    <n v="118"/>
    <n v="34580635"/>
    <s v="Man on the Moon "/>
    <s v="English"/>
    <x v="9"/>
    <n v="52000000"/>
    <x v="5"/>
    <n v="7.4"/>
  </r>
  <r>
    <n v="178"/>
    <n v="42438300"/>
    <s v="Casino "/>
    <s v="English"/>
    <x v="8"/>
    <n v="52000000"/>
    <x v="19"/>
    <n v="8.1999999999999993"/>
  </r>
  <r>
    <n v="92"/>
    <n v="23324666"/>
    <s v="From Paris with Love "/>
    <s v="English"/>
    <x v="7"/>
    <n v="52000000"/>
    <x v="11"/>
    <n v="6.5"/>
  </r>
  <r>
    <n v="104"/>
    <n v="23020488"/>
    <s v="Bulletproof Monk "/>
    <s v="English"/>
    <x v="8"/>
    <n v="52000000"/>
    <x v="18"/>
    <n v="5.5"/>
  </r>
  <r>
    <n v="131"/>
    <n v="125548685"/>
    <s v="Erin Brockovich "/>
    <s v="English"/>
    <x v="8"/>
    <n v="52000000"/>
    <x v="21"/>
    <n v="7.3"/>
  </r>
  <r>
    <n v="102"/>
    <n v="36883539"/>
    <s v="16 Blocks "/>
    <s v="English"/>
    <x v="12"/>
    <n v="52000000"/>
    <x v="0"/>
    <n v="6.6"/>
  </r>
  <r>
    <n v="116"/>
    <n v="90567722"/>
    <s v="Me, Myself &amp; Irene "/>
    <s v="English"/>
    <x v="8"/>
    <n v="51000000"/>
    <x v="21"/>
    <n v="6.5"/>
  </r>
  <r>
    <n v="90"/>
    <n v="72601713"/>
    <s v="Barnyard "/>
    <s v="English"/>
    <x v="12"/>
    <n v="51000000"/>
    <x v="0"/>
    <n v="5.6"/>
  </r>
  <r>
    <n v="107"/>
    <n v="14375181"/>
    <s v="Ishtar "/>
    <s v="English"/>
    <x v="8"/>
    <n v="51000000"/>
    <x v="32"/>
    <n v="4.2"/>
  </r>
  <r>
    <n v="106"/>
    <n v="62453315"/>
    <s v="The Adjustment Bureau "/>
    <s v="English"/>
    <x v="8"/>
    <n v="50200000"/>
    <x v="15"/>
    <n v="7.1"/>
  </r>
  <r>
    <n v="105"/>
    <n v="53846915"/>
    <s v="Focus "/>
    <s v="English"/>
    <x v="8"/>
    <n v="50100000"/>
    <x v="12"/>
    <n v="6.6"/>
  </r>
  <r>
    <n v="125"/>
    <n v="41814863"/>
    <s v="Exorcist: The Beginning "/>
    <s v="English"/>
    <x v="8"/>
    <n v="50000000"/>
    <x v="3"/>
    <n v="5.0999999999999996"/>
  </r>
  <r>
    <n v="115"/>
    <n v="25121291"/>
    <s v="Escape Plan "/>
    <s v="English"/>
    <x v="8"/>
    <n v="50000000"/>
    <x v="17"/>
    <n v="6.7"/>
  </r>
  <r>
    <n v="108"/>
    <n v="70450000"/>
    <s v="Broken Arrow "/>
    <s v="English"/>
    <x v="8"/>
    <n v="50000000"/>
    <x v="24"/>
    <n v="6"/>
  </r>
  <r>
    <n v="130"/>
    <n v="1987287"/>
    <s v="Oliver Twist "/>
    <s v="English"/>
    <x v="9"/>
    <n v="50000000"/>
    <x v="1"/>
    <n v="6.9"/>
  </r>
  <r>
    <n v="147"/>
    <n v="2208939"/>
    <s v="Perfume: The Story of a Murderer "/>
    <s v="English"/>
    <x v="12"/>
    <n v="50000000"/>
    <x v="0"/>
    <n v="7.5"/>
  </r>
  <r>
    <n v="98"/>
    <n v="61112916"/>
    <s v="The Shaggy Dog "/>
    <s v="English"/>
    <x v="8"/>
    <n v="50000000"/>
    <x v="0"/>
    <n v="4.4000000000000004"/>
  </r>
  <r>
    <n v="121"/>
    <n v="22518325"/>
    <s v="The Black Dahlia "/>
    <s v="English"/>
    <x v="12"/>
    <n v="50000000"/>
    <x v="0"/>
    <n v="5.6"/>
  </r>
  <r>
    <n v="100"/>
    <n v="100328194"/>
    <s v="Casper "/>
    <s v="English"/>
    <x v="8"/>
    <n v="50000000"/>
    <x v="19"/>
    <n v="6"/>
  </r>
  <r>
    <n v="145"/>
    <n v="55473600"/>
    <s v="Alien 3 "/>
    <s v="English"/>
    <x v="8"/>
    <n v="50000000"/>
    <x v="26"/>
    <n v="6.4"/>
  </r>
  <r>
    <n v="107"/>
    <n v="20550712"/>
    <s v="Chain Reaction "/>
    <s v="English"/>
    <x v="8"/>
    <n v="50000000"/>
    <x v="24"/>
    <n v="5.6"/>
  </r>
  <r>
    <n v="119"/>
    <n v="51178893"/>
    <s v="Muppets Most Wanted "/>
    <s v="English"/>
    <x v="8"/>
    <n v="50000000"/>
    <x v="16"/>
    <n v="6.4"/>
  </r>
  <r>
    <n v="94"/>
    <n v="58297830"/>
    <s v="Anastasia "/>
    <s v="English"/>
    <x v="8"/>
    <n v="50000000"/>
    <x v="2"/>
    <n v="7.1"/>
  </r>
  <r>
    <n v="118"/>
    <n v="73343413"/>
    <s v="Law Abiding Citizen "/>
    <s v="English"/>
    <x v="8"/>
    <n v="50000000"/>
    <x v="13"/>
    <n v="7.4"/>
  </r>
  <r>
    <n v="107"/>
    <n v="80270227"/>
    <s v="The Dukes of Hazzard "/>
    <s v="English"/>
    <x v="8"/>
    <n v="50000000"/>
    <x v="1"/>
    <n v="5.0999999999999996"/>
  </r>
  <r>
    <n v="130"/>
    <n v="296623634"/>
    <s v="The Twilight Saga: New Moon "/>
    <s v="English"/>
    <x v="8"/>
    <n v="50000000"/>
    <x v="13"/>
    <n v="4.5999999999999996"/>
  </r>
  <r>
    <n v="139"/>
    <n v="153620822"/>
    <s v="Jerry Maguire "/>
    <s v="English"/>
    <x v="8"/>
    <n v="50000000"/>
    <x v="24"/>
    <n v="7.3"/>
  </r>
  <r>
    <n v="112"/>
    <n v="218628680"/>
    <s v="Ted "/>
    <s v="English"/>
    <x v="8"/>
    <n v="50000000"/>
    <x v="10"/>
    <n v="7"/>
  </r>
  <r>
    <n v="139"/>
    <n v="147637474"/>
    <s v="As Good as It Gets "/>
    <s v="English"/>
    <x v="8"/>
    <n v="50000000"/>
    <x v="2"/>
    <n v="7.7"/>
  </r>
  <r>
    <n v="115"/>
    <n v="135014968"/>
    <s v="Patch Adams "/>
    <s v="English"/>
    <x v="8"/>
    <n v="50000000"/>
    <x v="6"/>
    <n v="6.7"/>
  </r>
  <r>
    <n v="143"/>
    <n v="2175312"/>
    <s v="Anchorman 2: The Legend Continues "/>
    <s v="English"/>
    <x v="8"/>
    <n v="50000000"/>
    <x v="17"/>
    <n v="6.3"/>
  </r>
  <r>
    <n v="96"/>
    <n v="126203320"/>
    <s v="Mr. Deeds "/>
    <s v="English"/>
    <x v="8"/>
    <n v="50000000"/>
    <x v="20"/>
    <n v="5.8"/>
  </r>
  <r>
    <n v="112"/>
    <n v="126975169"/>
    <s v="Super 8 "/>
    <s v="English"/>
    <x v="8"/>
    <n v="50000000"/>
    <x v="15"/>
    <n v="7.1"/>
  </r>
  <r>
    <n v="116"/>
    <n v="105807520"/>
    <s v="How to Lose a Guy in 10 Days "/>
    <s v="English"/>
    <x v="8"/>
    <n v="50000000"/>
    <x v="18"/>
    <n v="6.4"/>
  </r>
  <r>
    <n v="112"/>
    <n v="191616238"/>
    <s v="22 Jump Street "/>
    <s v="English"/>
    <x v="8"/>
    <n v="50000000"/>
    <x v="16"/>
    <n v="7.1"/>
  </r>
  <r>
    <n v="107"/>
    <n v="126088877"/>
    <s v="Central Intelligence "/>
    <s v="English"/>
    <x v="8"/>
    <n v="50000000"/>
    <x v="14"/>
    <n v="6.6"/>
  </r>
  <r>
    <n v="124"/>
    <n v="91030827"/>
    <s v="Stepmom "/>
    <s v="English"/>
    <x v="8"/>
    <n v="50000000"/>
    <x v="6"/>
    <n v="6.7"/>
  </r>
  <r>
    <n v="96"/>
    <n v="150315155"/>
    <s v="Daddy's Home "/>
    <s v="English"/>
    <x v="8"/>
    <n v="50000000"/>
    <x v="12"/>
    <n v="6.1"/>
  </r>
  <r>
    <n v="125"/>
    <n v="127997349"/>
    <s v="Into the Woods "/>
    <s v="English"/>
    <x v="8"/>
    <n v="50000000"/>
    <x v="16"/>
    <n v="6"/>
  </r>
  <r>
    <n v="90"/>
    <n v="81517441"/>
    <s v="Payback "/>
    <s v="English"/>
    <x v="8"/>
    <n v="50000000"/>
    <x v="5"/>
    <n v="7.1"/>
  </r>
  <r>
    <n v="109"/>
    <n v="81022333"/>
    <s v="Congo "/>
    <s v="English"/>
    <x v="8"/>
    <n v="50000000"/>
    <x v="19"/>
    <n v="5"/>
  </r>
  <r>
    <n v="121"/>
    <n v="79948113"/>
    <s v="Knowing "/>
    <s v="English"/>
    <x v="8"/>
    <n v="50000000"/>
    <x v="13"/>
    <n v="6.2"/>
  </r>
  <r>
    <n v="95"/>
    <n v="88658172"/>
    <s v="Failure to Launch "/>
    <s v="English"/>
    <x v="8"/>
    <n v="50000000"/>
    <x v="0"/>
    <n v="5.6"/>
  </r>
  <r>
    <n v="118"/>
    <n v="84244877"/>
    <s v="Crazy, Stupid, Love. "/>
    <s v="English"/>
    <x v="8"/>
    <n v="50000000"/>
    <x v="15"/>
    <n v="7.4"/>
  </r>
  <r>
    <n v="133"/>
    <n v="75605492"/>
    <s v="Moneyball "/>
    <s v="English"/>
    <x v="8"/>
    <n v="50000000"/>
    <x v="15"/>
    <n v="7.6"/>
  </r>
  <r>
    <n v="127"/>
    <n v="67823573"/>
    <s v="Outbreak "/>
    <s v="English"/>
    <x v="8"/>
    <n v="50000000"/>
    <x v="19"/>
    <n v="6.6"/>
  </r>
  <r>
    <n v="106"/>
    <n v="91439400"/>
    <s v="Non-Stop "/>
    <s v="English"/>
    <x v="9"/>
    <n v="50000000"/>
    <x v="16"/>
    <n v="7"/>
  </r>
  <r>
    <n v="114"/>
    <n v="60470220"/>
    <s v="Shanghai Knights "/>
    <s v="English"/>
    <x v="8"/>
    <n v="50000000"/>
    <x v="18"/>
    <n v="6.2"/>
  </r>
  <r>
    <n v="78"/>
    <n v="58336565"/>
    <s v="Curious George "/>
    <s v="English"/>
    <x v="8"/>
    <n v="50000000"/>
    <x v="0"/>
    <n v="6.6"/>
  </r>
  <r>
    <n v="101"/>
    <n v="66002004"/>
    <s v="Herbie Fully Loaded "/>
    <s v="English"/>
    <x v="8"/>
    <n v="50000000"/>
    <x v="1"/>
    <n v="4.7"/>
  </r>
  <r>
    <n v="113"/>
    <n v="54997476"/>
    <s v="Don't Say a Word "/>
    <s v="English"/>
    <x v="8"/>
    <n v="50000000"/>
    <x v="8"/>
    <n v="6.3"/>
  </r>
  <r>
    <n v="98"/>
    <n v="55682070"/>
    <s v="Hansel &amp; Gretel: Witch Hunters "/>
    <s v="English"/>
    <x v="12"/>
    <n v="50000000"/>
    <x v="17"/>
    <n v="6.1"/>
  </r>
  <r>
    <n v="124"/>
    <n v="52752475"/>
    <s v="Unfaithful "/>
    <s v="English"/>
    <x v="8"/>
    <n v="50000000"/>
    <x v="20"/>
    <n v="6.7"/>
  </r>
  <r>
    <n v="128"/>
    <n v="50815288"/>
    <s v="Syriana "/>
    <s v="English"/>
    <x v="8"/>
    <n v="50000000"/>
    <x v="1"/>
    <n v="7"/>
  </r>
  <r>
    <n v="144"/>
    <n v="52822418"/>
    <s v="13 Hours "/>
    <s v="English"/>
    <x v="8"/>
    <n v="50000000"/>
    <x v="14"/>
    <n v="7.4"/>
  </r>
  <r>
    <n v="95"/>
    <n v="50150619"/>
    <s v="The Book of Life "/>
    <s v="English"/>
    <x v="8"/>
    <n v="50000000"/>
    <x v="16"/>
    <n v="7.3"/>
  </r>
  <r>
    <n v="105"/>
    <n v="48745150"/>
    <s v="Firewall "/>
    <s v="English"/>
    <x v="8"/>
    <n v="50000000"/>
    <x v="0"/>
    <n v="5.8"/>
  </r>
  <r>
    <n v="121"/>
    <n v="50007168"/>
    <s v="Absolute Power "/>
    <s v="English"/>
    <x v="8"/>
    <n v="50000000"/>
    <x v="2"/>
    <n v="6.7"/>
  </r>
  <r>
    <n v="125"/>
    <n v="48154732"/>
    <s v="G.I. Jane "/>
    <s v="English"/>
    <x v="8"/>
    <n v="50000000"/>
    <x v="2"/>
    <n v="5.8"/>
  </r>
  <r>
    <n v="129"/>
    <n v="48265581"/>
    <s v="The Game "/>
    <s v="English"/>
    <x v="8"/>
    <n v="50000000"/>
    <x v="2"/>
    <n v="7.8"/>
  </r>
  <r>
    <n v="132"/>
    <n v="46982632"/>
    <s v="Silent Hill "/>
    <s v="English"/>
    <x v="11"/>
    <n v="50000000"/>
    <x v="0"/>
    <n v="6.6"/>
  </r>
  <r>
    <n v="118"/>
    <n v="44737059"/>
    <s v="The Replacements "/>
    <s v="English"/>
    <x v="8"/>
    <n v="50000000"/>
    <x v="21"/>
    <n v="6.5"/>
  </r>
  <r>
    <n v="113"/>
    <n v="56724080"/>
    <s v="American Reunion "/>
    <s v="English"/>
    <x v="8"/>
    <n v="50000000"/>
    <x v="10"/>
    <n v="6.7"/>
  </r>
  <r>
    <n v="140"/>
    <n v="44484065"/>
    <s v="The Negotiator "/>
    <s v="English"/>
    <x v="12"/>
    <n v="50000000"/>
    <x v="6"/>
    <n v="7.3"/>
  </r>
  <r>
    <n v="89"/>
    <n v="47553512"/>
    <s v="Into the Storm "/>
    <s v="English"/>
    <x v="8"/>
    <n v="50000000"/>
    <x v="16"/>
    <n v="5.8"/>
  </r>
  <r>
    <n v="106"/>
    <n v="41482207"/>
    <s v="Gremlins 2: The New Batch "/>
    <s v="English"/>
    <x v="8"/>
    <n v="50000000"/>
    <x v="25"/>
    <n v="6.3"/>
  </r>
  <r>
    <n v="141"/>
    <n v="47105085"/>
    <s v="The Judge "/>
    <s v="English"/>
    <x v="8"/>
    <n v="50000000"/>
    <x v="16"/>
    <n v="7.4"/>
  </r>
  <r>
    <n v="124"/>
    <n v="41256277"/>
    <s v="The Peacemaker "/>
    <s v="English"/>
    <x v="8"/>
    <n v="50000000"/>
    <x v="2"/>
    <n v="5.9"/>
  </r>
  <r>
    <n v="114"/>
    <n v="40905277"/>
    <s v="Out of Time "/>
    <s v="English"/>
    <x v="8"/>
    <n v="50000000"/>
    <x v="18"/>
    <n v="6.5"/>
  </r>
  <r>
    <n v="101"/>
    <n v="38590500"/>
    <s v="On Deadly Ground "/>
    <s v="English"/>
    <x v="8"/>
    <n v="50000000"/>
    <x v="22"/>
    <n v="4.4000000000000004"/>
  </r>
  <r>
    <n v="93"/>
    <n v="39177541"/>
    <s v="The Adventures of Sharkboy and Lavagirl 3-D "/>
    <s v="English"/>
    <x v="8"/>
    <n v="50000000"/>
    <x v="1"/>
    <n v="3.5"/>
  </r>
  <r>
    <n v="119"/>
    <n v="39778599"/>
    <s v="The Beach "/>
    <s v="English"/>
    <x v="8"/>
    <n v="50000000"/>
    <x v="21"/>
    <n v="6.6"/>
  </r>
  <r>
    <n v="119"/>
    <n v="37486138"/>
    <s v="Raising Helen "/>
    <s v="English"/>
    <x v="8"/>
    <n v="50000000"/>
    <x v="3"/>
    <n v="6"/>
  </r>
  <r>
    <n v="137"/>
    <n v="35168395"/>
    <s v="For Love of the Game "/>
    <s v="English"/>
    <x v="8"/>
    <n v="50000000"/>
    <x v="5"/>
    <n v="6.5"/>
  </r>
  <r>
    <n v="87"/>
    <n v="33643461"/>
    <s v="Marmaduke "/>
    <s v="English"/>
    <x v="8"/>
    <n v="50000000"/>
    <x v="11"/>
    <n v="4.2"/>
  </r>
  <r>
    <n v="129"/>
    <n v="32741596"/>
    <s v="Hereafter "/>
    <s v="English"/>
    <x v="8"/>
    <n v="50000000"/>
    <x v="11"/>
    <n v="6.5"/>
  </r>
  <r>
    <n v="115"/>
    <n v="31874869"/>
    <s v="Murder by Numbers "/>
    <s v="English"/>
    <x v="8"/>
    <n v="50000000"/>
    <x v="20"/>
    <n v="6.1"/>
  </r>
  <r>
    <n v="132"/>
    <n v="30306268"/>
    <s v="Assassins "/>
    <s v="English"/>
    <x v="7"/>
    <n v="50000000"/>
    <x v="19"/>
    <n v="6.3"/>
  </r>
  <r>
    <n v="131"/>
    <n v="27667947"/>
    <s v="Hannibal Rising "/>
    <s v="English"/>
    <x v="9"/>
    <n v="50000000"/>
    <x v="9"/>
    <n v="6.2"/>
  </r>
  <r>
    <n v="95"/>
    <n v="27067160"/>
    <s v="The Story of Us "/>
    <s v="English"/>
    <x v="8"/>
    <n v="50000000"/>
    <x v="5"/>
    <n v="5.9"/>
  </r>
  <r>
    <n v="98"/>
    <n v="26536120"/>
    <s v="Basic "/>
    <s v="English"/>
    <x v="12"/>
    <n v="50000000"/>
    <x v="18"/>
    <n v="6.5"/>
  </r>
  <r>
    <n v="110"/>
    <n v="26199517"/>
    <s v="Blood Work "/>
    <s v="English"/>
    <x v="8"/>
    <n v="50000000"/>
    <x v="20"/>
    <n v="6.4"/>
  </r>
  <r>
    <n v="118"/>
    <n v="25450527"/>
    <s v="The International "/>
    <s v="English"/>
    <x v="8"/>
    <n v="50000000"/>
    <x v="13"/>
    <n v="6.5"/>
  </r>
  <r>
    <n v="101"/>
    <n v="25407250"/>
    <s v="Escape from L.A. "/>
    <s v="English"/>
    <x v="8"/>
    <n v="50000000"/>
    <x v="24"/>
    <n v="5.7"/>
  </r>
  <r>
    <n v="119"/>
    <n v="24006726"/>
    <s v="The Life Aquatic with Steve Zissou "/>
    <s v="English"/>
    <x v="8"/>
    <n v="50000000"/>
    <x v="3"/>
    <n v="7.3"/>
  </r>
  <r>
    <n v="139"/>
    <n v="20389967"/>
    <s v="Free State of Jones "/>
    <s v="English"/>
    <x v="8"/>
    <n v="50000000"/>
    <x v="14"/>
    <n v="6.7"/>
  </r>
  <r>
    <n v="130"/>
    <n v="19593740"/>
    <s v="The Life of David Gale "/>
    <s v="English"/>
    <x v="8"/>
    <n v="50000000"/>
    <x v="18"/>
    <n v="7.5"/>
  </r>
  <r>
    <n v="114"/>
    <n v="26442251"/>
    <s v="Run All Night "/>
    <s v="English"/>
    <x v="8"/>
    <n v="50000000"/>
    <x v="12"/>
    <n v="6.6"/>
  </r>
  <r>
    <n v="110"/>
    <n v="18472363"/>
    <s v="Into the Blue "/>
    <s v="English"/>
    <x v="8"/>
    <n v="50000000"/>
    <x v="1"/>
    <n v="5.8"/>
  </r>
  <r>
    <n v="115"/>
    <n v="10556196"/>
    <s v="Mad City "/>
    <s v="English"/>
    <x v="8"/>
    <n v="50000000"/>
    <x v="2"/>
    <n v="6.2"/>
  </r>
  <r>
    <n v="99"/>
    <n v="16671505"/>
    <s v="Baby's Day Out "/>
    <s v="English"/>
    <x v="8"/>
    <n v="50000000"/>
    <x v="22"/>
    <n v="5.9"/>
  </r>
  <r>
    <n v="135"/>
    <n v="10400000"/>
    <s v="The Scarlet Letter "/>
    <s v="English"/>
    <x v="8"/>
    <n v="50000000"/>
    <x v="19"/>
    <n v="5.0999999999999996"/>
  </r>
  <r>
    <n v="127"/>
    <n v="10137232"/>
    <s v="Domino "/>
    <s v="English"/>
    <x v="7"/>
    <n v="50000000"/>
    <x v="1"/>
    <n v="6"/>
  </r>
  <r>
    <n v="107"/>
    <n v="9795017"/>
    <s v="Jade "/>
    <s v="English"/>
    <x v="8"/>
    <n v="50000000"/>
    <x v="19"/>
    <n v="5.0999999999999996"/>
  </r>
  <r>
    <n v="95"/>
    <n v="20488579"/>
    <s v="Gamer "/>
    <s v="English"/>
    <x v="8"/>
    <n v="50000000"/>
    <x v="13"/>
    <n v="5.8"/>
  </r>
  <r>
    <n v="102"/>
    <n v="28837115"/>
    <s v="Zoolander 2 "/>
    <s v="English"/>
    <x v="8"/>
    <n v="50000000"/>
    <x v="14"/>
    <n v="4.8"/>
  </r>
  <r>
    <n v="88"/>
    <n v="6471394"/>
    <s v="The Big Bounce "/>
    <s v="English"/>
    <x v="8"/>
    <n v="50000000"/>
    <x v="3"/>
    <n v="4.9000000000000004"/>
  </r>
  <r>
    <n v="87"/>
    <n v="6291602"/>
    <s v="What Planet Are You From? "/>
    <s v="English"/>
    <x v="8"/>
    <n v="50000000"/>
    <x v="21"/>
    <n v="5.6"/>
  </r>
  <r>
    <n v="104"/>
    <n v="10706786"/>
    <s v="Drive Angry "/>
    <s v="English"/>
    <x v="8"/>
    <n v="50000000"/>
    <x v="15"/>
    <n v="5.5"/>
  </r>
  <r>
    <n v="137"/>
    <n v="1206135"/>
    <s v="Child 44 "/>
    <s v="English"/>
    <x v="14"/>
    <n v="50000000"/>
    <x v="12"/>
    <n v="6.4"/>
  </r>
  <r>
    <n v="109"/>
    <n v="51019112"/>
    <s v="The Hitchhiker's Guide to the Galaxy "/>
    <s v="English"/>
    <x v="8"/>
    <n v="50000000"/>
    <x v="1"/>
    <n v="6.8"/>
  </r>
  <r>
    <n v="88"/>
    <n v="28133159"/>
    <s v="The Ant Bully "/>
    <s v="English"/>
    <x v="8"/>
    <n v="50000000"/>
    <x v="0"/>
    <n v="5.9"/>
  </r>
  <r>
    <n v="212"/>
    <n v="13560960"/>
    <s v="Nixon "/>
    <s v="English"/>
    <x v="8"/>
    <n v="50000000"/>
    <x v="19"/>
    <n v="7.1"/>
  </r>
  <r>
    <n v="102"/>
    <n v="62318875"/>
    <s v="Underworld: Evolution "/>
    <s v="English"/>
    <x v="8"/>
    <n v="50000000"/>
    <x v="0"/>
    <n v="6.8"/>
  </r>
  <r>
    <n v="122"/>
    <n v="24127895"/>
    <s v="Lord of War "/>
    <s v="English"/>
    <x v="8"/>
    <n v="50000000"/>
    <x v="1"/>
    <n v="7.6"/>
  </r>
  <r>
    <n v="106"/>
    <n v="57887882"/>
    <s v="Shall We Dance "/>
    <s v="English"/>
    <x v="8"/>
    <n v="50000000"/>
    <x v="3"/>
    <n v="6.1"/>
  </r>
  <r>
    <n v="95"/>
    <n v="33422806"/>
    <s v="Black Knight "/>
    <s v="English"/>
    <x v="8"/>
    <n v="50000000"/>
    <x v="8"/>
    <n v="4.8"/>
  </r>
  <r>
    <n v="128"/>
    <n v="50815288"/>
    <s v="Syriana "/>
    <s v="English"/>
    <x v="8"/>
    <n v="50000000"/>
    <x v="1"/>
    <n v="7"/>
  </r>
  <r>
    <n v="102"/>
    <n v="23106"/>
    <s v="Dear Wendy "/>
    <s v="English"/>
    <x v="16"/>
    <n v="50000000"/>
    <x v="3"/>
    <n v="6.6"/>
  </r>
  <r>
    <n v="107"/>
    <n v="700000"/>
    <s v="Les visiteurs "/>
    <s v="French"/>
    <x v="7"/>
    <n v="50000000"/>
    <x v="27"/>
    <n v="7"/>
  </r>
  <r>
    <n v="115"/>
    <n v="31874869"/>
    <s v="Murder by Numbers "/>
    <s v="English"/>
    <x v="8"/>
    <n v="50000000"/>
    <x v="20"/>
    <n v="6.1"/>
  </r>
  <r>
    <n v="102"/>
    <n v="21557240"/>
    <s v="Your Highness "/>
    <s v="English"/>
    <x v="8"/>
    <n v="49900000"/>
    <x v="15"/>
    <n v="5.6"/>
  </r>
  <r>
    <n v="85"/>
    <n v="43905746"/>
    <s v="The One "/>
    <s v="English"/>
    <x v="8"/>
    <n v="49000000"/>
    <x v="8"/>
    <n v="5.9"/>
  </r>
  <r>
    <n v="120"/>
    <n v="31569268"/>
    <s v="Chappie "/>
    <s v="English"/>
    <x v="8"/>
    <n v="49000000"/>
    <x v="12"/>
    <n v="6.9"/>
  </r>
  <r>
    <n v="91"/>
    <n v="64505912"/>
    <s v="The Happening "/>
    <s v="English"/>
    <x v="8"/>
    <n v="48000000"/>
    <x v="7"/>
    <n v="5"/>
  </r>
  <r>
    <n v="104"/>
    <n v="46611204"/>
    <s v="Practical Magic "/>
    <s v="English"/>
    <x v="8"/>
    <n v="48000000"/>
    <x v="6"/>
    <n v="6.1"/>
  </r>
  <r>
    <n v="155"/>
    <n v="165500000"/>
    <s v="Robin Hood: Prince of Thieves "/>
    <s v="English"/>
    <x v="8"/>
    <n v="48000000"/>
    <x v="23"/>
    <n v="6.9"/>
  </r>
  <r>
    <n v="190"/>
    <n v="124107476"/>
    <s v="Traffic "/>
    <s v="English"/>
    <x v="8"/>
    <n v="48000000"/>
    <x v="21"/>
    <n v="7.6"/>
  </r>
  <r>
    <n v="127"/>
    <n v="197171806"/>
    <s v="Indiana Jones and the Last Crusade "/>
    <s v="English"/>
    <x v="8"/>
    <n v="48000000"/>
    <x v="28"/>
    <n v="8.3000000000000007"/>
  </r>
  <r>
    <n v="118"/>
    <n v="66488090"/>
    <s v="The Bone Collector "/>
    <s v="English"/>
    <x v="8"/>
    <n v="48000000"/>
    <x v="5"/>
    <n v="6.7"/>
  </r>
  <r>
    <n v="112"/>
    <n v="95308367"/>
    <s v="Panic Room "/>
    <s v="English"/>
    <x v="8"/>
    <n v="48000000"/>
    <x v="20"/>
    <n v="6.8"/>
  </r>
  <r>
    <n v="114"/>
    <n v="60652036"/>
    <s v="Three Kings "/>
    <s v="English"/>
    <x v="8"/>
    <n v="48000000"/>
    <x v="5"/>
    <n v="7.1"/>
  </r>
  <r>
    <n v="112"/>
    <n v="56607223"/>
    <s v="Rat Race "/>
    <s v="English"/>
    <x v="11"/>
    <n v="48000000"/>
    <x v="8"/>
    <n v="6.4"/>
  </r>
  <r>
    <n v="120"/>
    <n v="50173190"/>
    <s v="K-PAX "/>
    <s v="English"/>
    <x v="8"/>
    <n v="48000000"/>
    <x v="8"/>
    <n v="7.4"/>
  </r>
  <r>
    <n v="123"/>
    <n v="47095453"/>
    <s v="Kate &amp; Leopold "/>
    <s v="English"/>
    <x v="8"/>
    <n v="48000000"/>
    <x v="8"/>
    <n v="6.4"/>
  </r>
  <r>
    <n v="93"/>
    <n v="37879996"/>
    <s v="Bedazzled "/>
    <s v="English"/>
    <x v="8"/>
    <n v="48000000"/>
    <x v="21"/>
    <n v="6"/>
  </r>
  <r>
    <n v="115"/>
    <n v="89253340"/>
    <s v="Taken 3 "/>
    <s v="English"/>
    <x v="7"/>
    <n v="48000000"/>
    <x v="16"/>
    <n v="6"/>
  </r>
  <r>
    <n v="123"/>
    <n v="37339525"/>
    <s v="Out of Sight "/>
    <s v="English"/>
    <x v="8"/>
    <n v="48000000"/>
    <x v="6"/>
    <n v="7"/>
  </r>
  <r>
    <n v="113"/>
    <n v="69304264"/>
    <s v="The Thomas Crown Affair "/>
    <s v="English"/>
    <x v="8"/>
    <n v="48000000"/>
    <x v="5"/>
    <n v="6.8"/>
  </r>
  <r>
    <n v="132"/>
    <n v="29781453"/>
    <s v="Riding in Cars with Boys "/>
    <s v="English"/>
    <x v="8"/>
    <n v="48000000"/>
    <x v="8"/>
    <n v="6.4"/>
  </r>
  <r>
    <n v="102"/>
    <n v="93607673"/>
    <s v="America's Sweethearts "/>
    <s v="English"/>
    <x v="8"/>
    <n v="48000000"/>
    <x v="8"/>
    <n v="5.7"/>
  </r>
  <r>
    <n v="84"/>
    <n v="110000082"/>
    <s v="Scary Movie 3 "/>
    <s v="English"/>
    <x v="8"/>
    <n v="48000000"/>
    <x v="18"/>
    <n v="5.5"/>
  </r>
  <r>
    <n v="133"/>
    <n v="6167817"/>
    <s v="A Very Long Engagement "/>
    <s v="French"/>
    <x v="7"/>
    <n v="47000000"/>
    <x v="3"/>
    <n v="7.7"/>
  </r>
  <r>
    <n v="96"/>
    <n v="60154431"/>
    <s v="The Cable Guy "/>
    <s v="English"/>
    <x v="8"/>
    <n v="47000000"/>
    <x v="24"/>
    <n v="6"/>
  </r>
  <r>
    <n v="75"/>
    <n v="15519841"/>
    <s v="Happily N'Ever After "/>
    <s v="English"/>
    <x v="8"/>
    <n v="47000000"/>
    <x v="0"/>
    <n v="4.5"/>
  </r>
  <r>
    <n v="108"/>
    <n v="5600000"/>
    <s v="Mary Reilly "/>
    <s v="English"/>
    <x v="8"/>
    <n v="47000000"/>
    <x v="24"/>
    <n v="5.8"/>
  </r>
  <r>
    <n v="81"/>
    <n v="10539414"/>
    <s v="Jonah Hex "/>
    <s v="English"/>
    <x v="8"/>
    <n v="47000000"/>
    <x v="11"/>
    <n v="4.7"/>
  </r>
  <r>
    <n v="99"/>
    <n v="70327868"/>
    <s v="Shaft "/>
    <s v="English"/>
    <x v="12"/>
    <n v="46000000"/>
    <x v="21"/>
    <n v="5.9"/>
  </r>
  <r>
    <n v="105"/>
    <n v="126805112"/>
    <s v="My Best Friend's Wedding "/>
    <s v="English"/>
    <x v="8"/>
    <n v="46000000"/>
    <x v="2"/>
    <n v="6.3"/>
  </r>
  <r>
    <n v="118"/>
    <n v="67263182"/>
    <s v="Insomnia "/>
    <s v="English"/>
    <x v="8"/>
    <n v="46000000"/>
    <x v="20"/>
    <n v="7.2"/>
  </r>
  <r>
    <n v="116"/>
    <n v="58918501"/>
    <s v="Courage Under Fire "/>
    <s v="English"/>
    <x v="8"/>
    <n v="46000000"/>
    <x v="24"/>
    <n v="6.6"/>
  </r>
  <r>
    <n v="153"/>
    <n v="60962878"/>
    <s v="Prisoners "/>
    <s v="English"/>
    <x v="8"/>
    <n v="46000000"/>
    <x v="17"/>
    <n v="8.1"/>
  </r>
  <r>
    <n v="73"/>
    <n v="422783777"/>
    <s v="The Lion King "/>
    <s v="English"/>
    <x v="8"/>
    <n v="45000000"/>
    <x v="22"/>
    <n v="8.5"/>
  </r>
  <r>
    <n v="113"/>
    <n v="21009180"/>
    <s v="Flight of the Phoenix "/>
    <s v="English"/>
    <x v="8"/>
    <n v="45000000"/>
    <x v="3"/>
    <n v="6.1"/>
  </r>
  <r>
    <n v="111"/>
    <n v="36064910"/>
    <s v="Death Race "/>
    <s v="English"/>
    <x v="8"/>
    <n v="45000000"/>
    <x v="7"/>
    <n v="6.4"/>
  </r>
  <r>
    <n v="115"/>
    <n v="48472213"/>
    <s v="Miss Congeniality 2: Armed and Fabulous "/>
    <s v="English"/>
    <x v="8"/>
    <n v="45000000"/>
    <x v="1"/>
    <n v="5"/>
  </r>
  <r>
    <n v="129"/>
    <n v="88504640"/>
    <s v="Inside Man "/>
    <s v="English"/>
    <x v="8"/>
    <n v="45000000"/>
    <x v="0"/>
    <n v="7.6"/>
  </r>
  <r>
    <n v="98"/>
    <n v="50740078"/>
    <s v="Resident Evil: Apocalypse "/>
    <s v="English"/>
    <x v="12"/>
    <n v="45000000"/>
    <x v="3"/>
    <n v="6.2"/>
  </r>
  <r>
    <n v="111"/>
    <n v="92001027"/>
    <s v="Star Trek: First Contact "/>
    <s v="English"/>
    <x v="8"/>
    <n v="45000000"/>
    <x v="24"/>
    <n v="7.6"/>
  </r>
  <r>
    <n v="86"/>
    <n v="181395380"/>
    <s v="Liar Liar "/>
    <s v="English"/>
    <x v="8"/>
    <n v="45000000"/>
    <x v="2"/>
    <n v="6.8"/>
  </r>
  <r>
    <n v="91"/>
    <n v="130512915"/>
    <s v="The Flintstones "/>
    <s v="English"/>
    <x v="8"/>
    <n v="45000000"/>
    <x v="22"/>
    <n v="4.8"/>
  </r>
  <r>
    <n v="98"/>
    <n v="139852971"/>
    <s v="Taken 2 "/>
    <s v="English"/>
    <x v="7"/>
    <n v="45000000"/>
    <x v="10"/>
    <n v="6.3"/>
  </r>
  <r>
    <n v="109"/>
    <n v="106807667"/>
    <s v="Miss Congeniality "/>
    <s v="English"/>
    <x v="8"/>
    <n v="45000000"/>
    <x v="21"/>
    <n v="6.2"/>
  </r>
  <r>
    <n v="93"/>
    <n v="101702060"/>
    <s v="Journey to the Center of the Earth "/>
    <s v="English"/>
    <x v="8"/>
    <n v="45000000"/>
    <x v="7"/>
    <n v="5.8"/>
  </r>
  <r>
    <n v="141"/>
    <n v="100768056"/>
    <s v="The Pelican Brief "/>
    <s v="English"/>
    <x v="8"/>
    <n v="45000000"/>
    <x v="27"/>
    <n v="6.5"/>
  </r>
  <r>
    <n v="119"/>
    <n v="92115211"/>
    <s v="The Client "/>
    <s v="English"/>
    <x v="8"/>
    <n v="45000000"/>
    <x v="22"/>
    <n v="6.7"/>
  </r>
  <r>
    <n v="97"/>
    <n v="93452056"/>
    <s v="The Bucket List "/>
    <s v="English"/>
    <x v="8"/>
    <n v="45000000"/>
    <x v="9"/>
    <n v="7.4"/>
  </r>
  <r>
    <n v="117"/>
    <n v="83287363"/>
    <s v="Patriot Games "/>
    <s v="English"/>
    <x v="8"/>
    <n v="45000000"/>
    <x v="26"/>
    <n v="6.9"/>
  </r>
  <r>
    <n v="122"/>
    <n v="76261036"/>
    <s v="Training Day "/>
    <s v="English"/>
    <x v="8"/>
    <n v="45000000"/>
    <x v="8"/>
    <n v="7.7"/>
  </r>
  <r>
    <n v="102"/>
    <n v="71423726"/>
    <s v="Galaxy Quest "/>
    <s v="English"/>
    <x v="8"/>
    <n v="45000000"/>
    <x v="5"/>
    <n v="7.3"/>
  </r>
  <r>
    <n v="83"/>
    <n v="71277420"/>
    <s v="Scary Movie 2 "/>
    <s v="English"/>
    <x v="8"/>
    <n v="45000000"/>
    <x v="8"/>
    <n v="5.2"/>
  </r>
  <r>
    <n v="103"/>
    <n v="88625922"/>
    <s v="The Muppets "/>
    <s v="English"/>
    <x v="8"/>
    <n v="45000000"/>
    <x v="15"/>
    <n v="7.1"/>
  </r>
  <r>
    <n v="110"/>
    <n v="70001065"/>
    <s v="Blade "/>
    <s v="English"/>
    <x v="8"/>
    <n v="45000000"/>
    <x v="6"/>
    <n v="7.1"/>
  </r>
  <r>
    <n v="91"/>
    <n v="66790248"/>
    <s v="Changing Lanes "/>
    <s v="English"/>
    <x v="8"/>
    <n v="45000000"/>
    <x v="20"/>
    <n v="6.5"/>
  </r>
  <r>
    <n v="89"/>
    <n v="65557989"/>
    <s v="Anaconda "/>
    <s v="English"/>
    <x v="8"/>
    <n v="45000000"/>
    <x v="2"/>
    <n v="4.5999999999999996"/>
  </r>
  <r>
    <n v="107"/>
    <n v="60786269"/>
    <s v="Coyote Ugly "/>
    <s v="English"/>
    <x v="8"/>
    <n v="45000000"/>
    <x v="21"/>
    <n v="5.6"/>
  </r>
  <r>
    <n v="129"/>
    <n v="59365105"/>
    <s v="Love Actually "/>
    <s v="English"/>
    <x v="9"/>
    <n v="45000000"/>
    <x v="18"/>
    <n v="7.7"/>
  </r>
  <r>
    <n v="110"/>
    <n v="57362581"/>
    <s v="The Specialist "/>
    <s v="English"/>
    <x v="17"/>
    <n v="45000000"/>
    <x v="22"/>
    <n v="5.4"/>
  </r>
  <r>
    <n v="135"/>
    <n v="53854588"/>
    <s v="Tin Cup "/>
    <s v="English"/>
    <x v="8"/>
    <n v="45000000"/>
    <x v="24"/>
    <n v="6.3"/>
  </r>
  <r>
    <n v="95"/>
    <n v="52580895"/>
    <s v="Kicking &amp; Screaming "/>
    <s v="English"/>
    <x v="8"/>
    <n v="45000000"/>
    <x v="1"/>
    <n v="5.6"/>
  </r>
  <r>
    <n v="94"/>
    <n v="50648679"/>
    <s v="Resident Evil: Extinction "/>
    <s v="English"/>
    <x v="7"/>
    <n v="45000000"/>
    <x v="9"/>
    <n v="6.3"/>
  </r>
  <r>
    <n v="112"/>
    <n v="38360195"/>
    <s v="Last Holiday "/>
    <s v="English"/>
    <x v="8"/>
    <n v="45000000"/>
    <x v="0"/>
    <n v="6.4"/>
  </r>
  <r>
    <n v="111"/>
    <n v="46815748"/>
    <s v="The River Wild "/>
    <s v="English"/>
    <x v="8"/>
    <n v="45000000"/>
    <x v="22"/>
    <n v="6.3"/>
  </r>
  <r>
    <n v="96"/>
    <n v="35617599"/>
    <s v="The Indian in the Cupboard "/>
    <s v="English"/>
    <x v="8"/>
    <n v="45000000"/>
    <x v="19"/>
    <n v="5.9"/>
  </r>
  <r>
    <n v="141"/>
    <n v="47307550"/>
    <s v="Savages "/>
    <s v="English"/>
    <x v="8"/>
    <n v="45000000"/>
    <x v="10"/>
    <n v="6.5"/>
  </r>
  <r>
    <n v="133"/>
    <n v="24343673"/>
    <s v="Across the Universe "/>
    <s v="English"/>
    <x v="8"/>
    <n v="45000000"/>
    <x v="9"/>
    <n v="7.4"/>
  </r>
  <r>
    <n v="91"/>
    <n v="20400913"/>
    <s v="The Glimmer Man "/>
    <s v="English"/>
    <x v="8"/>
    <n v="45000000"/>
    <x v="24"/>
    <n v="5.3"/>
  </r>
  <r>
    <n v="117"/>
    <n v="20101861"/>
    <s v="Multiplicity "/>
    <s v="English"/>
    <x v="8"/>
    <n v="45000000"/>
    <x v="24"/>
    <n v="6"/>
  </r>
  <r>
    <n v="86"/>
    <n v="25200412"/>
    <s v="Aliens in the Attic "/>
    <s v="English"/>
    <x v="8"/>
    <n v="45000000"/>
    <x v="13"/>
    <n v="5.4"/>
  </r>
  <r>
    <n v="124"/>
    <n v="19719930"/>
    <s v="The Pledge "/>
    <s v="English"/>
    <x v="8"/>
    <n v="45000000"/>
    <x v="8"/>
    <n v="6.8"/>
  </r>
  <r>
    <n v="134"/>
    <n v="19377727"/>
    <s v="The Producers "/>
    <s v="English"/>
    <x v="8"/>
    <n v="45000000"/>
    <x v="1"/>
    <n v="6.4"/>
  </r>
  <r>
    <n v="100"/>
    <n v="17300889"/>
    <s v="The Phantom "/>
    <s v="English"/>
    <x v="13"/>
    <n v="45000000"/>
    <x v="24"/>
    <n v="4.9000000000000004"/>
  </r>
  <r>
    <n v="128"/>
    <n v="15523168"/>
    <s v="The Ghost Writer "/>
    <s v="English"/>
    <x v="7"/>
    <n v="45000000"/>
    <x v="11"/>
    <n v="7.2"/>
  </r>
  <r>
    <n v="106"/>
    <n v="11146409"/>
    <s v="Deep Rising "/>
    <s v="English"/>
    <x v="8"/>
    <n v="45000000"/>
    <x v="6"/>
    <n v="6"/>
  </r>
  <r>
    <n v="160"/>
    <n v="7916887"/>
    <s v="Miracle at St. Anna "/>
    <s v="English"/>
    <x v="8"/>
    <n v="45000000"/>
    <x v="7"/>
    <n v="6"/>
  </r>
  <r>
    <n v="114"/>
    <n v="6565495"/>
    <s v="Curse of the Golden Flower "/>
    <s v="Mandarin"/>
    <x v="5"/>
    <n v="45000000"/>
    <x v="0"/>
    <n v="7"/>
  </r>
  <r>
    <n v="139"/>
    <n v="4584886"/>
    <s v="Love in the Time of Cholera "/>
    <s v="English"/>
    <x v="8"/>
    <n v="45000000"/>
    <x v="9"/>
    <n v="6.4"/>
  </r>
  <r>
    <n v="103"/>
    <n v="2154540"/>
    <s v="Shadow Conspiracy "/>
    <s v="English"/>
    <x v="8"/>
    <n v="45000000"/>
    <x v="2"/>
    <n v="4.9000000000000004"/>
  </r>
  <r>
    <n v="101"/>
    <n v="8129455"/>
    <s v="Johnny English Reborn "/>
    <s v="English"/>
    <x v="8"/>
    <n v="45000000"/>
    <x v="15"/>
    <n v="6.3"/>
  </r>
  <r>
    <n v="103"/>
    <n v="24520892"/>
    <s v="Unleashed "/>
    <s v="English"/>
    <x v="7"/>
    <n v="45000000"/>
    <x v="1"/>
    <n v="7"/>
  </r>
  <r>
    <n v="84"/>
    <n v="106793915"/>
    <s v="Chicken Run "/>
    <s v="English"/>
    <x v="9"/>
    <n v="45000000"/>
    <x v="21"/>
    <n v="7"/>
  </r>
  <r>
    <n v="100"/>
    <n v="5664251"/>
    <s v="The Warrior's Way "/>
    <s v="English"/>
    <x v="10"/>
    <n v="45000000"/>
    <x v="11"/>
    <n v="6.3"/>
  </r>
  <r>
    <n v="89"/>
    <n v="90703745"/>
    <s v="Scary Movie 4 "/>
    <s v="English"/>
    <x v="8"/>
    <n v="45000000"/>
    <x v="0"/>
    <n v="5.0999999999999996"/>
  </r>
  <r>
    <n v="131"/>
    <n v="20302961"/>
    <s v="Showgirls "/>
    <s v="English"/>
    <x v="7"/>
    <n v="45000000"/>
    <x v="19"/>
    <n v="4.5999999999999996"/>
  </r>
  <r>
    <n v="114"/>
    <n v="18996755"/>
    <s v="The Impossible "/>
    <s v="English"/>
    <x v="4"/>
    <n v="45000000"/>
    <x v="10"/>
    <n v="7.6"/>
  </r>
  <r>
    <n v="113"/>
    <n v="170684505"/>
    <s v="Chicago "/>
    <s v="English"/>
    <x v="8"/>
    <n v="45000000"/>
    <x v="20"/>
    <n v="7.2"/>
  </r>
  <r>
    <n v="109"/>
    <n v="74484168"/>
    <s v="Four Brothers "/>
    <s v="English"/>
    <x v="8"/>
    <n v="45000000"/>
    <x v="1"/>
    <n v="6.9"/>
  </r>
  <r>
    <n v="94"/>
    <n v="32095318"/>
    <s v="What's the Worst That Could Happen? "/>
    <s v="English"/>
    <x v="8"/>
    <n v="45000000"/>
    <x v="8"/>
    <n v="5.5"/>
  </r>
  <r>
    <n v="100"/>
    <n v="9353573"/>
    <s v="Dragonball: Evolution "/>
    <s v="English"/>
    <x v="8"/>
    <n v="45000000"/>
    <x v="13"/>
    <n v="2.7"/>
  </r>
  <r>
    <n v="107"/>
    <n v="12026670"/>
    <s v="The Last Stand "/>
    <s v="English"/>
    <x v="8"/>
    <n v="45000000"/>
    <x v="17"/>
    <n v="6.4"/>
  </r>
  <r>
    <n v="95"/>
    <n v="89808372"/>
    <s v="Legally Blonde 2: Red, White &amp; Blonde "/>
    <s v="English"/>
    <x v="8"/>
    <n v="45000000"/>
    <x v="18"/>
    <n v="4.5999999999999996"/>
  </r>
  <r>
    <n v="45"/>
    <n v="145109"/>
    <s v="Flame and Citron "/>
    <s v="Danish"/>
    <x v="18"/>
    <n v="45000000"/>
    <x v="7"/>
    <n v="7.3"/>
  </r>
  <r>
    <n v="133"/>
    <n v="24343673"/>
    <s v="Across the Universe "/>
    <s v="English"/>
    <x v="8"/>
    <n v="45000000"/>
    <x v="9"/>
    <n v="7.4"/>
  </r>
  <r>
    <n v="130"/>
    <n v="136019448"/>
    <s v="Argo "/>
    <s v="English"/>
    <x v="8"/>
    <n v="44500000"/>
    <x v="10"/>
    <n v="7.7"/>
  </r>
  <r>
    <n v="119"/>
    <n v="21471685"/>
    <s v="Battlefield Earth "/>
    <s v="English"/>
    <x v="8"/>
    <n v="44000000"/>
    <x v="21"/>
    <n v="2.4"/>
  </r>
  <r>
    <n v="187"/>
    <n v="54116191"/>
    <s v="The Hateful Eight "/>
    <s v="English"/>
    <x v="8"/>
    <n v="44000000"/>
    <x v="12"/>
    <n v="7.9"/>
  </r>
  <r>
    <n v="130"/>
    <n v="183875760"/>
    <s v="The Fugitive "/>
    <s v="English"/>
    <x v="8"/>
    <n v="44000000"/>
    <x v="27"/>
    <n v="7.8"/>
  </r>
  <r>
    <n v="147"/>
    <n v="53300852"/>
    <s v="Sleepers "/>
    <s v="English"/>
    <x v="8"/>
    <n v="44000000"/>
    <x v="24"/>
    <n v="7.5"/>
  </r>
  <r>
    <n v="96"/>
    <n v="150415432"/>
    <s v="Rambo: First Blood Part II "/>
    <s v="English"/>
    <x v="8"/>
    <n v="44000000"/>
    <x v="33"/>
    <n v="6.4"/>
  </r>
  <r>
    <n v="118"/>
    <n v="44834712"/>
    <s v="The Juror "/>
    <s v="English"/>
    <x v="8"/>
    <n v="44000000"/>
    <x v="24"/>
    <n v="5.6"/>
  </r>
  <r>
    <n v="325"/>
    <n v="1500000"/>
    <s v="Heaven's Gate "/>
    <s v="English"/>
    <x v="8"/>
    <n v="44000000"/>
    <x v="31"/>
    <n v="6.8"/>
  </r>
  <r>
    <n v="99"/>
    <n v="31136950"/>
    <s v="Charlie St. Cloud "/>
    <s v="English"/>
    <x v="8"/>
    <n v="44000000"/>
    <x v="11"/>
    <n v="6.5"/>
  </r>
  <r>
    <n v="112"/>
    <n v="6105175"/>
    <s v="The Interview "/>
    <s v="English"/>
    <x v="8"/>
    <n v="44000000"/>
    <x v="16"/>
    <n v="6.6"/>
  </r>
  <r>
    <n v="100"/>
    <n v="24407944"/>
    <s v="Elektra "/>
    <s v="English"/>
    <x v="11"/>
    <n v="43000000"/>
    <x v="1"/>
    <n v="4.8"/>
  </r>
  <r>
    <n v="136"/>
    <n v="51768623"/>
    <s v="Finding Forrester "/>
    <s v="English"/>
    <x v="8"/>
    <n v="43000000"/>
    <x v="21"/>
    <n v="7.3"/>
  </r>
  <r>
    <n v="103"/>
    <n v="37035515"/>
    <s v="28 Days "/>
    <s v="English"/>
    <x v="8"/>
    <n v="43000000"/>
    <x v="21"/>
    <n v="6"/>
  </r>
  <r>
    <n v="90"/>
    <n v="24430272"/>
    <s v="The Sweetest Thing "/>
    <s v="English"/>
    <x v="8"/>
    <n v="43000000"/>
    <x v="20"/>
    <n v="5.0999999999999996"/>
  </r>
  <r>
    <n v="123"/>
    <n v="159578352"/>
    <s v="The Heat "/>
    <s v="English"/>
    <x v="8"/>
    <n v="43000000"/>
    <x v="17"/>
    <n v="6.6"/>
  </r>
  <r>
    <n v="104"/>
    <n v="47806295"/>
    <s v="The Skeleton Key "/>
    <s v="English"/>
    <x v="8"/>
    <n v="43000000"/>
    <x v="1"/>
    <n v="6.5"/>
  </r>
  <r>
    <n v="125"/>
    <n v="15738632"/>
    <s v="3000 Miles to Graceland "/>
    <s v="English"/>
    <x v="8"/>
    <n v="42000000"/>
    <x v="8"/>
    <n v="5.9"/>
  </r>
  <r>
    <n v="154"/>
    <n v="158348400"/>
    <s v="The Firm "/>
    <s v="English"/>
    <x v="8"/>
    <n v="42000000"/>
    <x v="27"/>
    <n v="6.8"/>
  </r>
  <r>
    <n v="109"/>
    <n v="138447667"/>
    <s v="21 Jump Street "/>
    <s v="English"/>
    <x v="8"/>
    <n v="42000000"/>
    <x v="10"/>
    <n v="7.2"/>
  </r>
  <r>
    <n v="124"/>
    <n v="116006080"/>
    <s v="Notting Hill "/>
    <s v="English"/>
    <x v="9"/>
    <n v="42000000"/>
    <x v="5"/>
    <n v="7"/>
  </r>
  <r>
    <n v="90"/>
    <n v="87856565"/>
    <s v="Along Came Polly "/>
    <s v="English"/>
    <x v="8"/>
    <n v="42000000"/>
    <x v="3"/>
    <n v="5.9"/>
  </r>
  <r>
    <n v="105"/>
    <n v="45290318"/>
    <s v="Here Comes the Boom "/>
    <s v="English"/>
    <x v="8"/>
    <n v="42000000"/>
    <x v="10"/>
    <n v="6.5"/>
  </r>
  <r>
    <n v="115"/>
    <n v="41543207"/>
    <s v="High Crimes "/>
    <s v="English"/>
    <x v="8"/>
    <n v="42000000"/>
    <x v="20"/>
    <n v="6.3"/>
  </r>
  <r>
    <n v="122"/>
    <n v="41252428"/>
    <s v="The Mirror Has Two Faces "/>
    <s v="English"/>
    <x v="8"/>
    <n v="42000000"/>
    <x v="24"/>
    <n v="6.5"/>
  </r>
  <r>
    <n v="81"/>
    <n v="59992760"/>
    <s v="Brüno "/>
    <s v="English"/>
    <x v="8"/>
    <n v="42000000"/>
    <x v="13"/>
    <n v="5.8"/>
  </r>
  <r>
    <n v="100"/>
    <n v="37652565"/>
    <s v="Red Riding Hood "/>
    <s v="English"/>
    <x v="8"/>
    <n v="42000000"/>
    <x v="15"/>
    <n v="5.4"/>
  </r>
  <r>
    <n v="120"/>
    <n v="24375436"/>
    <s v="15 Minutes "/>
    <s v="English"/>
    <x v="8"/>
    <n v="42000000"/>
    <x v="8"/>
    <n v="6.1"/>
  </r>
  <r>
    <n v="104"/>
    <n v="20915465"/>
    <s v="Super Mario Bros. "/>
    <s v="English"/>
    <x v="9"/>
    <n v="42000000"/>
    <x v="27"/>
    <n v="4"/>
  </r>
  <r>
    <n v="102"/>
    <n v="18600911"/>
    <s v="Man on a Ledge "/>
    <s v="English"/>
    <x v="8"/>
    <n v="42000000"/>
    <x v="10"/>
    <n v="6.6"/>
  </r>
  <r>
    <n v="116"/>
    <n v="54414716"/>
    <s v="Horrible Bosses 2 "/>
    <s v="English"/>
    <x v="8"/>
    <n v="42000000"/>
    <x v="16"/>
    <n v="6.3"/>
  </r>
  <r>
    <n v="101"/>
    <n v="13208023"/>
    <s v="Feardotcom "/>
    <s v="English"/>
    <x v="9"/>
    <n v="42000000"/>
    <x v="20"/>
    <n v="3.3"/>
  </r>
  <r>
    <n v="85"/>
    <n v="64238770"/>
    <s v="The Nut Job "/>
    <s v="English"/>
    <x v="11"/>
    <n v="42000000"/>
    <x v="16"/>
    <n v="5.8"/>
  </r>
  <r>
    <n v="118"/>
    <n v="16252765"/>
    <s v="Original Sin "/>
    <s v="English"/>
    <x v="7"/>
    <n v="42000000"/>
    <x v="8"/>
    <n v="6"/>
  </r>
  <r>
    <n v="110"/>
    <n v="116724075"/>
    <s v="8 Mile "/>
    <s v="English"/>
    <x v="8"/>
    <n v="41000000"/>
    <x v="20"/>
    <n v="7"/>
  </r>
  <r>
    <n v="108"/>
    <n v="22108977"/>
    <s v="The Medallion "/>
    <s v="English"/>
    <x v="15"/>
    <n v="41000000"/>
    <x v="18"/>
    <n v="5.2"/>
  </r>
  <r>
    <n v="100"/>
    <n v="7204138"/>
    <s v="The Big Year "/>
    <s v="English"/>
    <x v="8"/>
    <n v="41000000"/>
    <x v="15"/>
    <n v="6.2"/>
  </r>
  <r>
    <n v="104"/>
    <n v="19406406"/>
    <s v="Oceans "/>
    <s v="French"/>
    <x v="7"/>
    <n v="40000000"/>
    <x v="13"/>
    <n v="7.8"/>
  </r>
  <r>
    <n v="110"/>
    <n v="33927476"/>
    <s v="The Relic "/>
    <s v="English"/>
    <x v="9"/>
    <n v="40000000"/>
    <x v="2"/>
    <n v="5.7"/>
  </r>
  <r>
    <n v="157"/>
    <n v="95720716"/>
    <s v="Zero Dark Thirty "/>
    <s v="English"/>
    <x v="8"/>
    <n v="40000000"/>
    <x v="10"/>
    <n v="7.4"/>
  </r>
  <r>
    <n v="108"/>
    <n v="40203020"/>
    <s v="Bridget Jones: The Edge of Reason "/>
    <s v="English"/>
    <x v="9"/>
    <n v="40000000"/>
    <x v="3"/>
    <n v="5.9"/>
  </r>
  <r>
    <n v="99"/>
    <n v="38105077"/>
    <s v="Ninja Assassin "/>
    <s v="English"/>
    <x v="8"/>
    <n v="40000000"/>
    <x v="13"/>
    <n v="6.4"/>
  </r>
  <r>
    <n v="117"/>
    <n v="32800000"/>
    <s v="Striptease "/>
    <s v="English"/>
    <x v="8"/>
    <n v="40000000"/>
    <x v="24"/>
    <n v="4.3"/>
  </r>
  <r>
    <n v="125"/>
    <n v="26616999"/>
    <s v="The Host "/>
    <s v="English"/>
    <x v="8"/>
    <n v="40000000"/>
    <x v="17"/>
    <n v="5.9"/>
  </r>
  <r>
    <n v="100"/>
    <n v="19118247"/>
    <s v="Man of the House "/>
    <s v="English"/>
    <x v="8"/>
    <n v="40000000"/>
    <x v="1"/>
    <n v="5.4"/>
  </r>
  <r>
    <n v="104"/>
    <n v="21413502"/>
    <s v="The Adventures of Ford Fairlane "/>
    <s v="English"/>
    <x v="8"/>
    <n v="40000000"/>
    <x v="25"/>
    <n v="6.3"/>
  </r>
  <r>
    <n v="113"/>
    <n v="95149435"/>
    <s v="The Princess Diaries 2: Royal Engagement "/>
    <s v="English"/>
    <x v="8"/>
    <n v="40000000"/>
    <x v="3"/>
    <n v="5.7"/>
  </r>
  <r>
    <n v="117"/>
    <n v="46280507"/>
    <s v="Blended "/>
    <s v="English"/>
    <x v="8"/>
    <n v="40000000"/>
    <x v="16"/>
    <n v="6.5"/>
  </r>
  <r>
    <n v="177"/>
    <n v="27400000"/>
    <s v="Dune "/>
    <s v="English"/>
    <x v="8"/>
    <n v="40000000"/>
    <x v="29"/>
    <n v="6.6"/>
  </r>
  <r>
    <n v="99"/>
    <n v="15279680"/>
    <s v="Bangkok Dangerous "/>
    <s v="English"/>
    <x v="8"/>
    <n v="40000000"/>
    <x v="7"/>
    <n v="5.4"/>
  </r>
  <r>
    <n v="74"/>
    <n v="7262288"/>
    <s v="Big Trouble "/>
    <s v="English"/>
    <x v="8"/>
    <n v="40000000"/>
    <x v="20"/>
    <n v="6.5"/>
  </r>
  <r>
    <n v="110"/>
    <n v="67061228"/>
    <s v="The Bounty Hunter "/>
    <s v="English"/>
    <x v="8"/>
    <n v="40000000"/>
    <x v="11"/>
    <n v="5.5"/>
  </r>
  <r>
    <n v="110"/>
    <n v="5773519"/>
    <s v="Victor Frankenstein "/>
    <s v="English"/>
    <x v="8"/>
    <n v="40000000"/>
    <x v="12"/>
    <n v="6"/>
  </r>
  <r>
    <n v="93"/>
    <n v="29113588"/>
    <s v="The Mechanic "/>
    <s v="English"/>
    <x v="8"/>
    <n v="40000000"/>
    <x v="15"/>
    <n v="6.6"/>
  </r>
  <r>
    <n v="117"/>
    <n v="70100000"/>
    <s v="Boomerang "/>
    <s v="English"/>
    <x v="8"/>
    <n v="40000000"/>
    <x v="26"/>
    <n v="5.4"/>
  </r>
  <r>
    <n v="91"/>
    <n v="26404753"/>
    <s v="One for the Money "/>
    <s v="English"/>
    <x v="8"/>
    <n v="40000000"/>
    <x v="10"/>
    <n v="5.3"/>
  </r>
  <r>
    <n v="107"/>
    <n v="293501675"/>
    <s v="The Sixth Sense "/>
    <s v="English"/>
    <x v="8"/>
    <n v="40000000"/>
    <x v="5"/>
    <n v="8.1"/>
  </r>
  <r>
    <n v="138"/>
    <n v="150117807"/>
    <s v="American Hustle "/>
    <s v="English"/>
    <x v="8"/>
    <n v="40000000"/>
    <x v="17"/>
    <n v="7.3"/>
  </r>
  <r>
    <n v="108"/>
    <n v="163947053"/>
    <s v="The Proposal "/>
    <s v="English"/>
    <x v="8"/>
    <n v="40000000"/>
    <x v="13"/>
    <n v="6.7"/>
  </r>
  <r>
    <n v="108"/>
    <n v="118500000"/>
    <s v="Back to the Future Part II "/>
    <s v="English"/>
    <x v="8"/>
    <n v="40000000"/>
    <x v="28"/>
    <n v="7.8"/>
  </r>
  <r>
    <n v="89"/>
    <n v="126546825"/>
    <s v="Lucy "/>
    <s v="English"/>
    <x v="7"/>
    <n v="40000000"/>
    <x v="16"/>
    <n v="6.4"/>
  </r>
  <r>
    <n v="129"/>
    <n v="166147885"/>
    <s v="Fifty Shades of Grey "/>
    <s v="English"/>
    <x v="8"/>
    <n v="40000000"/>
    <x v="12"/>
    <n v="4.0999999999999996"/>
  </r>
  <r>
    <n v="149"/>
    <n v="108706165"/>
    <s v="A Time to Kill "/>
    <s v="English"/>
    <x v="8"/>
    <n v="40000000"/>
    <x v="24"/>
    <n v="7.4"/>
  </r>
  <r>
    <n v="94"/>
    <n v="138614544"/>
    <s v="Cheaper by the Dozen "/>
    <s v="English"/>
    <x v="8"/>
    <n v="40000000"/>
    <x v="18"/>
    <n v="5.8"/>
  </r>
  <r>
    <n v="121"/>
    <n v="125069696"/>
    <s v="Lone Survivor "/>
    <s v="English"/>
    <x v="8"/>
    <n v="40000000"/>
    <x v="17"/>
    <n v="7.6"/>
  </r>
  <r>
    <n v="128"/>
    <n v="107458785"/>
    <s v="A League of Their Own "/>
    <s v="English"/>
    <x v="8"/>
    <n v="40000000"/>
    <x v="26"/>
    <n v="7.2"/>
  </r>
  <r>
    <n v="134"/>
    <n v="102310175"/>
    <s v="The Conjuring 2 "/>
    <s v="English"/>
    <x v="8"/>
    <n v="40000000"/>
    <x v="14"/>
    <n v="7.8"/>
  </r>
  <r>
    <n v="120"/>
    <n v="96917897"/>
    <s v="The Social Network "/>
    <s v="English"/>
    <x v="8"/>
    <n v="40000000"/>
    <x v="11"/>
    <n v="7.7"/>
  </r>
  <r>
    <n v="129"/>
    <n v="93952276"/>
    <s v="He's Just Not That Into You "/>
    <s v="English"/>
    <x v="8"/>
    <n v="40000000"/>
    <x v="13"/>
    <n v="6.4"/>
  </r>
  <r>
    <n v="116"/>
    <n v="89138076"/>
    <s v="Scream 3 "/>
    <s v="English"/>
    <x v="8"/>
    <n v="40000000"/>
    <x v="21"/>
    <n v="5.5"/>
  </r>
  <r>
    <n v="118"/>
    <n v="87666629"/>
    <s v="Back to the Future Part III "/>
    <s v="English"/>
    <x v="8"/>
    <n v="40000000"/>
    <x v="25"/>
    <n v="7.4"/>
  </r>
  <r>
    <n v="107"/>
    <n v="90353764"/>
    <s v="Get Hard "/>
    <s v="English"/>
    <x v="8"/>
    <n v="40000000"/>
    <x v="12"/>
    <n v="6"/>
  </r>
  <r>
    <n v="155"/>
    <n v="82522790"/>
    <s v="Bram Stoker's Dracula "/>
    <s v="English"/>
    <x v="8"/>
    <n v="40000000"/>
    <x v="26"/>
    <n v="7.5"/>
  </r>
  <r>
    <n v="123"/>
    <n v="94125426"/>
    <s v="Julie &amp; Julia "/>
    <s v="English"/>
    <x v="8"/>
    <n v="40000000"/>
    <x v="13"/>
    <n v="7"/>
  </r>
  <r>
    <n v="128"/>
    <n v="95001343"/>
    <s v="42 "/>
    <s v="English"/>
    <x v="8"/>
    <n v="40000000"/>
    <x v="17"/>
    <n v="7.5"/>
  </r>
  <r>
    <n v="139"/>
    <n v="81292135"/>
    <s v="The Talented Mr. Ripley "/>
    <s v="English"/>
    <x v="8"/>
    <n v="40000000"/>
    <x v="5"/>
    <n v="7.3"/>
  </r>
  <r>
    <n v="120"/>
    <n v="81593527"/>
    <s v="Eight Below "/>
    <s v="English"/>
    <x v="8"/>
    <n v="40000000"/>
    <x v="0"/>
    <n v="7.3"/>
  </r>
  <r>
    <n v="102"/>
    <n v="90835030"/>
    <s v="Ride Along 2 "/>
    <s v="English"/>
    <x v="8"/>
    <n v="40000000"/>
    <x v="14"/>
    <n v="5.9"/>
  </r>
  <r>
    <n v="117"/>
    <n v="72455275"/>
    <s v="The Last of the Mohicans "/>
    <s v="English"/>
    <x v="8"/>
    <n v="40000000"/>
    <x v="26"/>
    <n v="7.8"/>
  </r>
  <r>
    <n v="178"/>
    <n v="75305995"/>
    <s v="Ray "/>
    <s v="English"/>
    <x v="8"/>
    <n v="40000000"/>
    <x v="3"/>
    <n v="7.7"/>
  </r>
  <r>
    <n v="147"/>
    <n v="74098862"/>
    <s v="Sin City "/>
    <s v="English"/>
    <x v="8"/>
    <n v="40000000"/>
    <x v="1"/>
    <n v="8.1"/>
  </r>
  <r>
    <n v="90"/>
    <n v="72266306"/>
    <s v="Vantage Point "/>
    <s v="English"/>
    <x v="8"/>
    <n v="40000000"/>
    <x v="7"/>
    <n v="6.6"/>
  </r>
  <r>
    <n v="105"/>
    <n v="71347010"/>
    <s v="I Love You, Man "/>
    <s v="English"/>
    <x v="8"/>
    <n v="40000000"/>
    <x v="13"/>
    <n v="7.1"/>
  </r>
  <r>
    <n v="114"/>
    <n v="70836296"/>
    <s v="Shallow Hal "/>
    <s v="English"/>
    <x v="8"/>
    <n v="40000000"/>
    <x v="8"/>
    <n v="5.9"/>
  </r>
  <r>
    <n v="206"/>
    <n v="70405498"/>
    <s v="JFK "/>
    <s v="English"/>
    <x v="7"/>
    <n v="40000000"/>
    <x v="23"/>
    <n v="8"/>
  </r>
  <r>
    <n v="99"/>
    <n v="70163652"/>
    <s v="Big Momma's House 2 "/>
    <s v="English"/>
    <x v="8"/>
    <n v="40000000"/>
    <x v="0"/>
    <n v="4.5999999999999996"/>
  </r>
  <r>
    <n v="109"/>
    <n v="83906114"/>
    <s v="The Other Woman "/>
    <s v="English"/>
    <x v="8"/>
    <n v="40000000"/>
    <x v="16"/>
    <n v="6"/>
  </r>
  <r>
    <n v="82"/>
    <n v="66466372"/>
    <s v="The Final Destination "/>
    <s v="English"/>
    <x v="8"/>
    <n v="40000000"/>
    <x v="13"/>
    <n v="5.2"/>
  </r>
  <r>
    <n v="142"/>
    <n v="72306065"/>
    <s v="Bridge of Spies "/>
    <s v="English"/>
    <x v="8"/>
    <n v="40000000"/>
    <x v="12"/>
    <n v="7.6"/>
  </r>
  <r>
    <n v="106"/>
    <n v="59068786"/>
    <s v="Behind Enemy Lines "/>
    <s v="English"/>
    <x v="8"/>
    <n v="40000000"/>
    <x v="8"/>
    <n v="6.4"/>
  </r>
  <r>
    <n v="108"/>
    <n v="53955614"/>
    <s v="Small Soldiers "/>
    <s v="English"/>
    <x v="8"/>
    <n v="40000000"/>
    <x v="6"/>
    <n v="6.1"/>
  </r>
  <r>
    <n v="98"/>
    <n v="54967359"/>
    <s v="Spawn "/>
    <s v="English"/>
    <x v="8"/>
    <n v="40000000"/>
    <x v="2"/>
    <n v="5.2"/>
  </r>
  <r>
    <n v="118"/>
    <n v="57981889"/>
    <s v="The Lincoln Lawyer "/>
    <s v="English"/>
    <x v="8"/>
    <n v="40000000"/>
    <x v="15"/>
    <n v="7.3"/>
  </r>
  <r>
    <n v="130"/>
    <n v="53082743"/>
    <s v="The Prestige "/>
    <s v="English"/>
    <x v="8"/>
    <n v="40000000"/>
    <x v="0"/>
    <n v="8.5"/>
  </r>
  <r>
    <n v="89"/>
    <n v="57011847"/>
    <s v="Escape from Planet Earth "/>
    <s v="English"/>
    <x v="8"/>
    <n v="40000000"/>
    <x v="17"/>
    <n v="5.9"/>
  </r>
  <r>
    <n v="139"/>
    <n v="50859889"/>
    <s v="Apocalypto "/>
    <s v="Maya"/>
    <x v="8"/>
    <n v="40000000"/>
    <x v="0"/>
    <n v="7.8"/>
  </r>
  <r>
    <n v="107"/>
    <n v="52000688"/>
    <s v="Predators "/>
    <s v="English"/>
    <x v="8"/>
    <n v="40000000"/>
    <x v="11"/>
    <n v="6.4"/>
  </r>
  <r>
    <n v="116"/>
    <n v="49851591"/>
    <s v="Legal Eagles "/>
    <s v="English"/>
    <x v="8"/>
    <n v="40000000"/>
    <x v="34"/>
    <n v="5.9"/>
  </r>
  <r>
    <n v="96"/>
    <n v="47781388"/>
    <s v="Secret Window "/>
    <s v="English"/>
    <x v="8"/>
    <n v="40000000"/>
    <x v="3"/>
    <n v="6.6"/>
  </r>
  <r>
    <n v="99"/>
    <n v="52320979"/>
    <s v="The Lake House "/>
    <s v="English"/>
    <x v="8"/>
    <n v="40000000"/>
    <x v="0"/>
    <n v="6.8"/>
  </r>
  <r>
    <n v="101"/>
    <n v="46012734"/>
    <s v="Made of Honor "/>
    <s v="English"/>
    <x v="8"/>
    <n v="40000000"/>
    <x v="7"/>
    <n v="5.8"/>
  </r>
  <r>
    <n v="134"/>
    <n v="47034272"/>
    <s v="Jersey Boys "/>
    <s v="English"/>
    <x v="8"/>
    <n v="40000000"/>
    <x v="16"/>
    <n v="6.9"/>
  </r>
  <r>
    <n v="135"/>
    <n v="45856732"/>
    <s v="The Rainmaker "/>
    <s v="English"/>
    <x v="8"/>
    <n v="40000000"/>
    <x v="2"/>
    <n v="7.1"/>
  </r>
  <r>
    <n v="98"/>
    <n v="59588068"/>
    <s v="Gothika "/>
    <s v="English"/>
    <x v="8"/>
    <n v="40000000"/>
    <x v="18"/>
    <n v="5.8"/>
  </r>
  <r>
    <n v="106"/>
    <n v="45500797"/>
    <s v="Medicine Man "/>
    <s v="English"/>
    <x v="8"/>
    <n v="40000000"/>
    <x v="26"/>
    <n v="6"/>
  </r>
  <r>
    <n v="102"/>
    <n v="41797066"/>
    <s v="Aliens vs. Predator: Requiem "/>
    <s v="English"/>
    <x v="8"/>
    <n v="40000000"/>
    <x v="9"/>
    <n v="4.7"/>
  </r>
  <r>
    <n v="95"/>
    <n v="38087756"/>
    <s v="Ri¢hie Ri¢h "/>
    <s v="English"/>
    <x v="8"/>
    <n v="40000000"/>
    <x v="22"/>
    <n v="5.2"/>
  </r>
  <r>
    <n v="103"/>
    <n v="37752931"/>
    <s v="Autumn in New York "/>
    <s v="English"/>
    <x v="8"/>
    <n v="40000000"/>
    <x v="21"/>
    <n v="5.5"/>
  </r>
  <r>
    <n v="109"/>
    <n v="37371385"/>
    <s v="Paul "/>
    <s v="English"/>
    <x v="8"/>
    <n v="40000000"/>
    <x v="15"/>
    <n v="7"/>
  </r>
  <r>
    <n v="95"/>
    <n v="37101011"/>
    <s v="The Guilt Trip "/>
    <s v="English"/>
    <x v="8"/>
    <n v="40000000"/>
    <x v="10"/>
    <n v="5.8"/>
  </r>
  <r>
    <n v="111"/>
    <n v="38176892"/>
    <s v="Scream 4 "/>
    <s v="English"/>
    <x v="8"/>
    <n v="40000000"/>
    <x v="15"/>
    <n v="6.2"/>
  </r>
  <r>
    <n v="123"/>
    <n v="36283504"/>
    <s v="8MM "/>
    <s v="English"/>
    <x v="12"/>
    <n v="40000000"/>
    <x v="5"/>
    <n v="6.5"/>
  </r>
  <r>
    <n v="94"/>
    <n v="38543473"/>
    <s v="Sex Tape "/>
    <s v="English"/>
    <x v="8"/>
    <n v="40000000"/>
    <x v="16"/>
    <n v="5.0999999999999996"/>
  </r>
  <r>
    <n v="92"/>
    <n v="42575718"/>
    <s v="Final Destination 5 "/>
    <s v="English"/>
    <x v="8"/>
    <n v="40000000"/>
    <x v="15"/>
    <n v="5.9"/>
  </r>
  <r>
    <n v="102"/>
    <n v="33864342"/>
    <s v="Mickey Blue Eyes "/>
    <s v="English"/>
    <x v="9"/>
    <n v="40000000"/>
    <x v="5"/>
    <n v="5.8"/>
  </r>
  <r>
    <n v="123"/>
    <n v="33508922"/>
    <s v="Pay It Forward "/>
    <s v="English"/>
    <x v="8"/>
    <n v="40000000"/>
    <x v="21"/>
    <n v="7.2"/>
  </r>
  <r>
    <n v="102"/>
    <n v="32853640"/>
    <s v="Drillbit Taylor "/>
    <s v="English"/>
    <x v="8"/>
    <n v="40000000"/>
    <x v="7"/>
    <n v="5.7"/>
  </r>
  <r>
    <n v="136"/>
    <n v="42615685"/>
    <s v="A Million Ways to Die in the West "/>
    <s v="English"/>
    <x v="8"/>
    <n v="40000000"/>
    <x v="16"/>
    <n v="6.1"/>
  </r>
  <r>
    <n v="129"/>
    <n v="31836745"/>
    <s v="Extremely Loud &amp; Incredibly Close "/>
    <s v="English"/>
    <x v="8"/>
    <n v="40000000"/>
    <x v="15"/>
    <n v="6.9"/>
  </r>
  <r>
    <n v="107"/>
    <n v="30993544"/>
    <s v="Morning Glory "/>
    <s v="English"/>
    <x v="8"/>
    <n v="40000000"/>
    <x v="11"/>
    <n v="6.5"/>
  </r>
  <r>
    <n v="117"/>
    <n v="30981850"/>
    <s v="Get Rich or Die Tryin' "/>
    <s v="English"/>
    <x v="8"/>
    <n v="40000000"/>
    <x v="1"/>
    <n v="5"/>
  </r>
  <r>
    <n v="116"/>
    <n v="30199105"/>
    <s v="The Art of War "/>
    <s v="English"/>
    <x v="8"/>
    <n v="40000000"/>
    <x v="21"/>
    <n v="5.7"/>
  </r>
  <r>
    <n v="135"/>
    <n v="29077547"/>
    <s v="Rent "/>
    <s v="English"/>
    <x v="8"/>
    <n v="40000000"/>
    <x v="1"/>
    <n v="7"/>
  </r>
  <r>
    <n v="107"/>
    <n v="29374178"/>
    <s v="Bless the Child "/>
    <s v="English"/>
    <x v="8"/>
    <n v="40000000"/>
    <x v="21"/>
    <n v="5.0999999999999996"/>
  </r>
  <r>
    <n v="90"/>
    <n v="28535768"/>
    <s v="The Out-of-Towners "/>
    <s v="English"/>
    <x v="8"/>
    <n v="40000000"/>
    <x v="5"/>
    <n v="5.3"/>
  </r>
  <r>
    <n v="99"/>
    <n v="27663982"/>
    <s v="The Island of Dr. Moreau "/>
    <s v="English"/>
    <x v="8"/>
    <n v="40000000"/>
    <x v="24"/>
    <n v="4.4000000000000004"/>
  </r>
  <r>
    <n v="104"/>
    <n v="27053815"/>
    <s v="The Musketeer "/>
    <s v="English"/>
    <x v="12"/>
    <n v="40000000"/>
    <x v="8"/>
    <n v="4.7"/>
  </r>
  <r>
    <n v="119"/>
    <n v="25178165"/>
    <s v="Sweet November "/>
    <s v="English"/>
    <x v="8"/>
    <n v="40000000"/>
    <x v="8"/>
    <n v="6.7"/>
  </r>
  <r>
    <n v="99"/>
    <n v="25117498"/>
    <s v="The Reaping "/>
    <s v="English"/>
    <x v="8"/>
    <n v="40000000"/>
    <x v="9"/>
    <n v="5.7"/>
  </r>
  <r>
    <n v="128"/>
    <n v="24332324"/>
    <s v="Renaissance Man "/>
    <s v="English"/>
    <x v="8"/>
    <n v="40000000"/>
    <x v="22"/>
    <n v="6.1"/>
  </r>
  <r>
    <n v="112"/>
    <n v="36665854"/>
    <s v="Colombiana "/>
    <s v="English"/>
    <x v="7"/>
    <n v="40000000"/>
    <x v="15"/>
    <n v="6.4"/>
  </r>
  <r>
    <n v="86"/>
    <n v="22717758"/>
    <s v="The Magic Sword: Quest for Camelot "/>
    <s v="English"/>
    <x v="8"/>
    <n v="40000000"/>
    <x v="6"/>
    <n v="6.2"/>
  </r>
  <r>
    <n v="84"/>
    <n v="21176322"/>
    <s v="Torque "/>
    <s v="English"/>
    <x v="8"/>
    <n v="40000000"/>
    <x v="3"/>
    <n v="4"/>
  </r>
  <r>
    <n v="111"/>
    <n v="20300000"/>
    <s v="City Hall "/>
    <s v="English"/>
    <x v="8"/>
    <n v="40000000"/>
    <x v="24"/>
    <n v="6.2"/>
  </r>
  <r>
    <n v="123"/>
    <n v="15962471"/>
    <s v="Marie Antoinette "/>
    <s v="English"/>
    <x v="8"/>
    <n v="40000000"/>
    <x v="0"/>
    <n v="6.4"/>
  </r>
  <r>
    <n v="101"/>
    <n v="14942422"/>
    <s v="Kiss of Death "/>
    <s v="English"/>
    <x v="8"/>
    <n v="40000000"/>
    <x v="19"/>
    <n v="5.9"/>
  </r>
  <r>
    <n v="102"/>
    <n v="14967182"/>
    <s v="Get Carter "/>
    <s v="English"/>
    <x v="8"/>
    <n v="40000000"/>
    <x v="21"/>
    <n v="5.0999999999999996"/>
  </r>
  <r>
    <n v="87"/>
    <n v="20999103"/>
    <s v="Fantastic Mr. Fox "/>
    <s v="English"/>
    <x v="8"/>
    <n v="40000000"/>
    <x v="13"/>
    <n v="7.8"/>
  </r>
  <r>
    <n v="103"/>
    <n v="14448589"/>
    <s v="Life or Something Like It "/>
    <s v="English"/>
    <x v="8"/>
    <n v="40000000"/>
    <x v="20"/>
    <n v="5.8"/>
  </r>
  <r>
    <n v="99"/>
    <n v="14358033"/>
    <s v="Memoirs of an Invisible Man "/>
    <s v="English"/>
    <x v="8"/>
    <n v="40000000"/>
    <x v="26"/>
    <n v="5.9"/>
  </r>
  <r>
    <n v="107"/>
    <n v="20113965"/>
    <s v="Big Miracle "/>
    <s v="English"/>
    <x v="8"/>
    <n v="40000000"/>
    <x v="10"/>
    <n v="6.5"/>
  </r>
  <r>
    <n v="106"/>
    <n v="13376506"/>
    <s v="The Deep End of the Ocean "/>
    <s v="English"/>
    <x v="8"/>
    <n v="40000000"/>
    <x v="5"/>
    <n v="6.3"/>
  </r>
  <r>
    <n v="109"/>
    <n v="13838130"/>
    <s v="Cirque du Freak: The Vampire's Assistant "/>
    <s v="English"/>
    <x v="8"/>
    <n v="40000000"/>
    <x v="13"/>
    <n v="5.9"/>
  </r>
  <r>
    <n v="110"/>
    <n v="5773519"/>
    <s v="Victor Frankenstein "/>
    <s v="English"/>
    <x v="8"/>
    <n v="40000000"/>
    <x v="12"/>
    <n v="6"/>
  </r>
  <r>
    <n v="89"/>
    <n v="9652000"/>
    <s v="Duplex "/>
    <s v="English"/>
    <x v="8"/>
    <n v="40000000"/>
    <x v="18"/>
    <n v="5.8"/>
  </r>
  <r>
    <n v="102"/>
    <n v="6114237"/>
    <s v="Impostor "/>
    <s v="English"/>
    <x v="8"/>
    <n v="40000000"/>
    <x v="8"/>
    <n v="6.2"/>
  </r>
  <r>
    <n v="93"/>
    <n v="4835968"/>
    <s v="Extreme Ops "/>
    <s v="English"/>
    <x v="9"/>
    <n v="40000000"/>
    <x v="20"/>
    <n v="4.5"/>
  </r>
  <r>
    <n v="84"/>
    <n v="4777007"/>
    <s v="Just Visiting "/>
    <s v="English"/>
    <x v="7"/>
    <n v="40000000"/>
    <x v="8"/>
    <n v="5.8"/>
  </r>
  <r>
    <n v="91"/>
    <n v="18438149"/>
    <s v="A Thousand Words "/>
    <s v="English"/>
    <x v="8"/>
    <n v="40000000"/>
    <x v="10"/>
    <n v="5.9"/>
  </r>
  <r>
    <n v="94"/>
    <n v="511920"/>
    <s v="Delgo "/>
    <s v="English"/>
    <x v="8"/>
    <n v="40000000"/>
    <x v="7"/>
    <n v="4.4000000000000004"/>
  </r>
  <r>
    <n v="115"/>
    <n v="10640645"/>
    <s v="The Gunman "/>
    <s v="English"/>
    <x v="8"/>
    <n v="40000000"/>
    <x v="12"/>
    <n v="5.8"/>
  </r>
  <r>
    <n v="93"/>
    <n v="652526"/>
    <s v="Alex Rider: Operation Stormbreaker "/>
    <s v="English"/>
    <x v="12"/>
    <n v="40000000"/>
    <x v="0"/>
    <n v="5.0999999999999996"/>
  </r>
  <r>
    <n v="113"/>
    <n v="128978"/>
    <s v="The Warlords "/>
    <s v="Mandarin"/>
    <x v="15"/>
    <n v="40000000"/>
    <x v="9"/>
    <n v="7.1"/>
  </r>
  <r>
    <n v="119"/>
    <n v="25335935"/>
    <s v="Serenity "/>
    <s v="English"/>
    <x v="8"/>
    <n v="40000000"/>
    <x v="1"/>
    <n v="8"/>
  </r>
  <r>
    <n v="113"/>
    <n v="29802761"/>
    <s v="Grudge Match "/>
    <s v="English"/>
    <x v="8"/>
    <n v="40000000"/>
    <x v="17"/>
    <n v="6.4"/>
  </r>
  <r>
    <n v="130"/>
    <n v="9589875"/>
    <s v="The Express "/>
    <s v="English"/>
    <x v="8"/>
    <n v="40000000"/>
    <x v="7"/>
    <n v="7.3"/>
  </r>
  <r>
    <n v="110"/>
    <n v="41102171"/>
    <s v="What to Expect When You're Expecting "/>
    <s v="English"/>
    <x v="8"/>
    <n v="40000000"/>
    <x v="10"/>
    <n v="5.7"/>
  </r>
  <r>
    <n v="109"/>
    <n v="37553932"/>
    <s v="In Time "/>
    <s v="English"/>
    <x v="8"/>
    <n v="40000000"/>
    <x v="15"/>
    <n v="6.7"/>
  </r>
  <r>
    <n v="138"/>
    <n v="141340178"/>
    <s v="A Few Good Men "/>
    <s v="English"/>
    <x v="8"/>
    <n v="40000000"/>
    <x v="26"/>
    <n v="7.6"/>
  </r>
  <r>
    <n v="77"/>
    <n v="53337608"/>
    <s v="Corpse Bride "/>
    <s v="English"/>
    <x v="8"/>
    <n v="40000000"/>
    <x v="1"/>
    <n v="7.4"/>
  </r>
  <r>
    <n v="98"/>
    <n v="16323969"/>
    <s v="The Whole Ten Yards "/>
    <s v="English"/>
    <x v="8"/>
    <n v="40000000"/>
    <x v="3"/>
    <n v="5.5"/>
  </r>
  <r>
    <n v="123"/>
    <n v="7689458"/>
    <s v="The Imaginarium of Doctor Parnassus "/>
    <s v="English"/>
    <x v="9"/>
    <n v="40000000"/>
    <x v="13"/>
    <n v="6.8"/>
  </r>
  <r>
    <n v="110"/>
    <n v="5773519"/>
    <s v="Victor Frankenstein "/>
    <s v="English"/>
    <x v="8"/>
    <n v="40000000"/>
    <x v="12"/>
    <n v="6"/>
  </r>
  <r>
    <n v="89"/>
    <n v="20916309"/>
    <s v="Shorts "/>
    <s v="English"/>
    <x v="8"/>
    <n v="40000000"/>
    <x v="13"/>
    <n v="4.9000000000000004"/>
  </r>
  <r>
    <n v="112"/>
    <n v="19151864"/>
    <s v="My Best Friend's Girl "/>
    <s v="English"/>
    <x v="8"/>
    <n v="40000000"/>
    <x v="7"/>
    <n v="5.9"/>
  </r>
  <r>
    <n v="99"/>
    <n v="12181484"/>
    <s v="Envy "/>
    <s v="English"/>
    <x v="8"/>
    <n v="40000000"/>
    <x v="3"/>
    <n v="4.8"/>
  </r>
  <r>
    <n v="125"/>
    <n v="1027749"/>
    <s v="The Children of Huang Shi "/>
    <s v="English"/>
    <x v="13"/>
    <n v="40000000"/>
    <x v="7"/>
    <n v="7.1"/>
  </r>
  <r>
    <n v="126"/>
    <n v="4563029"/>
    <s v="Snowpiercer "/>
    <s v="English"/>
    <x v="0"/>
    <n v="39200000"/>
    <x v="17"/>
    <n v="7"/>
  </r>
  <r>
    <n v="107"/>
    <n v="63411478"/>
    <s v="The Time Traveler's Wife "/>
    <s v="English"/>
    <x v="8"/>
    <n v="39000000"/>
    <x v="13"/>
    <n v="7.1"/>
  </r>
  <r>
    <n v="87"/>
    <n v="35287788"/>
    <s v="Frankenweenie "/>
    <s v="English"/>
    <x v="8"/>
    <n v="39000000"/>
    <x v="10"/>
    <n v="7"/>
  </r>
  <r>
    <n v="110"/>
    <n v="5881504"/>
    <s v="Against the Ropes "/>
    <s v="English"/>
    <x v="8"/>
    <n v="39000000"/>
    <x v="3"/>
    <n v="5.3"/>
  </r>
  <r>
    <n v="125"/>
    <n v="60000000"/>
    <s v="Superman III "/>
    <s v="English"/>
    <x v="9"/>
    <n v="39000000"/>
    <x v="35"/>
    <n v="4.9000000000000004"/>
  </r>
  <r>
    <n v="93"/>
    <n v="30400000"/>
    <s v="Sgt. Bilko "/>
    <s v="English"/>
    <x v="8"/>
    <n v="39000000"/>
    <x v="24"/>
    <n v="5.7"/>
  </r>
  <r>
    <n v="122"/>
    <n v="6594136"/>
    <s v="The Grandmaster "/>
    <s v="Mandarin"/>
    <x v="15"/>
    <n v="38600000"/>
    <x v="17"/>
    <n v="6.5"/>
  </r>
  <r>
    <n v="106"/>
    <n v="144512310"/>
    <s v="The Fast and the Furious "/>
    <s v="English"/>
    <x v="8"/>
    <n v="38000000"/>
    <x v="8"/>
    <n v="6.7"/>
  </r>
  <r>
    <n v="106"/>
    <n v="144512310"/>
    <s v="The Fast and the Furious "/>
    <s v="English"/>
    <x v="8"/>
    <n v="38000000"/>
    <x v="8"/>
    <n v="6.7"/>
  </r>
  <r>
    <n v="84"/>
    <n v="111760631"/>
    <s v="Spy Kids 3-D: Game Over "/>
    <s v="English"/>
    <x v="8"/>
    <n v="38000000"/>
    <x v="18"/>
    <n v="4.0999999999999996"/>
  </r>
  <r>
    <n v="140"/>
    <n v="35183792"/>
    <s v="The Doors "/>
    <s v="English"/>
    <x v="8"/>
    <n v="38000000"/>
    <x v="23"/>
    <n v="7.2"/>
  </r>
  <r>
    <n v="106"/>
    <n v="144512310"/>
    <s v="The Fast and the Furious "/>
    <s v="English"/>
    <x v="8"/>
    <n v="38000000"/>
    <x v="8"/>
    <n v="6.7"/>
  </r>
  <r>
    <n v="108"/>
    <n v="127214072"/>
    <s v="Sweet Home Alabama "/>
    <s v="English"/>
    <x v="8"/>
    <n v="38000000"/>
    <x v="20"/>
    <n v="6.1"/>
  </r>
  <r>
    <n v="96"/>
    <n v="88915214"/>
    <s v="The Ugly Truth "/>
    <s v="English"/>
    <x v="8"/>
    <n v="38000000"/>
    <x v="13"/>
    <n v="6.5"/>
  </r>
  <r>
    <n v="100"/>
    <n v="85570368"/>
    <s v="Spy Kids 2: Island of Lost Dreams "/>
    <s v="English"/>
    <x v="8"/>
    <n v="38000000"/>
    <x v="20"/>
    <n v="5.0999999999999996"/>
  </r>
  <r>
    <n v="120"/>
    <n v="58700247"/>
    <s v="Water for Elephants "/>
    <s v="English"/>
    <x v="8"/>
    <n v="38000000"/>
    <x v="15"/>
    <n v="6.9"/>
  </r>
  <r>
    <n v="146"/>
    <n v="50668906"/>
    <s v="The Hurricane "/>
    <s v="English"/>
    <x v="8"/>
    <n v="38000000"/>
    <x v="5"/>
    <n v="7.6"/>
  </r>
  <r>
    <n v="115"/>
    <n v="39177215"/>
    <s v="Enough "/>
    <s v="English"/>
    <x v="8"/>
    <n v="38000000"/>
    <x v="20"/>
    <n v="5.6"/>
  </r>
  <r>
    <n v="102"/>
    <n v="24044532"/>
    <s v="Angel Eyes "/>
    <s v="English"/>
    <x v="8"/>
    <n v="38000000"/>
    <x v="8"/>
    <n v="5.6"/>
  </r>
  <r>
    <n v="98"/>
    <n v="22770864"/>
    <s v="Joe Somebody "/>
    <s v="English"/>
    <x v="8"/>
    <n v="38000000"/>
    <x v="8"/>
    <n v="5.5"/>
  </r>
  <r>
    <n v="133"/>
    <n v="18653746"/>
    <s v="The Ninth Gate "/>
    <s v="English"/>
    <x v="4"/>
    <n v="38000000"/>
    <x v="5"/>
    <n v="6.7"/>
  </r>
  <r>
    <n v="118"/>
    <n v="17305211"/>
    <s v="Extreme Measures "/>
    <s v="English"/>
    <x v="8"/>
    <n v="38000000"/>
    <x v="24"/>
    <n v="6.1"/>
  </r>
  <r>
    <n v="129"/>
    <n v="10300000"/>
    <s v="White Squall "/>
    <s v="English"/>
    <x v="8"/>
    <n v="38000000"/>
    <x v="24"/>
    <n v="6.6"/>
  </r>
  <r>
    <n v="127"/>
    <n v="41997790"/>
    <s v="Riddick "/>
    <s v="English"/>
    <x v="8"/>
    <n v="38000000"/>
    <x v="17"/>
    <n v="6.4"/>
  </r>
  <r>
    <n v="110"/>
    <n v="623374"/>
    <s v="Texas Rangers "/>
    <s v="English"/>
    <x v="8"/>
    <n v="38000000"/>
    <x v="8"/>
    <n v="5.2"/>
  </r>
  <r>
    <n v="112"/>
    <n v="34912982"/>
    <s v="The 5th Wave "/>
    <s v="English"/>
    <x v="8"/>
    <n v="38000000"/>
    <x v="14"/>
    <n v="5.2"/>
  </r>
  <r>
    <n v="123"/>
    <n v="26903709"/>
    <s v="Rush "/>
    <s v="English"/>
    <x v="9"/>
    <n v="38000000"/>
    <x v="17"/>
    <n v="8.1"/>
  </r>
  <r>
    <n v="110"/>
    <n v="46813366"/>
    <s v="How to Be Single "/>
    <s v="English"/>
    <x v="8"/>
    <n v="38000000"/>
    <x v="14"/>
    <n v="6.1"/>
  </r>
  <r>
    <n v="110"/>
    <n v="171031347"/>
    <s v="True Grit "/>
    <s v="English"/>
    <x v="8"/>
    <n v="38000000"/>
    <x v="11"/>
    <n v="7.7"/>
  </r>
  <r>
    <n v="102"/>
    <n v="7659747"/>
    <s v="The Order "/>
    <s v="English"/>
    <x v="8"/>
    <n v="38000000"/>
    <x v="18"/>
    <n v="5.0999999999999996"/>
  </r>
  <r>
    <n v="124"/>
    <n v="8406264"/>
    <s v="Pushing Tin "/>
    <s v="English"/>
    <x v="8"/>
    <n v="38000000"/>
    <x v="5"/>
    <n v="6"/>
  </r>
  <r>
    <n v="99"/>
    <n v="113502246"/>
    <s v="The Addams Family "/>
    <s v="English"/>
    <x v="8"/>
    <n v="38000000"/>
    <x v="23"/>
    <n v="6.8"/>
  </r>
  <r>
    <n v="113"/>
    <n v="40137776"/>
    <s v="Stranger Than Fiction "/>
    <s v="English"/>
    <x v="8"/>
    <n v="38000000"/>
    <x v="0"/>
    <n v="7.6"/>
  </r>
  <r>
    <n v="118"/>
    <n v="6482195"/>
    <s v="Switchback "/>
    <s v="English"/>
    <x v="8"/>
    <n v="37000000"/>
    <x v="2"/>
    <n v="6.4"/>
  </r>
  <r>
    <n v="150"/>
    <n v="92173235"/>
    <s v="The Town "/>
    <s v="English"/>
    <x v="8"/>
    <n v="37000000"/>
    <x v="11"/>
    <n v="7.6"/>
  </r>
  <r>
    <n v="96"/>
    <n v="60338891"/>
    <s v="Burn After Reading "/>
    <s v="English"/>
    <x v="8"/>
    <n v="37000000"/>
    <x v="7"/>
    <n v="7"/>
  </r>
  <r>
    <n v="96"/>
    <n v="48006503"/>
    <s v="Nim's Island "/>
    <s v="English"/>
    <x v="8"/>
    <n v="37000000"/>
    <x v="7"/>
    <n v="6"/>
  </r>
  <r>
    <n v="188"/>
    <n v="22450975"/>
    <s v="Magnolia "/>
    <s v="English"/>
    <x v="8"/>
    <n v="37000000"/>
    <x v="5"/>
    <n v="8"/>
  </r>
  <r>
    <n v="107"/>
    <n v="44867349"/>
    <s v="Cop Out "/>
    <s v="English"/>
    <x v="8"/>
    <n v="37000000"/>
    <x v="11"/>
    <n v="5.6"/>
  </r>
  <r>
    <n v="113"/>
    <n v="72279690"/>
    <s v="Dolphin Tale "/>
    <s v="English"/>
    <x v="8"/>
    <n v="37000000"/>
    <x v="15"/>
    <n v="6.9"/>
  </r>
  <r>
    <n v="122"/>
    <n v="191449475"/>
    <s v="Twilight "/>
    <s v="English"/>
    <x v="8"/>
    <n v="37000000"/>
    <x v="7"/>
    <n v="5.2"/>
  </r>
  <r>
    <n v="118"/>
    <n v="150368971"/>
    <s v="We're the Millers "/>
    <s v="English"/>
    <x v="8"/>
    <n v="37000000"/>
    <x v="17"/>
    <n v="7"/>
  </r>
  <r>
    <n v="105"/>
    <n v="20991497"/>
    <s v="Aloha "/>
    <s v="English"/>
    <x v="8"/>
    <n v="37000000"/>
    <x v="12"/>
    <n v="5.4"/>
  </r>
  <r>
    <n v="114"/>
    <n v="33037754"/>
    <s v="The Rite "/>
    <s v="English"/>
    <x v="8"/>
    <n v="37000000"/>
    <x v="15"/>
    <n v="6"/>
  </r>
  <r>
    <n v="81"/>
    <n v="30105968"/>
    <s v="Space Chimps "/>
    <s v="English"/>
    <x v="8"/>
    <n v="37000000"/>
    <x v="7"/>
    <n v="4.5"/>
  </r>
  <r>
    <n v="111"/>
    <n v="108244774"/>
    <s v="The Princess Diaries "/>
    <s v="English"/>
    <x v="8"/>
    <n v="37000000"/>
    <x v="8"/>
    <n v="6.2"/>
  </r>
  <r>
    <n v="98"/>
    <n v="56044241"/>
    <s v="13 Going on 30 "/>
    <s v="English"/>
    <x v="8"/>
    <n v="37000000"/>
    <x v="3"/>
    <n v="6.1"/>
  </r>
  <r>
    <n v="109"/>
    <n v="69148997"/>
    <s v="White Chicks "/>
    <s v="English"/>
    <x v="8"/>
    <n v="37000000"/>
    <x v="3"/>
    <n v="5.4"/>
  </r>
  <r>
    <n v="122"/>
    <n v="191449475"/>
    <s v="Twilight "/>
    <s v="English"/>
    <x v="8"/>
    <n v="37000000"/>
    <x v="7"/>
    <n v="5.2"/>
  </r>
  <r>
    <n v="105"/>
    <n v="20991497"/>
    <s v="Aloha "/>
    <s v="English"/>
    <x v="8"/>
    <n v="37000000"/>
    <x v="12"/>
    <n v="5.4"/>
  </r>
  <r>
    <n v="111"/>
    <n v="45045037"/>
    <s v="Hall Pass "/>
    <s v="English"/>
    <x v="8"/>
    <n v="36000000"/>
    <x v="15"/>
    <n v="5.9"/>
  </r>
  <r>
    <n v="155"/>
    <n v="44175394"/>
    <s v="Amistad "/>
    <s v="English"/>
    <x v="8"/>
    <n v="36000000"/>
    <x v="2"/>
    <n v="7.2"/>
  </r>
  <r>
    <n v="119"/>
    <n v="7000000"/>
    <s v="Raise the Titanic "/>
    <s v="English"/>
    <x v="9"/>
    <n v="36000000"/>
    <x v="31"/>
    <n v="4.7"/>
  </r>
  <r>
    <n v="116"/>
    <n v="71026631"/>
    <s v="John Q "/>
    <s v="English"/>
    <x v="8"/>
    <n v="36000000"/>
    <x v="20"/>
    <n v="7"/>
  </r>
  <r>
    <n v="93"/>
    <n v="50129186"/>
    <s v="Breakdown "/>
    <s v="English"/>
    <x v="8"/>
    <n v="36000000"/>
    <x v="2"/>
    <n v="6.9"/>
  </r>
  <r>
    <n v="121"/>
    <n v="55500000"/>
    <s v="Never Say Never Again "/>
    <s v="English"/>
    <x v="9"/>
    <n v="36000000"/>
    <x v="35"/>
    <n v="6.2"/>
  </r>
  <r>
    <n v="101"/>
    <n v="50213619"/>
    <s v="Hot Tub Time Machine "/>
    <s v="English"/>
    <x v="8"/>
    <n v="36000000"/>
    <x v="11"/>
    <n v="6.4"/>
  </r>
  <r>
    <n v="107"/>
    <n v="42019483"/>
    <s v="Dolphin Tale 2 "/>
    <s v="English"/>
    <x v="8"/>
    <n v="36000000"/>
    <x v="16"/>
    <n v="6.4"/>
  </r>
  <r>
    <n v="109"/>
    <n v="26183197"/>
    <s v="A Man Apart "/>
    <s v="English"/>
    <x v="8"/>
    <n v="36000000"/>
    <x v="18"/>
    <n v="6.1"/>
  </r>
  <r>
    <n v="130"/>
    <n v="13052741"/>
    <s v="Ghosts of Mississippi "/>
    <s v="English"/>
    <x v="8"/>
    <n v="36000000"/>
    <x v="24"/>
    <n v="6.7"/>
  </r>
  <r>
    <n v="127"/>
    <n v="14378353"/>
    <s v="Snow Falling on Cedars "/>
    <s v="English"/>
    <x v="8"/>
    <n v="36000000"/>
    <x v="5"/>
    <n v="6.8"/>
  </r>
  <r>
    <n v="106"/>
    <n v="12339633"/>
    <s v="Gattaca "/>
    <s v="English"/>
    <x v="8"/>
    <n v="36000000"/>
    <x v="2"/>
    <n v="7.8"/>
  </r>
  <r>
    <n v="95"/>
    <n v="2954405"/>
    <s v="Isn't She Great "/>
    <s v="English"/>
    <x v="8"/>
    <n v="36000000"/>
    <x v="21"/>
    <n v="5.3"/>
  </r>
  <r>
    <n v="105"/>
    <n v="2126511"/>
    <s v="Ip Man 3 "/>
    <s v="Cantonese"/>
    <x v="15"/>
    <n v="36000000"/>
    <x v="12"/>
    <n v="7.2"/>
  </r>
  <r>
    <n v="102"/>
    <n v="1068392"/>
    <s v="There Be Dragons "/>
    <s v="English"/>
    <x v="4"/>
    <n v="36000000"/>
    <x v="15"/>
    <n v="5.9"/>
  </r>
  <r>
    <n v="95"/>
    <n v="37788228"/>
    <s v="Head of State "/>
    <s v="English"/>
    <x v="8"/>
    <n v="35200000"/>
    <x v="18"/>
    <n v="5.4"/>
  </r>
  <r>
    <n v="95"/>
    <n v="13401683"/>
    <s v="Dredd "/>
    <s v="English"/>
    <x v="9"/>
    <n v="35000000"/>
    <x v="10"/>
    <n v="7.1"/>
  </r>
  <r>
    <n v="100"/>
    <n v="73023275"/>
    <s v="Hotel for Dogs "/>
    <s v="English"/>
    <x v="8"/>
    <n v="35000000"/>
    <x v="13"/>
    <n v="5.4"/>
  </r>
  <r>
    <n v="116"/>
    <n v="25093607"/>
    <s v="Killer Elite "/>
    <s v="English"/>
    <x v="9"/>
    <n v="35000000"/>
    <x v="15"/>
    <n v="6.5"/>
  </r>
  <r>
    <n v="102"/>
    <n v="5932060"/>
    <s v="The Last Legion "/>
    <s v="English"/>
    <x v="9"/>
    <n v="35000000"/>
    <x v="9"/>
    <n v="5.4"/>
  </r>
  <r>
    <n v="127"/>
    <n v="4426297"/>
    <s v="Beyond Borders "/>
    <s v="English"/>
    <x v="8"/>
    <n v="35000000"/>
    <x v="18"/>
    <n v="6.5"/>
  </r>
  <r>
    <n v="80"/>
    <n v="75367693"/>
    <s v="Garfield "/>
    <s v="English"/>
    <x v="8"/>
    <n v="35000000"/>
    <x v="3"/>
    <n v="5"/>
  </r>
  <r>
    <n v="122"/>
    <n v="31598308"/>
    <s v="From Hell "/>
    <s v="English"/>
    <x v="8"/>
    <n v="35000000"/>
    <x v="8"/>
    <n v="6.8"/>
  </r>
  <r>
    <n v="87"/>
    <n v="27972410"/>
    <s v="Johnny English "/>
    <s v="English"/>
    <x v="9"/>
    <n v="35000000"/>
    <x v="18"/>
    <n v="6.1"/>
  </r>
  <r>
    <n v="119"/>
    <n v="22877808"/>
    <s v="Revolutionary Road "/>
    <s v="English"/>
    <x v="8"/>
    <n v="35000000"/>
    <x v="7"/>
    <n v="7.3"/>
  </r>
  <r>
    <n v="95"/>
    <n v="13401683"/>
    <s v="Dredd "/>
    <s v="English"/>
    <x v="9"/>
    <n v="35000000"/>
    <x v="10"/>
    <n v="7.1"/>
  </r>
  <r>
    <n v="109"/>
    <n v="86208010"/>
    <s v="Dumb and Dumber To "/>
    <s v="English"/>
    <x v="8"/>
    <n v="35000000"/>
    <x v="16"/>
    <n v="5.7"/>
  </r>
  <r>
    <n v="121"/>
    <n v="75274748"/>
    <s v="The Intern "/>
    <s v="English"/>
    <x v="8"/>
    <n v="35000000"/>
    <x v="12"/>
    <n v="7.2"/>
  </r>
  <r>
    <n v="131"/>
    <n v="54228104"/>
    <s v="The Count of Monte Cristo "/>
    <s v="English"/>
    <x v="9"/>
    <n v="35000000"/>
    <x v="20"/>
    <n v="7.7"/>
  </r>
  <r>
    <n v="115"/>
    <n v="26814957"/>
    <s v="The Other Boleyn Girl "/>
    <s v="English"/>
    <x v="9"/>
    <n v="35000000"/>
    <x v="7"/>
    <n v="6.7"/>
  </r>
  <r>
    <n v="118"/>
    <n v="75668868"/>
    <s v="Star Trek: Generations "/>
    <s v="English"/>
    <x v="8"/>
    <n v="35000000"/>
    <x v="22"/>
    <n v="6.6"/>
  </r>
  <r>
    <n v="123"/>
    <n v="40334024"/>
    <s v="Heartbreakers "/>
    <s v="English"/>
    <x v="8"/>
    <n v="35000000"/>
    <x v="8"/>
    <n v="6.2"/>
  </r>
  <r>
    <n v="133"/>
    <n v="109712885"/>
    <s v="Creed "/>
    <s v="English"/>
    <x v="8"/>
    <n v="35000000"/>
    <x v="12"/>
    <n v="7.7"/>
  </r>
  <r>
    <n v="108"/>
    <n v="277313371"/>
    <s v="The Hangover "/>
    <s v="English"/>
    <x v="8"/>
    <n v="35000000"/>
    <x v="13"/>
    <n v="7.8"/>
  </r>
  <r>
    <n v="126"/>
    <n v="251188924"/>
    <s v="Batman "/>
    <s v="English"/>
    <x v="8"/>
    <n v="35000000"/>
    <x v="28"/>
    <n v="7.6"/>
  </r>
  <r>
    <n v="121"/>
    <n v="144731527"/>
    <s v="Lethal Weapon 3 "/>
    <s v="English"/>
    <x v="8"/>
    <n v="35000000"/>
    <x v="26"/>
    <n v="6.7"/>
  </r>
  <r>
    <n v="88"/>
    <n v="112692062"/>
    <s v="Spy Kids "/>
    <s v="English"/>
    <x v="8"/>
    <n v="35000000"/>
    <x v="8"/>
    <n v="5.4"/>
  </r>
  <r>
    <n v="106"/>
    <n v="117528646"/>
    <s v="Horrible Bosses "/>
    <s v="English"/>
    <x v="8"/>
    <n v="35000000"/>
    <x v="15"/>
    <n v="6.9"/>
  </r>
  <r>
    <n v="109"/>
    <n v="124732962"/>
    <s v="The Devil Wears Prada "/>
    <s v="English"/>
    <x v="8"/>
    <n v="35000000"/>
    <x v="0"/>
    <n v="6.8"/>
  </r>
  <r>
    <n v="143"/>
    <n v="82300000"/>
    <s v="Star Trek: The Motion Picture "/>
    <s v="English"/>
    <x v="8"/>
    <n v="35000000"/>
    <x v="36"/>
    <n v="6.4"/>
  </r>
  <r>
    <n v="120"/>
    <n v="134455175"/>
    <s v="Identity Thief "/>
    <s v="English"/>
    <x v="8"/>
    <n v="35000000"/>
    <x v="17"/>
    <n v="5.7"/>
  </r>
  <r>
    <n v="128"/>
    <n v="79100000"/>
    <s v="Cape Fear "/>
    <s v="English"/>
    <x v="8"/>
    <n v="35000000"/>
    <x v="23"/>
    <n v="7.3"/>
  </r>
  <r>
    <n v="123"/>
    <n v="81159365"/>
    <s v="21 "/>
    <s v="English"/>
    <x v="8"/>
    <n v="35000000"/>
    <x v="7"/>
    <n v="6.8"/>
  </r>
  <r>
    <n v="129"/>
    <n v="110008260"/>
    <s v="Trainwreck "/>
    <s v="English"/>
    <x v="2"/>
    <n v="35000000"/>
    <x v="12"/>
    <n v="6.3"/>
  </r>
  <r>
    <n v="105"/>
    <n v="67962333"/>
    <s v="Guess Who "/>
    <s v="English"/>
    <x v="8"/>
    <n v="35000000"/>
    <x v="1"/>
    <n v="5.9"/>
  </r>
  <r>
    <n v="138"/>
    <n v="64604977"/>
    <s v="L.A. Confidential "/>
    <s v="English"/>
    <x v="8"/>
    <n v="35000000"/>
    <x v="2"/>
    <n v="8.3000000000000007"/>
  </r>
  <r>
    <n v="100"/>
    <n v="63939454"/>
    <s v="Sky High "/>
    <s v="English"/>
    <x v="8"/>
    <n v="35000000"/>
    <x v="1"/>
    <n v="6.2"/>
  </r>
  <r>
    <n v="90"/>
    <n v="63826569"/>
    <s v="In &amp; Out "/>
    <s v="English"/>
    <x v="8"/>
    <n v="35000000"/>
    <x v="2"/>
    <n v="6.3"/>
  </r>
  <r>
    <n v="108"/>
    <n v="60054449"/>
    <s v="Species "/>
    <s v="English"/>
    <x v="8"/>
    <n v="35000000"/>
    <x v="19"/>
    <n v="5.8"/>
  </r>
  <r>
    <n v="132"/>
    <n v="56876365"/>
    <s v="The Man in the Iron Mask "/>
    <s v="English"/>
    <x v="8"/>
    <n v="35000000"/>
    <x v="6"/>
    <n v="6.4"/>
  </r>
  <r>
    <n v="123"/>
    <n v="59699513"/>
    <s v="Secretariat "/>
    <s v="English"/>
    <x v="8"/>
    <n v="35000000"/>
    <x v="11"/>
    <n v="7.2"/>
  </r>
  <r>
    <n v="109"/>
    <n v="52277485"/>
    <s v="Radio "/>
    <s v="English"/>
    <x v="8"/>
    <n v="35000000"/>
    <x v="18"/>
    <n v="6.9"/>
  </r>
  <r>
    <n v="109"/>
    <n v="55802754"/>
    <s v="Friends with Benefits "/>
    <s v="English"/>
    <x v="8"/>
    <n v="35000000"/>
    <x v="15"/>
    <n v="6.6"/>
  </r>
  <r>
    <n v="92"/>
    <n v="55291815"/>
    <s v="Neighbors 2: Sorority Rising "/>
    <s v="English"/>
    <x v="8"/>
    <n v="35000000"/>
    <x v="14"/>
    <n v="6"/>
  </r>
  <r>
    <n v="125"/>
    <n v="83299761"/>
    <s v="Saving Mr. Banks "/>
    <s v="English"/>
    <x v="8"/>
    <n v="35000000"/>
    <x v="17"/>
    <n v="7.5"/>
  </r>
  <r>
    <n v="134"/>
    <n v="67523385"/>
    <s v="This Is 40 "/>
    <s v="English"/>
    <x v="8"/>
    <n v="35000000"/>
    <x v="10"/>
    <n v="6.2"/>
  </r>
  <r>
    <n v="88"/>
    <n v="49474048"/>
    <s v="Old Dogs "/>
    <s v="English"/>
    <x v="8"/>
    <n v="35000000"/>
    <x v="13"/>
    <n v="5.4"/>
  </r>
  <r>
    <n v="92"/>
    <n v="45802315"/>
    <s v="Underworld: Rise of the Lycans "/>
    <s v="English"/>
    <x v="8"/>
    <n v="35000000"/>
    <x v="13"/>
    <n v="6.6"/>
  </r>
  <r>
    <n v="91"/>
    <n v="43792641"/>
    <s v="License to Wed "/>
    <s v="English"/>
    <x v="8"/>
    <n v="35000000"/>
    <x v="9"/>
    <n v="5.3"/>
  </r>
  <r>
    <n v="147"/>
    <n v="41954997"/>
    <s v="Donnie Brasco "/>
    <s v="English"/>
    <x v="8"/>
    <n v="35000000"/>
    <x v="2"/>
    <n v="7.8"/>
  </r>
  <r>
    <n v="104"/>
    <n v="39692139"/>
    <s v="The Ladykillers "/>
    <s v="English"/>
    <x v="8"/>
    <n v="35000000"/>
    <x v="3"/>
    <n v="6.2"/>
  </r>
  <r>
    <n v="103"/>
    <n v="40687294"/>
    <s v="Max Payne "/>
    <s v="English"/>
    <x v="11"/>
    <n v="35000000"/>
    <x v="7"/>
    <n v="5.4"/>
  </r>
  <r>
    <n v="104"/>
    <n v="37481242"/>
    <s v="The Back-up Plan "/>
    <s v="English"/>
    <x v="8"/>
    <n v="35000000"/>
    <x v="11"/>
    <n v="5.3"/>
  </r>
  <r>
    <n v="112"/>
    <n v="39026186"/>
    <s v="Something Borrowed "/>
    <s v="English"/>
    <x v="8"/>
    <n v="35000000"/>
    <x v="15"/>
    <n v="5.9"/>
  </r>
  <r>
    <n v="102"/>
    <n v="33423521"/>
    <s v="Street Fighter "/>
    <s v="English"/>
    <x v="2"/>
    <n v="35000000"/>
    <x v="22"/>
    <n v="3.8"/>
  </r>
  <r>
    <n v="150"/>
    <n v="32519322"/>
    <s v="The Pianist "/>
    <s v="English"/>
    <x v="7"/>
    <n v="35000000"/>
    <x v="20"/>
    <n v="8.5"/>
  </r>
  <r>
    <n v="122"/>
    <n v="31598308"/>
    <s v="From Hell "/>
    <s v="English"/>
    <x v="8"/>
    <n v="35000000"/>
    <x v="8"/>
    <n v="6.8"/>
  </r>
  <r>
    <n v="137"/>
    <n v="37304950"/>
    <s v="J. Edgar "/>
    <s v="English"/>
    <x v="8"/>
    <n v="35000000"/>
    <x v="15"/>
    <n v="6.6"/>
  </r>
  <r>
    <n v="112"/>
    <n v="30691439"/>
    <s v="Mirrors "/>
    <s v="English"/>
    <x v="8"/>
    <n v="35000000"/>
    <x v="7"/>
    <n v="6.2"/>
  </r>
  <r>
    <n v="101"/>
    <n v="30307804"/>
    <s v="Queen of the Damned "/>
    <s v="English"/>
    <x v="8"/>
    <n v="35000000"/>
    <x v="20"/>
    <n v="5.2"/>
  </r>
  <r>
    <n v="103"/>
    <n v="30669413"/>
    <s v="Predator 2 "/>
    <s v="English"/>
    <x v="8"/>
    <n v="35000000"/>
    <x v="25"/>
    <n v="6.2"/>
  </r>
  <r>
    <n v="101"/>
    <n v="28687835"/>
    <s v="Untraceable "/>
    <s v="English"/>
    <x v="8"/>
    <n v="35000000"/>
    <x v="7"/>
    <n v="6.2"/>
  </r>
  <r>
    <n v="112"/>
    <n v="26494611"/>
    <s v="Blast from the Past "/>
    <s v="English"/>
    <x v="8"/>
    <n v="35000000"/>
    <x v="5"/>
    <n v="6.6"/>
  </r>
  <r>
    <n v="102"/>
    <n v="25266129"/>
    <s v="Jersey Girl "/>
    <s v="English"/>
    <x v="8"/>
    <n v="35000000"/>
    <x v="3"/>
    <n v="6.2"/>
  </r>
  <r>
    <n v="101"/>
    <n v="25863915"/>
    <s v="Alex Cross "/>
    <s v="English"/>
    <x v="8"/>
    <n v="35000000"/>
    <x v="10"/>
    <n v="5.0999999999999996"/>
  </r>
  <r>
    <n v="109"/>
    <n v="28995450"/>
    <s v="Nanny McPhee Returns "/>
    <s v="English"/>
    <x v="9"/>
    <n v="35000000"/>
    <x v="11"/>
    <n v="6.1"/>
  </r>
  <r>
    <n v="140"/>
    <n v="24276500"/>
    <s v="Hoffa "/>
    <s v="English"/>
    <x v="8"/>
    <n v="35000000"/>
    <x v="26"/>
    <n v="6.6"/>
  </r>
  <r>
    <n v="96"/>
    <n v="22913677"/>
    <s v="Ella Enchanted "/>
    <s v="English"/>
    <x v="8"/>
    <n v="35000000"/>
    <x v="3"/>
    <n v="6.3"/>
  </r>
  <r>
    <n v="123"/>
    <n v="34531832"/>
    <s v="Concussion "/>
    <s v="English"/>
    <x v="9"/>
    <n v="35000000"/>
    <x v="12"/>
    <n v="7.1"/>
  </r>
  <r>
    <n v="106"/>
    <n v="28064226"/>
    <s v="Abduction "/>
    <s v="English"/>
    <x v="8"/>
    <n v="35000000"/>
    <x v="15"/>
    <n v="5"/>
  </r>
  <r>
    <n v="76"/>
    <n v="19447478"/>
    <s v="Valiant "/>
    <s v="English"/>
    <x v="9"/>
    <n v="35000000"/>
    <x v="1"/>
    <n v="5.6"/>
  </r>
  <r>
    <n v="82"/>
    <n v="25871834"/>
    <s v="Superhero Movie "/>
    <s v="English"/>
    <x v="8"/>
    <n v="35000000"/>
    <x v="7"/>
    <n v="4.5"/>
  </r>
  <r>
    <n v="109"/>
    <n v="19692608"/>
    <s v="Broken City "/>
    <s v="English"/>
    <x v="8"/>
    <n v="35000000"/>
    <x v="17"/>
    <n v="6.2"/>
  </r>
  <r>
    <n v="99"/>
    <n v="19294901"/>
    <s v="Cursed "/>
    <s v="English"/>
    <x v="8"/>
    <n v="35000000"/>
    <x v="1"/>
    <n v="5"/>
  </r>
  <r>
    <n v="91"/>
    <n v="20275446"/>
    <s v="Premium Rush "/>
    <s v="English"/>
    <x v="8"/>
    <n v="35000000"/>
    <x v="10"/>
    <n v="6.5"/>
  </r>
  <r>
    <n v="87"/>
    <n v="34507079"/>
    <s v="Hot Pursuit "/>
    <s v="English"/>
    <x v="8"/>
    <n v="35000000"/>
    <x v="12"/>
    <n v="5.0999999999999996"/>
  </r>
  <r>
    <n v="125"/>
    <n v="18306166"/>
    <s v="The Four Feathers "/>
    <s v="English"/>
    <x v="9"/>
    <n v="35000000"/>
    <x v="20"/>
    <n v="6.5"/>
  </r>
  <r>
    <n v="118"/>
    <n v="17609982"/>
    <s v="Parker "/>
    <s v="English"/>
    <x v="8"/>
    <n v="35000000"/>
    <x v="17"/>
    <n v="6.2"/>
  </r>
  <r>
    <n v="92"/>
    <n v="17596256"/>
    <s v="Furry Vengeance "/>
    <s v="English"/>
    <x v="8"/>
    <n v="35000000"/>
    <x v="11"/>
    <n v="3.8"/>
  </r>
  <r>
    <n v="92"/>
    <n v="14998070"/>
    <s v="Lions for Lambs "/>
    <s v="English"/>
    <x v="8"/>
    <n v="35000000"/>
    <x v="9"/>
    <n v="6.2"/>
  </r>
  <r>
    <n v="115"/>
    <n v="14587732"/>
    <s v="Flight of the Intruder "/>
    <s v="English"/>
    <x v="8"/>
    <n v="35000000"/>
    <x v="23"/>
    <n v="5.7"/>
  </r>
  <r>
    <n v="120"/>
    <n v="18317151"/>
    <s v="Walk Hard: The Dewey Cox Story "/>
    <s v="English"/>
    <x v="8"/>
    <n v="35000000"/>
    <x v="9"/>
    <n v="6.7"/>
  </r>
  <r>
    <n v="111"/>
    <n v="11405825"/>
    <s v="The Shipping News "/>
    <s v="English"/>
    <x v="8"/>
    <n v="35000000"/>
    <x v="8"/>
    <n v="6.8"/>
  </r>
  <r>
    <n v="94"/>
    <n v="13264986"/>
    <s v="American Outlaws "/>
    <s v="English"/>
    <x v="8"/>
    <n v="35000000"/>
    <x v="8"/>
    <n v="6"/>
  </r>
  <r>
    <n v="100"/>
    <n v="10991381"/>
    <s v="The Young Victoria "/>
    <s v="English"/>
    <x v="9"/>
    <n v="35000000"/>
    <x v="13"/>
    <n v="7.3"/>
  </r>
  <r>
    <n v="101"/>
    <n v="10268846"/>
    <s v="Whiteout "/>
    <s v="English"/>
    <x v="8"/>
    <n v="35000000"/>
    <x v="13"/>
    <n v="5.5"/>
  </r>
  <r>
    <n v="91"/>
    <n v="10076136"/>
    <s v="Knock Off "/>
    <s v="English"/>
    <x v="19"/>
    <n v="35000000"/>
    <x v="6"/>
    <n v="4.8"/>
  </r>
  <r>
    <n v="109"/>
    <n v="10499968"/>
    <s v="Sabotage "/>
    <s v="English"/>
    <x v="8"/>
    <n v="35000000"/>
    <x v="16"/>
    <n v="5.7"/>
  </r>
  <r>
    <n v="103"/>
    <n v="7948159"/>
    <s v="Punisher: War Zone "/>
    <s v="English"/>
    <x v="8"/>
    <n v="35000000"/>
    <x v="7"/>
    <n v="6"/>
  </r>
  <r>
    <n v="83"/>
    <n v="11631245"/>
    <s v="Zoom "/>
    <s v="English"/>
    <x v="8"/>
    <n v="35000000"/>
    <x v="0"/>
    <n v="4.2"/>
  </r>
  <r>
    <n v="123"/>
    <n v="10137502"/>
    <s v="The Walk "/>
    <s v="English"/>
    <x v="8"/>
    <n v="35000000"/>
    <x v="12"/>
    <n v="7.4"/>
  </r>
  <r>
    <n v="101"/>
    <n v="6448817"/>
    <s v="Warriors of Virtue "/>
    <s v="English"/>
    <x v="8"/>
    <n v="35000000"/>
    <x v="2"/>
    <n v="4.5999999999999996"/>
  </r>
  <r>
    <n v="117"/>
    <n v="7458269"/>
    <s v="A Good Year "/>
    <s v="English"/>
    <x v="8"/>
    <n v="35000000"/>
    <x v="0"/>
    <n v="6.9"/>
  </r>
  <r>
    <n v="114"/>
    <n v="4651977"/>
    <s v="Radio Flyer "/>
    <s v="English"/>
    <x v="8"/>
    <n v="35000000"/>
    <x v="26"/>
    <n v="6.9"/>
  </r>
  <r>
    <n v="330"/>
    <n v="4496583"/>
    <s v="Blood In, Blood Out "/>
    <s v="English"/>
    <x v="8"/>
    <n v="35000000"/>
    <x v="27"/>
    <n v="8"/>
  </r>
  <r>
    <n v="121"/>
    <n v="2221994"/>
    <s v="Smilla's Sense of Snow "/>
    <s v="English"/>
    <x v="18"/>
    <n v="35000000"/>
    <x v="2"/>
    <n v="6.4"/>
  </r>
  <r>
    <n v="114"/>
    <n v="6592103"/>
    <s v="Femme Fatale "/>
    <s v="English"/>
    <x v="7"/>
    <n v="35000000"/>
    <x v="20"/>
    <n v="6.3"/>
  </r>
  <r>
    <n v="148"/>
    <n v="630779"/>
    <s v="Ride with the Devil "/>
    <s v="English"/>
    <x v="8"/>
    <n v="35000000"/>
    <x v="5"/>
    <n v="6.8"/>
  </r>
  <r>
    <n v="91"/>
    <n v="10214013"/>
    <s v="Unfinished Business "/>
    <s v="English"/>
    <x v="8"/>
    <n v="35000000"/>
    <x v="12"/>
    <n v="5.4"/>
  </r>
  <r>
    <n v="96"/>
    <n v="10139254"/>
    <s v="The Fountain "/>
    <s v="English"/>
    <x v="8"/>
    <n v="35000000"/>
    <x v="0"/>
    <n v="7.3"/>
  </r>
  <r>
    <n v="96"/>
    <n v="183125"/>
    <s v="Stolen "/>
    <s v="English"/>
    <x v="8"/>
    <n v="35000000"/>
    <x v="10"/>
    <n v="5.5"/>
  </r>
  <r>
    <n v="105"/>
    <n v="13101142"/>
    <s v="Playing for Keeps "/>
    <s v="English"/>
    <x v="8"/>
    <n v="35000000"/>
    <x v="10"/>
    <n v="5.7"/>
  </r>
  <r>
    <n v="141"/>
    <n v="8324748"/>
    <s v="Mandela: Long Walk to Freedom "/>
    <s v="English"/>
    <x v="9"/>
    <n v="35000000"/>
    <x v="17"/>
    <n v="7.1"/>
  </r>
  <r>
    <n v="99"/>
    <n v="81150692"/>
    <s v="Snow Dogs "/>
    <s v="English"/>
    <x v="11"/>
    <n v="35000000"/>
    <x v="20"/>
    <n v="5.0999999999999996"/>
  </r>
  <r>
    <n v="89"/>
    <n v="21784432"/>
    <s v="The Big Wedding "/>
    <s v="English"/>
    <x v="8"/>
    <n v="35000000"/>
    <x v="17"/>
    <n v="5.6"/>
  </r>
  <r>
    <n v="107"/>
    <n v="10956379"/>
    <s v="Dragon Wars: D-War "/>
    <s v="English"/>
    <x v="0"/>
    <n v="35000000"/>
    <x v="9"/>
    <n v="3.6"/>
  </r>
  <r>
    <n v="98"/>
    <n v="66359959"/>
    <s v="Warm Bodies "/>
    <s v="English"/>
    <x v="8"/>
    <n v="35000000"/>
    <x v="17"/>
    <n v="6.9"/>
  </r>
  <r>
    <n v="105"/>
    <n v="20422207"/>
    <s v="Little Black Book "/>
    <s v="English"/>
    <x v="8"/>
    <n v="35000000"/>
    <x v="3"/>
    <n v="5.2"/>
  </r>
  <r>
    <n v="133"/>
    <n v="21129348"/>
    <s v="The Next Three Days "/>
    <s v="English"/>
    <x v="8"/>
    <n v="35000000"/>
    <x v="11"/>
    <n v="7.4"/>
  </r>
  <r>
    <n v="126"/>
    <n v="18324242"/>
    <s v="North Country "/>
    <s v="English"/>
    <x v="8"/>
    <n v="35000000"/>
    <x v="1"/>
    <n v="7.3"/>
  </r>
  <r>
    <n v="110"/>
    <n v="16295774"/>
    <s v="Howard the Duck "/>
    <s v="English"/>
    <x v="8"/>
    <n v="35000000"/>
    <x v="34"/>
    <n v="4.5999999999999996"/>
  </r>
  <r>
    <n v="122"/>
    <n v="18593156"/>
    <s v="Frost/Nixon "/>
    <s v="English"/>
    <x v="8"/>
    <n v="35000000"/>
    <x v="7"/>
    <n v="7.7"/>
  </r>
  <r>
    <n v="103"/>
    <n v="60400856"/>
    <s v="The Wedding Planner "/>
    <s v="English"/>
    <x v="12"/>
    <n v="35000000"/>
    <x v="8"/>
    <n v="5.2"/>
  </r>
  <r>
    <n v="114"/>
    <n v="42168445"/>
    <s v="Welcome Home, Roscoe Jenkins "/>
    <s v="English"/>
    <x v="8"/>
    <n v="35000000"/>
    <x v="7"/>
    <n v="5.3"/>
  </r>
  <r>
    <n v="135"/>
    <n v="70960517"/>
    <s v="The Bridges of Madison County "/>
    <s v="English"/>
    <x v="8"/>
    <n v="35000000"/>
    <x v="19"/>
    <n v="7.5"/>
  </r>
  <r>
    <n v="114"/>
    <n v="69700000"/>
    <s v="The Best Little Whorehouse in Texas "/>
    <s v="English"/>
    <x v="8"/>
    <n v="35000000"/>
    <x v="37"/>
    <n v="5.8"/>
  </r>
  <r>
    <n v="108"/>
    <n v="81257845"/>
    <s v="School of Rock "/>
    <s v="English"/>
    <x v="8"/>
    <n v="35000000"/>
    <x v="18"/>
    <n v="7.1"/>
  </r>
  <r>
    <n v="91"/>
    <n v="30079316"/>
    <s v="Ghost Ship "/>
    <s v="English"/>
    <x v="8"/>
    <n v="35000000"/>
    <x v="20"/>
    <n v="5.5"/>
  </r>
  <r>
    <n v="88"/>
    <n v="16988996"/>
    <s v="The Country Bears "/>
    <s v="English"/>
    <x v="8"/>
    <n v="35000000"/>
    <x v="20"/>
    <n v="4"/>
  </r>
  <r>
    <n v="94"/>
    <n v="33357476"/>
    <s v="See Spot Run "/>
    <s v="English"/>
    <x v="8"/>
    <n v="35000000"/>
    <x v="8"/>
    <n v="5.4"/>
  </r>
  <r>
    <n v="110"/>
    <n v="49413"/>
    <s v="Exiled "/>
    <s v="Cantonese"/>
    <x v="15"/>
    <n v="35000000"/>
    <x v="0"/>
    <n v="7.3"/>
  </r>
  <r>
    <n v="101"/>
    <n v="80276912"/>
    <s v="What Happens in Vegas "/>
    <s v="English"/>
    <x v="8"/>
    <n v="35000000"/>
    <x v="7"/>
    <n v="6.1"/>
  </r>
  <r>
    <n v="109"/>
    <n v="10499968"/>
    <s v="Sabotage "/>
    <s v="English"/>
    <x v="8"/>
    <n v="35000000"/>
    <x v="16"/>
    <n v="5.7"/>
  </r>
  <r>
    <n v="93"/>
    <n v="163479795"/>
    <s v="Big Daddy "/>
    <s v="English"/>
    <x v="8"/>
    <n v="34200000"/>
    <x v="5"/>
    <n v="6.4"/>
  </r>
  <r>
    <n v="123"/>
    <n v="66808615"/>
    <s v="The Mexican "/>
    <s v="English"/>
    <x v="8"/>
    <n v="34000000"/>
    <x v="8"/>
    <n v="6.1"/>
  </r>
  <r>
    <n v="124"/>
    <n v="23360779"/>
    <s v="Reindeer Games "/>
    <s v="English"/>
    <x v="8"/>
    <n v="34000000"/>
    <x v="21"/>
    <n v="5.7"/>
  </r>
  <r>
    <n v="87"/>
    <n v="54132596"/>
    <s v="TMNT "/>
    <s v="English"/>
    <x v="15"/>
    <n v="34000000"/>
    <x v="9"/>
    <n v="6.3"/>
  </r>
  <r>
    <n v="113"/>
    <n v="102413606"/>
    <s v="The Maze Runner "/>
    <s v="English"/>
    <x v="8"/>
    <n v="34000000"/>
    <x v="16"/>
    <n v="6.8"/>
  </r>
  <r>
    <n v="102"/>
    <n v="11227940"/>
    <s v="Chill Factor "/>
    <s v="English"/>
    <x v="8"/>
    <n v="34000000"/>
    <x v="5"/>
    <n v="5.2"/>
  </r>
  <r>
    <n v="101"/>
    <n v="15081783"/>
    <s v="Ponyo "/>
    <s v="Japanese"/>
    <x v="2"/>
    <n v="34000000"/>
    <x v="7"/>
    <n v="7.7"/>
  </r>
  <r>
    <n v="128"/>
    <n v="37432299"/>
    <s v="The Longest Ride "/>
    <s v="English"/>
    <x v="8"/>
    <n v="34000000"/>
    <x v="12"/>
    <n v="7.1"/>
  </r>
  <r>
    <n v="109"/>
    <n v="10654581"/>
    <s v="The Astronaut's Wife "/>
    <s v="English"/>
    <x v="8"/>
    <n v="34000000"/>
    <x v="5"/>
    <n v="5.3"/>
  </r>
  <r>
    <n v="114"/>
    <n v="6543194"/>
    <s v="I Dreamed of Africa "/>
    <s v="English"/>
    <x v="8"/>
    <n v="34000000"/>
    <x v="21"/>
    <n v="5.6"/>
  </r>
  <r>
    <n v="85"/>
    <n v="4091"/>
    <s v="Thunder and the House of Magic "/>
    <s v="English"/>
    <x v="20"/>
    <n v="34000000"/>
    <x v="17"/>
    <n v="6.3"/>
  </r>
  <r>
    <n v="126"/>
    <n v="62700000"/>
    <s v="Moonraker "/>
    <s v="English"/>
    <x v="9"/>
    <n v="34000000"/>
    <x v="36"/>
    <n v="6.3"/>
  </r>
  <r>
    <n v="108"/>
    <n v="19693891"/>
    <s v="Summer Catch "/>
    <s v="English"/>
    <x v="8"/>
    <n v="34000000"/>
    <x v="8"/>
    <n v="4.9000000000000004"/>
  </r>
  <r>
    <n v="109"/>
    <n v="10654581"/>
    <s v="The Astronaut's Wife "/>
    <s v="English"/>
    <x v="8"/>
    <n v="34000000"/>
    <x v="5"/>
    <n v="5.3"/>
  </r>
  <r>
    <n v="108"/>
    <n v="10326062"/>
    <s v="Pandorum "/>
    <s v="English"/>
    <x v="12"/>
    <n v="33000000"/>
    <x v="13"/>
    <n v="6.8"/>
  </r>
  <r>
    <n v="95"/>
    <n v="205399422"/>
    <s v="Austin Powers: The Spy Who Shagged Me "/>
    <s v="English"/>
    <x v="8"/>
    <n v="33000000"/>
    <x v="5"/>
    <n v="6.6"/>
  </r>
  <r>
    <n v="109"/>
    <n v="61280963"/>
    <s v="The Cell "/>
    <s v="English"/>
    <x v="8"/>
    <n v="33000000"/>
    <x v="21"/>
    <n v="6.3"/>
  </r>
  <r>
    <n v="202"/>
    <n v="48169908"/>
    <s v="Malcolm X "/>
    <s v="English"/>
    <x v="8"/>
    <n v="33000000"/>
    <x v="26"/>
    <n v="7.7"/>
  </r>
  <r>
    <n v="75"/>
    <n v="57651794"/>
    <s v="The Benchwarmers "/>
    <s v="English"/>
    <x v="8"/>
    <n v="33000000"/>
    <x v="0"/>
    <n v="5.6"/>
  </r>
  <r>
    <n v="100"/>
    <n v="39532308"/>
    <s v="Resident Evil "/>
    <s v="English"/>
    <x v="9"/>
    <n v="33000000"/>
    <x v="20"/>
    <n v="6.7"/>
  </r>
  <r>
    <n v="101"/>
    <n v="51758599"/>
    <s v="Exit Wounds "/>
    <s v="English"/>
    <x v="8"/>
    <n v="33000000"/>
    <x v="8"/>
    <n v="5.5"/>
  </r>
  <r>
    <n v="99"/>
    <n v="35057332"/>
    <s v="Step Up Revolution "/>
    <s v="English"/>
    <x v="8"/>
    <n v="33000000"/>
    <x v="10"/>
    <n v="6.5"/>
  </r>
  <r>
    <n v="105"/>
    <n v="34014398"/>
    <s v="Snakes on a Plane "/>
    <s v="English"/>
    <x v="12"/>
    <n v="33000000"/>
    <x v="0"/>
    <n v="5.6"/>
  </r>
  <r>
    <n v="97"/>
    <n v="28927720"/>
    <s v="The Watcher "/>
    <s v="English"/>
    <x v="8"/>
    <n v="33000000"/>
    <x v="21"/>
    <n v="5.3"/>
  </r>
  <r>
    <n v="140"/>
    <n v="33682273"/>
    <s v="The Punisher "/>
    <s v="English"/>
    <x v="8"/>
    <n v="33000000"/>
    <x v="3"/>
    <n v="6.5"/>
  </r>
  <r>
    <n v="97"/>
    <n v="173381405"/>
    <s v="Elf "/>
    <s v="English"/>
    <x v="8"/>
    <n v="33000000"/>
    <x v="18"/>
    <n v="6.9"/>
  </r>
  <r>
    <n v="105"/>
    <n v="99462"/>
    <s v="The Young and Prodigious T.S. Spivet "/>
    <s v="English"/>
    <x v="7"/>
    <n v="33000000"/>
    <x v="17"/>
    <n v="7.1"/>
  </r>
  <r>
    <n v="127"/>
    <n v="100125340"/>
    <s v="Se7en "/>
    <s v="English"/>
    <x v="8"/>
    <n v="33000000"/>
    <x v="19"/>
    <n v="8.6"/>
  </r>
  <r>
    <n v="116"/>
    <n v="148085755"/>
    <s v="Gran Torino "/>
    <s v="English"/>
    <x v="8"/>
    <n v="33000000"/>
    <x v="7"/>
    <n v="8.1999999999999993"/>
  </r>
  <r>
    <n v="105"/>
    <n v="34014398"/>
    <s v="Snakes on a Plane "/>
    <s v="English"/>
    <x v="12"/>
    <n v="33000000"/>
    <x v="0"/>
    <n v="5.6"/>
  </r>
  <r>
    <n v="105"/>
    <n v="132541238"/>
    <s v="Bringing Down the House "/>
    <s v="English"/>
    <x v="8"/>
    <n v="33000000"/>
    <x v="18"/>
    <n v="5.5"/>
  </r>
  <r>
    <n v="83"/>
    <n v="8326035"/>
    <s v="The Man "/>
    <s v="English"/>
    <x v="12"/>
    <n v="33000000"/>
    <x v="1"/>
    <n v="5.5"/>
  </r>
  <r>
    <n v="134"/>
    <n v="309125409"/>
    <s v="Star Wars: Episode VI - Return of the Jedi "/>
    <s v="English"/>
    <x v="8"/>
    <n v="32500000"/>
    <x v="35"/>
    <n v="8.4"/>
  </r>
  <r>
    <n v="131"/>
    <n v="169076745"/>
    <s v="Bridesmaids "/>
    <s v="English"/>
    <x v="8"/>
    <n v="32500000"/>
    <x v="15"/>
    <n v="6.8"/>
  </r>
  <r>
    <n v="119"/>
    <n v="35228696"/>
    <s v="The Mothman Prophecies "/>
    <s v="English"/>
    <x v="8"/>
    <n v="32000000"/>
    <x v="20"/>
    <n v="6.5"/>
  </r>
  <r>
    <n v="133"/>
    <n v="34667015"/>
    <s v="Licence to Kill "/>
    <s v="English"/>
    <x v="9"/>
    <n v="32000000"/>
    <x v="28"/>
    <n v="6.6"/>
  </r>
  <r>
    <n v="144"/>
    <n v="16377274"/>
    <s v="The Master "/>
    <s v="English"/>
    <x v="8"/>
    <n v="32000000"/>
    <x v="10"/>
    <n v="7.1"/>
  </r>
  <r>
    <n v="139"/>
    <n v="13303319"/>
    <s v="The Tree of Life "/>
    <s v="English"/>
    <x v="8"/>
    <n v="32000000"/>
    <x v="15"/>
    <n v="6.7"/>
  </r>
  <r>
    <n v="124"/>
    <n v="34180954"/>
    <s v="The Reader "/>
    <s v="English"/>
    <x v="8"/>
    <n v="32000000"/>
    <x v="7"/>
    <n v="7.6"/>
  </r>
  <r>
    <n v="123"/>
    <n v="104632573"/>
    <s v="Phenomenon "/>
    <s v="English"/>
    <x v="8"/>
    <n v="32000000"/>
    <x v="24"/>
    <n v="6.4"/>
  </r>
  <r>
    <n v="101"/>
    <n v="60328558"/>
    <s v="Scrooged "/>
    <s v="English"/>
    <x v="8"/>
    <n v="32000000"/>
    <x v="4"/>
    <n v="7"/>
  </r>
  <r>
    <n v="92"/>
    <n v="80197993"/>
    <s v="Nacho Libre "/>
    <s v="English"/>
    <x v="12"/>
    <n v="32000000"/>
    <x v="0"/>
    <n v="5.7"/>
  </r>
  <r>
    <n v="107"/>
    <n v="101470202"/>
    <s v="This Is the End "/>
    <s v="English"/>
    <x v="8"/>
    <n v="32000000"/>
    <x v="17"/>
    <n v="6.7"/>
  </r>
  <r>
    <n v="129"/>
    <n v="48814909"/>
    <s v="Men of Honor "/>
    <s v="English"/>
    <x v="8"/>
    <n v="32000000"/>
    <x v="21"/>
    <n v="7.2"/>
  </r>
  <r>
    <n v="113"/>
    <n v="37911876"/>
    <s v="Big Mommas: Like Father, Like Son "/>
    <s v="English"/>
    <x v="8"/>
    <n v="32000000"/>
    <x v="15"/>
    <n v="4.4000000000000004"/>
  </r>
  <r>
    <n v="93"/>
    <n v="54696902"/>
    <s v="Source Code "/>
    <s v="English"/>
    <x v="8"/>
    <n v="32000000"/>
    <x v="15"/>
    <n v="7.5"/>
  </r>
  <r>
    <n v="120"/>
    <n v="36733909"/>
    <s v="Alive "/>
    <s v="English"/>
    <x v="8"/>
    <n v="32000000"/>
    <x v="27"/>
    <n v="7.1"/>
  </r>
  <r>
    <n v="98"/>
    <n v="35063732"/>
    <s v="The Number 23 "/>
    <s v="English"/>
    <x v="8"/>
    <n v="32000000"/>
    <x v="9"/>
    <n v="6.4"/>
  </r>
  <r>
    <n v="98"/>
    <n v="32701088"/>
    <s v="Dreamer: Inspired by a True Story "/>
    <s v="English"/>
    <x v="8"/>
    <n v="32000000"/>
    <x v="1"/>
    <n v="6.9"/>
  </r>
  <r>
    <n v="96"/>
    <n v="31493782"/>
    <s v="A History of Violence "/>
    <s v="English"/>
    <x v="8"/>
    <n v="32000000"/>
    <x v="1"/>
    <n v="7.5"/>
  </r>
  <r>
    <n v="87"/>
    <n v="43095600"/>
    <s v="Transporter 2 "/>
    <s v="English"/>
    <x v="7"/>
    <n v="32000000"/>
    <x v="1"/>
    <n v="6.3"/>
  </r>
  <r>
    <n v="107"/>
    <n v="18636537"/>
    <s v="The Quick and the Dead "/>
    <s v="English"/>
    <x v="2"/>
    <n v="32000000"/>
    <x v="19"/>
    <n v="6.4"/>
  </r>
  <r>
    <n v="119"/>
    <n v="13763130"/>
    <s v="Repo Men "/>
    <s v="English"/>
    <x v="8"/>
    <n v="32000000"/>
    <x v="11"/>
    <n v="6.3"/>
  </r>
  <r>
    <n v="75"/>
    <n v="3562749"/>
    <s v="Cats Don't Dance "/>
    <s v="English"/>
    <x v="8"/>
    <n v="32000000"/>
    <x v="2"/>
    <n v="6.9"/>
  </r>
  <r>
    <n v="132"/>
    <n v="2899970"/>
    <s v="Cradle Will Rock "/>
    <s v="English"/>
    <x v="8"/>
    <n v="32000000"/>
    <x v="5"/>
    <n v="6.9"/>
  </r>
  <r>
    <n v="105"/>
    <n v="1304837"/>
    <s v="The Good German "/>
    <s v="English"/>
    <x v="8"/>
    <n v="32000000"/>
    <x v="0"/>
    <n v="6.1"/>
  </r>
  <r>
    <n v="102"/>
    <n v="17797316"/>
    <s v="Going the Distance "/>
    <s v="English"/>
    <x v="8"/>
    <n v="32000000"/>
    <x v="11"/>
    <n v="6.3"/>
  </r>
  <r>
    <n v="113"/>
    <n v="39568996"/>
    <s v="30 Days of Night "/>
    <s v="English"/>
    <x v="8"/>
    <n v="32000000"/>
    <x v="9"/>
    <n v="6.6"/>
  </r>
  <r>
    <n v="95"/>
    <n v="82301521"/>
    <s v="Are We There Yet? "/>
    <s v="English"/>
    <x v="8"/>
    <n v="32000000"/>
    <x v="1"/>
    <n v="4.5999999999999996"/>
  </r>
  <r>
    <n v="289"/>
    <n v="78800000"/>
    <s v="Apocalypse Now "/>
    <s v="English"/>
    <x v="8"/>
    <n v="31500000"/>
    <x v="36"/>
    <n v="8.5"/>
  </r>
  <r>
    <n v="113"/>
    <n v="14268533"/>
    <s v="Criminal "/>
    <s v="English"/>
    <x v="9"/>
    <n v="31500000"/>
    <x v="14"/>
    <n v="6.3"/>
  </r>
  <r>
    <n v="251"/>
    <n v="57750000"/>
    <s v="Cleopatra "/>
    <s v="English"/>
    <x v="9"/>
    <n v="31115000"/>
    <x v="38"/>
    <n v="7"/>
  </r>
  <r>
    <n v="80"/>
    <n v="84961"/>
    <s v="Hero "/>
    <s v="Mandarin"/>
    <x v="5"/>
    <n v="31000000"/>
    <x v="20"/>
    <n v="7.9"/>
  </r>
  <r>
    <n v="98"/>
    <n v="16831505"/>
    <s v="Wimbledon "/>
    <s v="English"/>
    <x v="9"/>
    <n v="31000000"/>
    <x v="3"/>
    <n v="6.3"/>
  </r>
  <r>
    <n v="161"/>
    <n v="87100000"/>
    <s v="Out of Africa "/>
    <s v="English"/>
    <x v="8"/>
    <n v="31000000"/>
    <x v="33"/>
    <n v="7.2"/>
  </r>
  <r>
    <n v="138"/>
    <n v="93749203"/>
    <s v="Flight "/>
    <s v="English"/>
    <x v="8"/>
    <n v="31000000"/>
    <x v="10"/>
    <n v="7.3"/>
  </r>
  <r>
    <n v="101"/>
    <n v="24185781"/>
    <s v="Hearts in Atlantis "/>
    <s v="English"/>
    <x v="8"/>
    <n v="31000000"/>
    <x v="8"/>
    <n v="6.9"/>
  </r>
  <r>
    <n v="103"/>
    <n v="53133888"/>
    <s v="Arachnophobia "/>
    <s v="English"/>
    <x v="8"/>
    <n v="31000000"/>
    <x v="25"/>
    <n v="6.3"/>
  </r>
  <r>
    <n v="118"/>
    <n v="44983704"/>
    <s v="Frequency "/>
    <s v="English"/>
    <x v="8"/>
    <n v="31000000"/>
    <x v="21"/>
    <n v="7.3"/>
  </r>
  <r>
    <n v="99"/>
    <n v="58879132"/>
    <s v="Vacation "/>
    <s v="English"/>
    <x v="8"/>
    <n v="31000000"/>
    <x v="12"/>
    <n v="6.1"/>
  </r>
  <r>
    <n v="106"/>
    <n v="11854694"/>
    <s v="Extraordinary Measures "/>
    <s v="English"/>
    <x v="8"/>
    <n v="31000000"/>
    <x v="11"/>
    <n v="6.5"/>
  </r>
  <r>
    <n v="115"/>
    <n v="2840417"/>
    <s v="eXistenZ "/>
    <s v="English"/>
    <x v="11"/>
    <n v="31000000"/>
    <x v="5"/>
    <n v="6.8"/>
  </r>
  <r>
    <n v="80"/>
    <n v="84961"/>
    <s v="Hero "/>
    <s v="Mandarin"/>
    <x v="5"/>
    <n v="31000000"/>
    <x v="20"/>
    <n v="7.9"/>
  </r>
  <r>
    <n v="100"/>
    <n v="1196752"/>
    <s v="Headhunters "/>
    <s v="Norwegian"/>
    <x v="21"/>
    <n v="30300000"/>
    <x v="15"/>
    <n v="7.6"/>
  </r>
  <r>
    <n v="105"/>
    <n v="72077000"/>
    <s v="Get Shorty "/>
    <s v="English"/>
    <x v="8"/>
    <n v="30250000"/>
    <x v="19"/>
    <n v="6.9"/>
  </r>
  <r>
    <n v="103"/>
    <n v="25472967"/>
    <s v="Dark Water "/>
    <s v="English"/>
    <x v="8"/>
    <n v="30000000"/>
    <x v="1"/>
    <n v="5.6"/>
  </r>
  <r>
    <n v="111"/>
    <n v="70098138"/>
    <s v="Kill Bill: Vol. 1 "/>
    <s v="English"/>
    <x v="8"/>
    <n v="30000000"/>
    <x v="18"/>
    <n v="8.1"/>
  </r>
  <r>
    <n v="137"/>
    <n v="66207920"/>
    <s v="Kill Bill: Vol. 2 "/>
    <s v="English"/>
    <x v="8"/>
    <n v="30000000"/>
    <x v="3"/>
    <n v="8"/>
  </r>
  <r>
    <n v="136"/>
    <n v="67253092"/>
    <s v="Coach Carter "/>
    <s v="English"/>
    <x v="8"/>
    <n v="30000000"/>
    <x v="1"/>
    <n v="7.2"/>
  </r>
  <r>
    <n v="113"/>
    <n v="61094903"/>
    <s v="Unknown "/>
    <s v="English"/>
    <x v="9"/>
    <n v="30000000"/>
    <x v="15"/>
    <n v="6.9"/>
  </r>
  <r>
    <n v="130"/>
    <n v="51185897"/>
    <s v="The Living Daylights "/>
    <s v="English"/>
    <x v="9"/>
    <n v="30000000"/>
    <x v="32"/>
    <n v="6.7"/>
  </r>
  <r>
    <n v="104"/>
    <n v="42071069"/>
    <s v="Fever Pitch "/>
    <s v="English"/>
    <x v="8"/>
    <n v="30000000"/>
    <x v="1"/>
    <n v="6.2"/>
  </r>
  <r>
    <n v="91"/>
    <n v="14018364"/>
    <s v="New York Minute "/>
    <s v="English"/>
    <x v="8"/>
    <n v="30000000"/>
    <x v="3"/>
    <n v="4.8"/>
  </r>
  <r>
    <n v="111"/>
    <n v="2869369"/>
    <s v="The Hudsucker Proxy "/>
    <s v="English"/>
    <x v="9"/>
    <n v="30000000"/>
    <x v="22"/>
    <n v="7.3"/>
  </r>
  <r>
    <n v="94"/>
    <n v="71038190"/>
    <s v="Paul Blart: Mall Cop 2 "/>
    <s v="English"/>
    <x v="8"/>
    <n v="30000000"/>
    <x v="12"/>
    <n v="4.4000000000000004"/>
  </r>
  <r>
    <n v="98"/>
    <n v="43894863"/>
    <s v="Must Love Dogs "/>
    <s v="English"/>
    <x v="8"/>
    <n v="30000000"/>
    <x v="1"/>
    <n v="5.9"/>
  </r>
  <r>
    <n v="101"/>
    <n v="37617947"/>
    <s v="The Nativity Story "/>
    <s v="English"/>
    <x v="8"/>
    <n v="30000000"/>
    <x v="0"/>
    <n v="6.8"/>
  </r>
  <r>
    <n v="108"/>
    <n v="32048809"/>
    <s v="House of Wax "/>
    <s v="English"/>
    <x v="13"/>
    <n v="30000000"/>
    <x v="1"/>
    <n v="5.3"/>
  </r>
  <r>
    <n v="155"/>
    <n v="25078937"/>
    <s v="Midnight in the Garden of Good and Evil "/>
    <s v="English"/>
    <x v="8"/>
    <n v="30000000"/>
    <x v="2"/>
    <n v="6.6"/>
  </r>
  <r>
    <n v="108"/>
    <n v="20981633"/>
    <s v="The X Files: I Want to Believe "/>
    <s v="English"/>
    <x v="8"/>
    <n v="30000000"/>
    <x v="7"/>
    <n v="5.9"/>
  </r>
  <r>
    <n v="139"/>
    <n v="32000000"/>
    <s v="The Age of Innocence "/>
    <s v="English"/>
    <x v="8"/>
    <n v="30000000"/>
    <x v="27"/>
    <n v="7.2"/>
  </r>
  <r>
    <n v="99"/>
    <n v="117559438"/>
    <s v="Big Momma's House "/>
    <s v="English"/>
    <x v="8"/>
    <n v="30000000"/>
    <x v="21"/>
    <n v="5.0999999999999996"/>
  </r>
  <r>
    <n v="89"/>
    <n v="21426805"/>
    <s v="The Darkest Hour "/>
    <s v="English"/>
    <x v="8"/>
    <n v="30000000"/>
    <x v="15"/>
    <n v="4.9000000000000004"/>
  </r>
  <r>
    <n v="94"/>
    <n v="17120019"/>
    <s v="Safe "/>
    <s v="English"/>
    <x v="8"/>
    <n v="30000000"/>
    <x v="10"/>
    <n v="6.5"/>
  </r>
  <r>
    <n v="113"/>
    <n v="10955425"/>
    <s v="Doomsday "/>
    <s v="English"/>
    <x v="9"/>
    <n v="30000000"/>
    <x v="7"/>
    <n v="6"/>
  </r>
  <r>
    <n v="110"/>
    <n v="4357000"/>
    <s v="Bogus "/>
    <s v="English"/>
    <x v="8"/>
    <n v="30000000"/>
    <x v="24"/>
    <n v="5.3"/>
  </r>
  <r>
    <n v="100"/>
    <n v="22525921"/>
    <s v="The Incredible Burt Wonderstone "/>
    <s v="English"/>
    <x v="8"/>
    <n v="30000000"/>
    <x v="17"/>
    <n v="5.9"/>
  </r>
  <r>
    <n v="108"/>
    <n v="145096820"/>
    <s v="American Pie 2 "/>
    <s v="English"/>
    <x v="8"/>
    <n v="30000000"/>
    <x v="8"/>
    <n v="6.4"/>
  </r>
  <r>
    <n v="74"/>
    <n v="191796233"/>
    <s v="Toy Story "/>
    <s v="English"/>
    <x v="8"/>
    <n v="30000000"/>
    <x v="19"/>
    <n v="8.3000000000000007"/>
  </r>
  <r>
    <n v="104"/>
    <n v="125014030"/>
    <s v="The Vow "/>
    <s v="English"/>
    <x v="8"/>
    <n v="30000000"/>
    <x v="10"/>
    <n v="6.8"/>
  </r>
  <r>
    <n v="120"/>
    <n v="115648585"/>
    <s v="Remember the Titans "/>
    <s v="English"/>
    <x v="8"/>
    <n v="30000000"/>
    <x v="21"/>
    <n v="7.8"/>
  </r>
  <r>
    <n v="135"/>
    <n v="122012643"/>
    <s v="The Hunt for Red October "/>
    <s v="English"/>
    <x v="8"/>
    <n v="30000000"/>
    <x v="25"/>
    <n v="7.6"/>
  </r>
  <r>
    <n v="132"/>
    <n v="116631310"/>
    <s v="Lee Daniels' The Butler "/>
    <s v="English"/>
    <x v="8"/>
    <n v="30000000"/>
    <x v="17"/>
    <n v="7.2"/>
  </r>
  <r>
    <n v="90"/>
    <n v="108360000"/>
    <s v="Ace Ventura: When Nature Calls "/>
    <s v="English"/>
    <x v="8"/>
    <n v="30000000"/>
    <x v="19"/>
    <n v="6.3"/>
  </r>
  <r>
    <n v="112"/>
    <n v="115646235"/>
    <s v="District 9 "/>
    <s v="English"/>
    <x v="22"/>
    <n v="30000000"/>
    <x v="13"/>
    <n v="8"/>
  </r>
  <r>
    <n v="87"/>
    <n v="85416609"/>
    <s v="The SpongeBob SquarePants Movie "/>
    <s v="English"/>
    <x v="8"/>
    <n v="30000000"/>
    <x v="3"/>
    <n v="7"/>
  </r>
  <r>
    <n v="132"/>
    <n v="100422786"/>
    <s v="Million Dollar Baby "/>
    <s v="English"/>
    <x v="8"/>
    <n v="30000000"/>
    <x v="3"/>
    <n v="8.1"/>
  </r>
  <r>
    <n v="103"/>
    <n v="106694016"/>
    <s v="Analyze This "/>
    <s v="English"/>
    <x v="8"/>
    <n v="30000000"/>
    <x v="5"/>
    <n v="6.7"/>
  </r>
  <r>
    <n v="111"/>
    <n v="76806312"/>
    <s v="27 Dresses "/>
    <s v="English"/>
    <x v="8"/>
    <n v="30000000"/>
    <x v="7"/>
    <n v="6.1"/>
  </r>
  <r>
    <n v="102"/>
    <n v="79566871"/>
    <s v="Hannah Montana: The Movie "/>
    <s v="English"/>
    <x v="8"/>
    <n v="30000000"/>
    <x v="13"/>
    <n v="4.2"/>
  </r>
  <r>
    <n v="78"/>
    <n v="76501438"/>
    <s v="Rugrats in Paris: The Movie "/>
    <s v="English"/>
    <x v="12"/>
    <n v="30000000"/>
    <x v="21"/>
    <n v="6.1"/>
  </r>
  <r>
    <n v="132"/>
    <n v="74787599"/>
    <s v="The Prince of Tides "/>
    <s v="English"/>
    <x v="8"/>
    <n v="30000000"/>
    <x v="23"/>
    <n v="6.6"/>
  </r>
  <r>
    <n v="133"/>
    <n v="66528842"/>
    <s v="Legends of the Fall "/>
    <s v="English"/>
    <x v="8"/>
    <n v="30000000"/>
    <x v="22"/>
    <n v="7.5"/>
  </r>
  <r>
    <n v="125"/>
    <n v="65010106"/>
    <s v="About Schmidt "/>
    <s v="English"/>
    <x v="8"/>
    <n v="30000000"/>
    <x v="20"/>
    <n v="7.2"/>
  </r>
  <r>
    <n v="119"/>
    <n v="66468315"/>
    <s v="Looper "/>
    <s v="English"/>
    <x v="8"/>
    <n v="30000000"/>
    <x v="10"/>
    <n v="7.4"/>
  </r>
  <r>
    <n v="87"/>
    <n v="64172251"/>
    <s v="Down to Earth "/>
    <s v="English"/>
    <x v="8"/>
    <n v="30000000"/>
    <x v="8"/>
    <n v="5.4"/>
  </r>
  <r>
    <n v="91"/>
    <n v="66600000"/>
    <s v="Babe "/>
    <s v="English"/>
    <x v="13"/>
    <n v="30000000"/>
    <x v="19"/>
    <n v="6.8"/>
  </r>
  <r>
    <n v="100"/>
    <n v="63536011"/>
    <s v="Hope Springs "/>
    <s v="English"/>
    <x v="8"/>
    <n v="30000000"/>
    <x v="10"/>
    <n v="6.3"/>
  </r>
  <r>
    <n v="118"/>
    <n v="62877175"/>
    <s v="Forgetting Sarah Marshall "/>
    <s v="English"/>
    <x v="8"/>
    <n v="30000000"/>
    <x v="7"/>
    <n v="7.2"/>
  </r>
  <r>
    <n v="99"/>
    <n v="60269340"/>
    <s v="Baby Mama "/>
    <s v="English"/>
    <x v="8"/>
    <n v="30000000"/>
    <x v="7"/>
    <n v="6"/>
  </r>
  <r>
    <n v="114"/>
    <n v="60033780"/>
    <s v="Hope Floats "/>
    <s v="English"/>
    <x v="8"/>
    <n v="30000000"/>
    <x v="6"/>
    <n v="5.9"/>
  </r>
  <r>
    <n v="89"/>
    <n v="58715510"/>
    <s v="Bride Wars "/>
    <s v="English"/>
    <x v="8"/>
    <n v="30000000"/>
    <x v="13"/>
    <n v="5.4"/>
  </r>
  <r>
    <n v="124"/>
    <n v="52937130"/>
    <s v="Blow "/>
    <s v="English"/>
    <x v="8"/>
    <n v="30000000"/>
    <x v="8"/>
    <n v="7.6"/>
  </r>
  <r>
    <n v="99"/>
    <n v="51432423"/>
    <s v="Like Mike "/>
    <s v="English"/>
    <x v="8"/>
    <n v="30000000"/>
    <x v="20"/>
    <n v="5.0999999999999996"/>
  </r>
  <r>
    <n v="83"/>
    <n v="51109400"/>
    <s v="Naked Gun 33 1/3: The Final Insult "/>
    <s v="English"/>
    <x v="8"/>
    <n v="30000000"/>
    <x v="22"/>
    <n v="6.4"/>
  </r>
  <r>
    <n v="131"/>
    <n v="50300000"/>
    <s v="A View to a Kill "/>
    <s v="English"/>
    <x v="9"/>
    <n v="30000000"/>
    <x v="33"/>
    <n v="6.3"/>
  </r>
  <r>
    <n v="85"/>
    <n v="56068547"/>
    <s v="The Curse of the Were-Rabbit "/>
    <s v="English"/>
    <x v="9"/>
    <n v="30000000"/>
    <x v="1"/>
    <n v="7.5"/>
  </r>
  <r>
    <n v="126"/>
    <n v="53680848"/>
    <s v="P.S. I Love You "/>
    <s v="English"/>
    <x v="8"/>
    <n v="30000000"/>
    <x v="9"/>
    <n v="7.1"/>
  </r>
  <r>
    <n v="123"/>
    <n v="50921738"/>
    <s v="Atonement "/>
    <s v="English"/>
    <x v="9"/>
    <n v="30000000"/>
    <x v="9"/>
    <n v="7.8"/>
  </r>
  <r>
    <n v="105"/>
    <n v="53021560"/>
    <s v="Letters to Juliet "/>
    <s v="English"/>
    <x v="8"/>
    <n v="30000000"/>
    <x v="11"/>
    <n v="6.5"/>
  </r>
  <r>
    <n v="125"/>
    <n v="45645204"/>
    <s v="Black Rain "/>
    <s v="English"/>
    <x v="8"/>
    <n v="30000000"/>
    <x v="28"/>
    <n v="6.6"/>
  </r>
  <r>
    <n v="121"/>
    <n v="46875468"/>
    <s v="Sicario "/>
    <s v="English"/>
    <x v="8"/>
    <n v="30000000"/>
    <x v="12"/>
    <n v="7.6"/>
  </r>
  <r>
    <n v="124"/>
    <n v="52418902"/>
    <s v="Southpaw "/>
    <s v="English"/>
    <x v="8"/>
    <n v="30000000"/>
    <x v="12"/>
    <n v="7.5"/>
  </r>
  <r>
    <n v="99"/>
    <n v="42057340"/>
    <s v="Drag Me to Hell "/>
    <s v="English"/>
    <x v="8"/>
    <n v="30000000"/>
    <x v="13"/>
    <n v="6.6"/>
  </r>
  <r>
    <n v="111"/>
    <n v="41407470"/>
    <s v="Secondhand Lions "/>
    <s v="English"/>
    <x v="8"/>
    <n v="30000000"/>
    <x v="18"/>
    <n v="7.6"/>
  </r>
  <r>
    <n v="107"/>
    <n v="42385520"/>
    <s v="Step Up 3D "/>
    <s v="English"/>
    <x v="8"/>
    <n v="30000000"/>
    <x v="11"/>
    <n v="6.2"/>
  </r>
  <r>
    <n v="104"/>
    <n v="40118420"/>
    <s v="Blue Crush "/>
    <s v="English"/>
    <x v="8"/>
    <n v="30000000"/>
    <x v="20"/>
    <n v="5.6"/>
  </r>
  <r>
    <n v="95"/>
    <n v="42043633"/>
    <s v="The Cabin in the Woods "/>
    <s v="English"/>
    <x v="8"/>
    <n v="30000000"/>
    <x v="10"/>
    <n v="7"/>
  </r>
  <r>
    <n v="86"/>
    <n v="38232624"/>
    <s v="Meet the Spartans "/>
    <s v="English"/>
    <x v="8"/>
    <n v="30000000"/>
    <x v="7"/>
    <n v="2.7"/>
  </r>
  <r>
    <n v="126"/>
    <n v="38413606"/>
    <s v="Midnight Run "/>
    <s v="English"/>
    <x v="8"/>
    <n v="30000000"/>
    <x v="4"/>
    <n v="7.6"/>
  </r>
  <r>
    <n v="111"/>
    <n v="40247512"/>
    <s v="Hanna "/>
    <s v="English"/>
    <x v="8"/>
    <n v="30000000"/>
    <x v="15"/>
    <n v="6.8"/>
  </r>
  <r>
    <n v="95"/>
    <n v="35927406"/>
    <s v="Mortal Kombat: Annihilation "/>
    <s v="English"/>
    <x v="8"/>
    <n v="30000000"/>
    <x v="2"/>
    <n v="3.7"/>
  </r>
  <r>
    <n v="98"/>
    <n v="35565975"/>
    <s v="Larry Crowne "/>
    <s v="English"/>
    <x v="8"/>
    <n v="30000000"/>
    <x v="15"/>
    <n v="6.1"/>
  </r>
  <r>
    <n v="100"/>
    <n v="35266619"/>
    <s v="Carrie "/>
    <s v="English"/>
    <x v="8"/>
    <n v="30000000"/>
    <x v="17"/>
    <n v="5.9"/>
  </r>
  <r>
    <n v="118"/>
    <n v="34703228"/>
    <s v="Take the Lead "/>
    <s v="English"/>
    <x v="8"/>
    <n v="30000000"/>
    <x v="0"/>
    <n v="6.7"/>
  </r>
  <r>
    <n v="125"/>
    <n v="38432823"/>
    <s v="Gridiron Gang "/>
    <s v="English"/>
    <x v="8"/>
    <n v="30000000"/>
    <x v="0"/>
    <n v="6.9"/>
  </r>
  <r>
    <n v="79"/>
    <n v="31743332"/>
    <s v="9 "/>
    <s v="English"/>
    <x v="8"/>
    <n v="30000000"/>
    <x v="13"/>
    <n v="7.1"/>
  </r>
  <r>
    <n v="106"/>
    <n v="32154410"/>
    <s v="Side Effects "/>
    <s v="English"/>
    <x v="8"/>
    <n v="30000000"/>
    <x v="17"/>
    <n v="7.1"/>
  </r>
  <r>
    <n v="63"/>
    <n v="26687172"/>
    <s v="Winnie the Pooh "/>
    <s v="English"/>
    <x v="8"/>
    <n v="30000000"/>
    <x v="15"/>
    <n v="7.3"/>
  </r>
  <r>
    <n v="108"/>
    <n v="26525834"/>
    <s v="Bulworth "/>
    <s v="English"/>
    <x v="8"/>
    <n v="30000000"/>
    <x v="6"/>
    <n v="6.8"/>
  </r>
  <r>
    <n v="139"/>
    <n v="30513940"/>
    <s v="Get on Up "/>
    <s v="English"/>
    <x v="8"/>
    <n v="30000000"/>
    <x v="16"/>
    <n v="6.9"/>
  </r>
  <r>
    <n v="127"/>
    <n v="23209440"/>
    <s v="One True Thing "/>
    <s v="English"/>
    <x v="8"/>
    <n v="30000000"/>
    <x v="6"/>
    <n v="7"/>
  </r>
  <r>
    <n v="106"/>
    <n v="24048000"/>
    <s v="Virtuosity "/>
    <s v="English"/>
    <x v="8"/>
    <n v="30000000"/>
    <x v="19"/>
    <n v="5.5"/>
  </r>
  <r>
    <n v="95"/>
    <n v="22526144"/>
    <s v="My Super Ex-Girlfriend "/>
    <s v="English"/>
    <x v="8"/>
    <n v="30000000"/>
    <x v="0"/>
    <n v="5.0999999999999996"/>
  </r>
  <r>
    <n v="118"/>
    <n v="30523568"/>
    <s v="Deliver Us from Evil "/>
    <s v="English"/>
    <x v="8"/>
    <n v="30000000"/>
    <x v="16"/>
    <n v="6.2"/>
  </r>
  <r>
    <n v="108"/>
    <n v="23070045"/>
    <s v="Sanctum "/>
    <s v="English"/>
    <x v="8"/>
    <n v="30000000"/>
    <x v="15"/>
    <n v="5.9"/>
  </r>
  <r>
    <n v="131"/>
    <n v="28644770"/>
    <s v="The Five-Year Engagement "/>
    <s v="English"/>
    <x v="8"/>
    <n v="30000000"/>
    <x v="10"/>
    <n v="6.2"/>
  </r>
  <r>
    <n v="104"/>
    <n v="21800302"/>
    <s v="Mr 3000 "/>
    <s v="English"/>
    <x v="8"/>
    <n v="30000000"/>
    <x v="3"/>
    <n v="5.5"/>
  </r>
  <r>
    <n v="94"/>
    <n v="18500966"/>
    <s v="Ultraviolet "/>
    <s v="English"/>
    <x v="8"/>
    <n v="30000000"/>
    <x v="0"/>
    <n v="4.4000000000000004"/>
  </r>
  <r>
    <n v="96"/>
    <n v="18967571"/>
    <s v="The Replacement Killers "/>
    <s v="English"/>
    <x v="8"/>
    <n v="30000000"/>
    <x v="6"/>
    <n v="6.1"/>
  </r>
  <r>
    <n v="99"/>
    <n v="17266505"/>
    <s v="Eight Legged Freaks "/>
    <s v="English"/>
    <x v="8"/>
    <n v="30000000"/>
    <x v="20"/>
    <n v="5.4"/>
  </r>
  <r>
    <n v="112"/>
    <n v="32357532"/>
    <s v="Love &amp; Other Drugs "/>
    <s v="English"/>
    <x v="8"/>
    <n v="30000000"/>
    <x v="11"/>
    <n v="6.7"/>
  </r>
  <r>
    <n v="108"/>
    <n v="16930884"/>
    <s v="88 Minutes "/>
    <s v="English"/>
    <x v="8"/>
    <n v="30000000"/>
    <x v="9"/>
    <n v="5.9"/>
  </r>
  <r>
    <n v="130"/>
    <n v="15709385"/>
    <s v="Pride and Glory "/>
    <s v="English"/>
    <x v="8"/>
    <n v="30000000"/>
    <x v="7"/>
    <n v="6.7"/>
  </r>
  <r>
    <n v="93"/>
    <n v="14888028"/>
    <s v="The Cave "/>
    <s v="English"/>
    <x v="8"/>
    <n v="30000000"/>
    <x v="1"/>
    <n v="5.0999999999999996"/>
  </r>
  <r>
    <n v="96"/>
    <n v="14208384"/>
    <s v="Alex &amp; Emma "/>
    <s v="English"/>
    <x v="8"/>
    <n v="30000000"/>
    <x v="18"/>
    <n v="5.6"/>
  </r>
  <r>
    <n v="114"/>
    <n v="12831121"/>
    <s v="Wicker Park "/>
    <s v="English"/>
    <x v="8"/>
    <n v="30000000"/>
    <x v="3"/>
    <n v="7"/>
  </r>
  <r>
    <n v="106"/>
    <n v="18298649"/>
    <s v="Fright Night "/>
    <s v="English"/>
    <x v="8"/>
    <n v="30000000"/>
    <x v="15"/>
    <n v="6.4"/>
  </r>
  <r>
    <n v="150"/>
    <n v="12712093"/>
    <s v="The New World "/>
    <s v="English"/>
    <x v="8"/>
    <n v="30000000"/>
    <x v="1"/>
    <n v="6.7"/>
  </r>
  <r>
    <n v="100"/>
    <n v="11576087"/>
    <s v="Wing Commander "/>
    <s v="English"/>
    <x v="8"/>
    <n v="30000000"/>
    <x v="5"/>
    <n v="4.0999999999999996"/>
  </r>
  <r>
    <n v="100"/>
    <n v="11900000"/>
    <s v="In Dreams "/>
    <s v="English"/>
    <x v="8"/>
    <n v="30000000"/>
    <x v="5"/>
    <n v="5.5"/>
  </r>
  <r>
    <n v="86"/>
    <n v="10134754"/>
    <s v="Hoodwinked Too! Hood vs. Evil "/>
    <s v="English"/>
    <x v="8"/>
    <n v="30000000"/>
    <x v="15"/>
    <n v="4.8"/>
  </r>
  <r>
    <n v="108"/>
    <n v="8535575"/>
    <s v="An Unfinished Life "/>
    <s v="English"/>
    <x v="8"/>
    <n v="30000000"/>
    <x v="1"/>
    <n v="7"/>
  </r>
  <r>
    <n v="88"/>
    <n v="19316646"/>
    <s v="Runner Runner "/>
    <s v="English"/>
    <x v="8"/>
    <n v="30000000"/>
    <x v="17"/>
    <n v="5.6"/>
  </r>
  <r>
    <n v="109"/>
    <n v="10965209"/>
    <s v="Antitrust "/>
    <s v="English"/>
    <x v="8"/>
    <n v="30000000"/>
    <x v="8"/>
    <n v="6.1"/>
  </r>
  <r>
    <n v="251"/>
    <n v="5300000"/>
    <s v="Once Upon a Time in America "/>
    <s v="English"/>
    <x v="16"/>
    <n v="30000000"/>
    <x v="29"/>
    <n v="8.4"/>
  </r>
  <r>
    <n v="118"/>
    <n v="10880926"/>
    <s v="Dead Man Down "/>
    <s v="English"/>
    <x v="8"/>
    <n v="30000000"/>
    <x v="17"/>
    <n v="6.5"/>
  </r>
  <r>
    <n v="88"/>
    <n v="2975649"/>
    <s v="Miss Potter "/>
    <s v="English"/>
    <x v="9"/>
    <n v="30000000"/>
    <x v="0"/>
    <n v="7"/>
  </r>
  <r>
    <n v="160"/>
    <n v="3904982"/>
    <s v="The Assassination of Jesse James by the Coward Robert Ford "/>
    <s v="English"/>
    <x v="8"/>
    <n v="30000000"/>
    <x v="9"/>
    <n v="7.5"/>
  </r>
  <r>
    <n v="129"/>
    <n v="537580"/>
    <s v="Machine Gun Preacher "/>
    <s v="English"/>
    <x v="8"/>
    <n v="30000000"/>
    <x v="15"/>
    <n v="6.8"/>
  </r>
  <r>
    <n v="128"/>
    <n v="37036404"/>
    <s v="Keeping the Faith "/>
    <s v="English"/>
    <x v="8"/>
    <n v="30000000"/>
    <x v="21"/>
    <n v="6.4"/>
  </r>
  <r>
    <n v="120"/>
    <n v="7443007"/>
    <s v="Taking Woodstock "/>
    <s v="English"/>
    <x v="8"/>
    <n v="30000000"/>
    <x v="13"/>
    <n v="6.7"/>
  </r>
  <r>
    <n v="91"/>
    <n v="51475962"/>
    <s v="Identity "/>
    <s v="English"/>
    <x v="8"/>
    <n v="30000000"/>
    <x v="18"/>
    <n v="7.3"/>
  </r>
  <r>
    <n v="117"/>
    <n v="48043505"/>
    <s v="Kick-Ass "/>
    <s v="English"/>
    <x v="9"/>
    <n v="30000000"/>
    <x v="11"/>
    <n v="7.7"/>
  </r>
  <r>
    <n v="133"/>
    <n v="148734225"/>
    <s v="Knocked Up "/>
    <s v="English"/>
    <x v="8"/>
    <n v="30000000"/>
    <x v="9"/>
    <n v="7"/>
  </r>
  <r>
    <n v="109"/>
    <n v="49185998"/>
    <s v="My Sister's Keeper "/>
    <s v="English"/>
    <x v="8"/>
    <n v="30000000"/>
    <x v="13"/>
    <n v="7.4"/>
  </r>
  <r>
    <n v="110"/>
    <n v="74888996"/>
    <s v="Star Trek VI: The Undiscovered Country "/>
    <s v="English"/>
    <x v="8"/>
    <n v="30000000"/>
    <x v="23"/>
    <n v="7.2"/>
  </r>
  <r>
    <n v="101"/>
    <n v="40566655"/>
    <s v="About a Boy "/>
    <s v="English"/>
    <x v="9"/>
    <n v="30000000"/>
    <x v="20"/>
    <n v="7.1"/>
  </r>
  <r>
    <n v="130"/>
    <n v="4463292"/>
    <s v="Anonymous "/>
    <s v="English"/>
    <x v="9"/>
    <n v="30000000"/>
    <x v="15"/>
    <n v="6.9"/>
  </r>
  <r>
    <n v="120"/>
    <n v="499263"/>
    <s v="The Passion of the Christ "/>
    <s v="Aramaic"/>
    <x v="8"/>
    <n v="30000000"/>
    <x v="3"/>
    <n v="7.1"/>
  </r>
  <r>
    <n v="97"/>
    <n v="82163317"/>
    <s v="Freddy vs. Jason "/>
    <s v="English"/>
    <x v="8"/>
    <n v="30000000"/>
    <x v="18"/>
    <n v="5.8"/>
  </r>
  <r>
    <n v="82"/>
    <n v="80920948"/>
    <s v="Jimmy Neutron: Boy Genius "/>
    <s v="English"/>
    <x v="8"/>
    <n v="30000000"/>
    <x v="8"/>
    <n v="6"/>
  </r>
  <r>
    <n v="101"/>
    <n v="51097664"/>
    <s v="Hide and Seek "/>
    <s v="English"/>
    <x v="8"/>
    <n v="30000000"/>
    <x v="1"/>
    <n v="5.9"/>
  </r>
  <r>
    <n v="101"/>
    <n v="34604054"/>
    <s v="Cradle 2 the Grave "/>
    <s v="English"/>
    <x v="8"/>
    <n v="30000000"/>
    <x v="18"/>
    <n v="5.8"/>
  </r>
  <r>
    <n v="114"/>
    <n v="31655091"/>
    <s v="August Rush "/>
    <s v="English"/>
    <x v="8"/>
    <n v="30000000"/>
    <x v="9"/>
    <n v="7.5"/>
  </r>
  <r>
    <n v="107"/>
    <n v="21835784"/>
    <s v="A Lot Like Love "/>
    <s v="English"/>
    <x v="8"/>
    <n v="30000000"/>
    <x v="1"/>
    <n v="6.6"/>
  </r>
  <r>
    <n v="132"/>
    <n v="1865774"/>
    <s v="Legend "/>
    <s v="English"/>
    <x v="9"/>
    <n v="30000000"/>
    <x v="12"/>
    <n v="7"/>
  </r>
  <r>
    <n v="106"/>
    <n v="17951431"/>
    <s v="The Glass House "/>
    <s v="English"/>
    <x v="8"/>
    <n v="30000000"/>
    <x v="8"/>
    <n v="5.8"/>
  </r>
  <r>
    <n v="114"/>
    <n v="12831121"/>
    <s v="Wicker Park "/>
    <s v="English"/>
    <x v="8"/>
    <n v="30000000"/>
    <x v="3"/>
    <n v="7"/>
  </r>
  <r>
    <n v="77"/>
    <n v="45542421"/>
    <s v="The Tigger Movie "/>
    <s v="English"/>
    <x v="8"/>
    <n v="30000000"/>
    <x v="21"/>
    <n v="6.3"/>
  </r>
  <r>
    <n v="98"/>
    <n v="32774834"/>
    <s v="Team America: World Police "/>
    <s v="English"/>
    <x v="8"/>
    <n v="30000000"/>
    <x v="3"/>
    <n v="7.2"/>
  </r>
  <r>
    <n v="114"/>
    <n v="18252684"/>
    <s v="Simon Birch "/>
    <s v="English"/>
    <x v="8"/>
    <n v="30000000"/>
    <x v="6"/>
    <n v="6.9"/>
  </r>
  <r>
    <n v="101"/>
    <n v="12987647"/>
    <s v="The Quiet American "/>
    <s v="English"/>
    <x v="9"/>
    <n v="30000000"/>
    <x v="20"/>
    <n v="7.1"/>
  </r>
  <r>
    <n v="122"/>
    <n v="17750583"/>
    <s v="Steve Jobs "/>
    <s v="English"/>
    <x v="9"/>
    <n v="30000000"/>
    <x v="12"/>
    <n v="7.2"/>
  </r>
  <r>
    <n v="110"/>
    <n v="15156200"/>
    <s v="The Corruptor "/>
    <s v="English"/>
    <x v="8"/>
    <n v="30000000"/>
    <x v="5"/>
    <n v="6"/>
  </r>
  <r>
    <n v="113"/>
    <n v="61094903"/>
    <s v="Unknown "/>
    <s v="English"/>
    <x v="9"/>
    <n v="30000000"/>
    <x v="15"/>
    <n v="6.9"/>
  </r>
  <r>
    <n v="100"/>
    <n v="35266619"/>
    <s v="Carrie "/>
    <s v="English"/>
    <x v="8"/>
    <n v="30000000"/>
    <x v="17"/>
    <n v="5.9"/>
  </r>
  <r>
    <n v="108"/>
    <n v="32048809"/>
    <s v="House of Wax "/>
    <s v="English"/>
    <x v="13"/>
    <n v="30000000"/>
    <x v="1"/>
    <n v="5.3"/>
  </r>
  <r>
    <n v="106"/>
    <n v="32154410"/>
    <s v="Side Effects "/>
    <s v="English"/>
    <x v="8"/>
    <n v="30000000"/>
    <x v="17"/>
    <n v="7.1"/>
  </r>
  <r>
    <n v="129"/>
    <n v="255950375"/>
    <s v="The Blind Side "/>
    <s v="English"/>
    <x v="8"/>
    <n v="29000000"/>
    <x v="13"/>
    <n v="7.7"/>
  </r>
  <r>
    <n v="103"/>
    <n v="50041732"/>
    <s v="Stigmata "/>
    <s v="English"/>
    <x v="8"/>
    <n v="29000000"/>
    <x v="5"/>
    <n v="6.2"/>
  </r>
  <r>
    <n v="123"/>
    <n v="64286"/>
    <s v="The Notebook "/>
    <s v="English"/>
    <x v="8"/>
    <n v="29000000"/>
    <x v="3"/>
    <n v="7.9"/>
  </r>
  <r>
    <n v="115"/>
    <n v="183436380"/>
    <s v="Pitch Perfect 2 "/>
    <s v="English"/>
    <x v="8"/>
    <n v="29000000"/>
    <x v="12"/>
    <n v="6.5"/>
  </r>
  <r>
    <n v="89"/>
    <n v="22359293"/>
    <s v="The Borrowers "/>
    <s v="English"/>
    <x v="9"/>
    <n v="29000000"/>
    <x v="2"/>
    <n v="5.8"/>
  </r>
  <r>
    <n v="99"/>
    <n v="16930185"/>
    <s v="Serving Sara "/>
    <s v="English"/>
    <x v="12"/>
    <n v="29000000"/>
    <x v="20"/>
    <n v="5.3"/>
  </r>
  <r>
    <n v="99"/>
    <n v="63034755"/>
    <s v="The Boss "/>
    <s v="English"/>
    <x v="8"/>
    <n v="29000000"/>
    <x v="14"/>
    <n v="5.3"/>
  </r>
  <r>
    <n v="147"/>
    <n v="5899797"/>
    <s v="Cry Freedom "/>
    <s v="English"/>
    <x v="9"/>
    <n v="29000000"/>
    <x v="32"/>
    <n v="7.5"/>
  </r>
  <r>
    <n v="94"/>
    <n v="6301131"/>
    <s v="The Jacket "/>
    <s v="English"/>
    <x v="8"/>
    <n v="29000000"/>
    <x v="1"/>
    <n v="7.1"/>
  </r>
  <r>
    <n v="102"/>
    <n v="55845943"/>
    <s v="Once Upon a Time in Mexico "/>
    <s v="English"/>
    <x v="8"/>
    <n v="29000000"/>
    <x v="18"/>
    <n v="6.4"/>
  </r>
  <r>
    <n v="90"/>
    <n v="17848322"/>
    <s v="Laws of Attraction "/>
    <s v="English"/>
    <x v="23"/>
    <n v="28000000"/>
    <x v="3"/>
    <n v="5.9"/>
  </r>
  <r>
    <n v="153"/>
    <n v="119518352"/>
    <s v="Walk the Line "/>
    <s v="English"/>
    <x v="8"/>
    <n v="28000000"/>
    <x v="1"/>
    <n v="7.9"/>
  </r>
  <r>
    <n v="112"/>
    <n v="4554569"/>
    <s v="Mumford "/>
    <s v="English"/>
    <x v="8"/>
    <n v="28000000"/>
    <x v="5"/>
    <n v="6.9"/>
  </r>
  <r>
    <n v="90"/>
    <n v="217350219"/>
    <s v="Aladdin "/>
    <s v="English"/>
    <x v="8"/>
    <n v="28000000"/>
    <x v="26"/>
    <n v="8"/>
  </r>
  <r>
    <n v="167"/>
    <n v="161029270"/>
    <s v="Straight Outta Compton "/>
    <s v="English"/>
    <x v="8"/>
    <n v="28000000"/>
    <x v="12"/>
    <n v="7.9"/>
  </r>
  <r>
    <n v="118"/>
    <n v="179870271"/>
    <s v="Indiana Jones and the Temple of Doom "/>
    <s v="English"/>
    <x v="8"/>
    <n v="28000000"/>
    <x v="29"/>
    <n v="7.6"/>
  </r>
  <r>
    <n v="131"/>
    <n v="81350242"/>
    <s v="Die Hard "/>
    <s v="English"/>
    <x v="8"/>
    <n v="28000000"/>
    <x v="4"/>
    <n v="8.1999999999999993"/>
  </r>
  <r>
    <n v="101"/>
    <n v="67266300"/>
    <s v="Role Models "/>
    <s v="English"/>
    <x v="12"/>
    <n v="28000000"/>
    <x v="7"/>
    <n v="6.9"/>
  </r>
  <r>
    <n v="130"/>
    <n v="70235322"/>
    <s v="The Big Short "/>
    <s v="English"/>
    <x v="8"/>
    <n v="28000000"/>
    <x v="12"/>
    <n v="7.8"/>
  </r>
  <r>
    <n v="135"/>
    <n v="64371181"/>
    <s v="Miracle "/>
    <s v="English"/>
    <x v="8"/>
    <n v="28000000"/>
    <x v="3"/>
    <n v="7.5"/>
  </r>
  <r>
    <n v="105"/>
    <n v="63910583"/>
    <s v="Last Vegas "/>
    <s v="English"/>
    <x v="8"/>
    <n v="28000000"/>
    <x v="17"/>
    <n v="6.6"/>
  </r>
  <r>
    <n v="127"/>
    <n v="62300000"/>
    <s v="For Your Eyes Only "/>
    <s v="English"/>
    <x v="9"/>
    <n v="28000000"/>
    <x v="39"/>
    <n v="6.8"/>
  </r>
  <r>
    <n v="82"/>
    <n v="49968653"/>
    <s v="Serendipity "/>
    <s v="English"/>
    <x v="8"/>
    <n v="28000000"/>
    <x v="8"/>
    <n v="6.9"/>
  </r>
  <r>
    <n v="90"/>
    <n v="45162741"/>
    <s v="Zoolander "/>
    <s v="English"/>
    <x v="12"/>
    <n v="28000000"/>
    <x v="8"/>
    <n v="6.6"/>
  </r>
  <r>
    <n v="115"/>
    <n v="71346930"/>
    <s v="Safe Haven "/>
    <s v="English"/>
    <x v="8"/>
    <n v="28000000"/>
    <x v="17"/>
    <n v="6.7"/>
  </r>
  <r>
    <n v="96"/>
    <n v="39514713"/>
    <s v="Hocus Pocus "/>
    <s v="English"/>
    <x v="8"/>
    <n v="28000000"/>
    <x v="27"/>
    <n v="6.7"/>
  </r>
  <r>
    <n v="104"/>
    <n v="43097652"/>
    <s v="No Reservations "/>
    <s v="English"/>
    <x v="8"/>
    <n v="28000000"/>
    <x v="9"/>
    <n v="6.3"/>
  </r>
  <r>
    <n v="83"/>
    <n v="37053924"/>
    <s v="30 Minutes or Less "/>
    <s v="English"/>
    <x v="12"/>
    <n v="28000000"/>
    <x v="15"/>
    <n v="6.1"/>
  </r>
  <r>
    <n v="99"/>
    <n v="33000377"/>
    <s v="Dracula 2000 "/>
    <s v="English"/>
    <x v="8"/>
    <n v="28000000"/>
    <x v="21"/>
    <n v="4.9000000000000004"/>
  </r>
  <r>
    <n v="81"/>
    <n v="66950483"/>
    <s v="Alexander and the Terrible, Horrible, No Good, Very Bad Day "/>
    <s v="English"/>
    <x v="8"/>
    <n v="28000000"/>
    <x v="16"/>
    <n v="6.2"/>
  </r>
  <r>
    <n v="135"/>
    <n v="38372662"/>
    <s v="Pride &amp; Prejudice "/>
    <s v="English"/>
    <x v="7"/>
    <n v="28000000"/>
    <x v="1"/>
    <n v="7.8"/>
  </r>
  <r>
    <n v="117"/>
    <n v="27000000"/>
    <s v="Blade Runner "/>
    <s v="English"/>
    <x v="8"/>
    <n v="28000000"/>
    <x v="37"/>
    <n v="8.1999999999999993"/>
  </r>
  <r>
    <n v="139"/>
    <n v="31600000"/>
    <s v="Rob Roy "/>
    <s v="English"/>
    <x v="8"/>
    <n v="28000000"/>
    <x v="19"/>
    <n v="6.9"/>
  </r>
  <r>
    <n v="123"/>
    <n v="30688364"/>
    <s v="3 Days to Kill "/>
    <s v="English"/>
    <x v="8"/>
    <n v="28000000"/>
    <x v="16"/>
    <n v="6.2"/>
  </r>
  <r>
    <n v="97"/>
    <n v="16779636"/>
    <s v="Lost Souls "/>
    <s v="English"/>
    <x v="8"/>
    <n v="28000000"/>
    <x v="21"/>
    <n v="4.8"/>
  </r>
  <r>
    <n v="103"/>
    <n v="17324744"/>
    <s v="Just My Luck "/>
    <s v="English"/>
    <x v="8"/>
    <n v="28000000"/>
    <x v="0"/>
    <n v="5.3"/>
  </r>
  <r>
    <n v="119"/>
    <n v="8888143"/>
    <s v="Mystery, Alaska "/>
    <s v="English"/>
    <x v="11"/>
    <n v="28000000"/>
    <x v="5"/>
    <n v="6.7"/>
  </r>
  <r>
    <n v="94"/>
    <n v="24268828"/>
    <s v="The Spy Next Door "/>
    <s v="English"/>
    <x v="8"/>
    <n v="28000000"/>
    <x v="11"/>
    <n v="5.4"/>
  </r>
  <r>
    <n v="89"/>
    <n v="8119205"/>
    <s v="A Simple Wish "/>
    <s v="English"/>
    <x v="8"/>
    <n v="28000000"/>
    <x v="2"/>
    <n v="5.4"/>
  </r>
  <r>
    <n v="98"/>
    <n v="8434601"/>
    <s v="Ghosts of Mars "/>
    <s v="English"/>
    <x v="8"/>
    <n v="28000000"/>
    <x v="8"/>
    <n v="4.9000000000000004"/>
  </r>
  <r>
    <n v="107"/>
    <n v="6998324"/>
    <s v="Our Brand Is Crisis "/>
    <s v="English"/>
    <x v="8"/>
    <n v="28000000"/>
    <x v="12"/>
    <n v="6.1"/>
  </r>
  <r>
    <n v="108"/>
    <n v="10907291"/>
    <s v="Pride and Prejudice and Zombies "/>
    <s v="English"/>
    <x v="8"/>
    <n v="28000000"/>
    <x v="14"/>
    <n v="5.8"/>
  </r>
  <r>
    <n v="134"/>
    <n v="5532301"/>
    <s v="Kundun "/>
    <s v="English"/>
    <x v="8"/>
    <n v="28000000"/>
    <x v="2"/>
    <n v="7"/>
  </r>
  <r>
    <n v="103"/>
    <n v="28751715"/>
    <s v="Kick-Ass 2 "/>
    <s v="English"/>
    <x v="8"/>
    <n v="28000000"/>
    <x v="17"/>
    <n v="6.6"/>
  </r>
  <r>
    <n v="100"/>
    <n v="20285518"/>
    <s v="Brick Mansions "/>
    <s v="English"/>
    <x v="7"/>
    <n v="28000000"/>
    <x v="16"/>
    <n v="5.7"/>
  </r>
  <r>
    <n v="93"/>
    <n v="5204007"/>
    <s v="Formula 51 "/>
    <s v="English"/>
    <x v="9"/>
    <n v="28000000"/>
    <x v="8"/>
    <n v="6.3"/>
  </r>
  <r>
    <n v="114"/>
    <n v="25977365"/>
    <s v="A Walk Among the Tombstones "/>
    <s v="English"/>
    <x v="8"/>
    <n v="28000000"/>
    <x v="16"/>
    <n v="6.5"/>
  </r>
  <r>
    <n v="128"/>
    <n v="3254172"/>
    <s v="The Fifth Estate "/>
    <s v="English"/>
    <x v="8"/>
    <n v="28000000"/>
    <x v="17"/>
    <n v="6.2"/>
  </r>
  <r>
    <n v="133"/>
    <n v="11030963"/>
    <s v="Michael Collins "/>
    <s v="English"/>
    <x v="9"/>
    <n v="28000000"/>
    <x v="24"/>
    <n v="7.1"/>
  </r>
  <r>
    <n v="80"/>
    <n v="669276"/>
    <s v="The Princess and the Cobbler "/>
    <s v="English"/>
    <x v="9"/>
    <n v="28000000"/>
    <x v="27"/>
    <n v="7.2"/>
  </r>
  <r>
    <n v="100"/>
    <n v="153665036"/>
    <s v="Beverly Hills Cop II "/>
    <s v="English"/>
    <x v="8"/>
    <n v="28000000"/>
    <x v="32"/>
    <n v="6.4"/>
  </r>
  <r>
    <n v="107"/>
    <n v="55210049"/>
    <s v="Star Trek V: The Final Frontier "/>
    <s v="English"/>
    <x v="8"/>
    <n v="27800000"/>
    <x v="28"/>
    <n v="5.4"/>
  </r>
  <r>
    <n v="131"/>
    <n v="67900000"/>
    <s v="Octopussy "/>
    <s v="English"/>
    <x v="9"/>
    <n v="27500000"/>
    <x v="35"/>
    <n v="6.6"/>
  </r>
  <r>
    <n v="122"/>
    <n v="9664316"/>
    <s v="Rendition "/>
    <s v="English"/>
    <x v="8"/>
    <n v="27500000"/>
    <x v="9"/>
    <n v="6.8"/>
  </r>
  <r>
    <n v="105"/>
    <n v="1260917"/>
    <s v="Micmacs "/>
    <s v="French"/>
    <x v="7"/>
    <n v="27000000"/>
    <x v="13"/>
    <n v="7.2"/>
  </r>
  <r>
    <n v="162"/>
    <n v="78651430"/>
    <s v="The English Patient "/>
    <s v="English"/>
    <x v="8"/>
    <n v="27000000"/>
    <x v="24"/>
    <n v="7.4"/>
  </r>
  <r>
    <n v="98"/>
    <n v="33987757"/>
    <s v="Closer "/>
    <s v="English"/>
    <x v="8"/>
    <n v="27000000"/>
    <x v="3"/>
    <n v="7.3"/>
  </r>
  <r>
    <n v="101"/>
    <n v="38122105"/>
    <s v="The Running Man "/>
    <s v="English"/>
    <x v="8"/>
    <n v="27000000"/>
    <x v="32"/>
    <n v="6.6"/>
  </r>
  <r>
    <n v="99"/>
    <n v="44450000"/>
    <s v="Timecop "/>
    <s v="English"/>
    <x v="11"/>
    <n v="27000000"/>
    <x v="22"/>
    <n v="5.8"/>
  </r>
  <r>
    <n v="110"/>
    <n v="2775593"/>
    <s v="How to Lose Friends &amp; Alienate People "/>
    <s v="English"/>
    <x v="9"/>
    <n v="27000000"/>
    <x v="7"/>
    <n v="6.5"/>
  </r>
  <r>
    <n v="116"/>
    <n v="69586544"/>
    <s v="Divine Secrets of the Ya-Ya Sisterhood "/>
    <s v="English"/>
    <x v="8"/>
    <n v="27000000"/>
    <x v="20"/>
    <n v="6"/>
  </r>
  <r>
    <n v="115"/>
    <n v="60491560"/>
    <s v="Kiss the Girls "/>
    <s v="English"/>
    <x v="8"/>
    <n v="27000000"/>
    <x v="2"/>
    <n v="6.6"/>
  </r>
  <r>
    <n v="148"/>
    <n v="54200000"/>
    <s v="The Blues Brothers "/>
    <s v="English"/>
    <x v="8"/>
    <n v="27000000"/>
    <x v="31"/>
    <n v="7.9"/>
  </r>
  <r>
    <n v="82"/>
    <n v="31768374"/>
    <s v="Lake Placid "/>
    <s v="English"/>
    <x v="8"/>
    <n v="27000000"/>
    <x v="5"/>
    <n v="5.6"/>
  </r>
  <r>
    <n v="110"/>
    <n v="22494487"/>
    <s v="Lucky Number Slevin "/>
    <s v="English"/>
    <x v="12"/>
    <n v="27000000"/>
    <x v="0"/>
    <n v="7.8"/>
  </r>
  <r>
    <n v="193"/>
    <n v="21500000"/>
    <s v="The Right Stuff "/>
    <s v="English"/>
    <x v="8"/>
    <n v="27000000"/>
    <x v="35"/>
    <n v="7.9"/>
  </r>
  <r>
    <n v="111"/>
    <n v="14337579"/>
    <s v="Dark City "/>
    <s v="English"/>
    <x v="13"/>
    <n v="27000000"/>
    <x v="6"/>
    <n v="7.7"/>
  </r>
  <r>
    <n v="123"/>
    <n v="10297897"/>
    <s v="The Newton Boys "/>
    <s v="English"/>
    <x v="8"/>
    <n v="27000000"/>
    <x v="6"/>
    <n v="6"/>
  </r>
  <r>
    <n v="109"/>
    <n v="13248477"/>
    <s v="Case 39 "/>
    <s v="English"/>
    <x v="8"/>
    <n v="27000000"/>
    <x v="13"/>
    <n v="6.2"/>
  </r>
  <r>
    <n v="99"/>
    <n v="8712564"/>
    <s v="Suspect Zero "/>
    <s v="English"/>
    <x v="8"/>
    <n v="27000000"/>
    <x v="3"/>
    <n v="5.9"/>
  </r>
  <r>
    <n v="106"/>
    <n v="7486906"/>
    <s v="Martian Child "/>
    <s v="English"/>
    <x v="8"/>
    <n v="27000000"/>
    <x v="9"/>
    <n v="6.8"/>
  </r>
  <r>
    <n v="89"/>
    <n v="38536376"/>
    <s v="Spy Kids: All the Time in the World in 4D "/>
    <s v="English"/>
    <x v="8"/>
    <n v="27000000"/>
    <x v="15"/>
    <n v="3.6"/>
  </r>
  <r>
    <n v="98"/>
    <n v="41008532"/>
    <s v="Money Monster "/>
    <s v="English"/>
    <x v="8"/>
    <n v="27000000"/>
    <x v="14"/>
    <n v="6.7"/>
  </r>
  <r>
    <n v="101"/>
    <n v="4476235"/>
    <s v="Mindhunters "/>
    <s v="English"/>
    <x v="8"/>
    <n v="27000000"/>
    <x v="3"/>
    <n v="6.4"/>
  </r>
  <r>
    <n v="117"/>
    <n v="87341380"/>
    <s v="Pineapple Express "/>
    <s v="English"/>
    <x v="8"/>
    <n v="27000000"/>
    <x v="7"/>
    <n v="7"/>
  </r>
  <r>
    <n v="117"/>
    <n v="24944213"/>
    <s v="Kingpin "/>
    <s v="English"/>
    <x v="8"/>
    <n v="27000000"/>
    <x v="24"/>
    <n v="6.9"/>
  </r>
  <r>
    <n v="87"/>
    <n v="26876529"/>
    <s v="One Missed Call "/>
    <s v="English"/>
    <x v="2"/>
    <n v="27000000"/>
    <x v="7"/>
    <n v="3.9"/>
  </r>
  <r>
    <n v="88"/>
    <n v="15988876"/>
    <s v="Armored "/>
    <s v="English"/>
    <x v="8"/>
    <n v="27000000"/>
    <x v="13"/>
    <n v="5.7"/>
  </r>
  <r>
    <n v="110"/>
    <n v="22494487"/>
    <s v="Lucky Number Slevin "/>
    <s v="English"/>
    <x v="12"/>
    <n v="27000000"/>
    <x v="0"/>
    <n v="7.8"/>
  </r>
  <r>
    <n v="93"/>
    <n v="48114556"/>
    <s v="Fat Albert "/>
    <s v="English"/>
    <x v="8"/>
    <n v="26000000"/>
    <x v="3"/>
    <n v="4.3"/>
  </r>
  <r>
    <n v="107"/>
    <n v="3675072"/>
    <s v="Sunshine "/>
    <s v="English"/>
    <x v="9"/>
    <n v="26000000"/>
    <x v="9"/>
    <n v="7.3"/>
  </r>
  <r>
    <n v="103"/>
    <n v="105444419"/>
    <s v="The First Wives Club "/>
    <s v="English"/>
    <x v="8"/>
    <n v="26000000"/>
    <x v="24"/>
    <n v="6.2"/>
  </r>
  <r>
    <n v="104"/>
    <n v="16999046"/>
    <s v="Splice "/>
    <s v="English"/>
    <x v="11"/>
    <n v="26000000"/>
    <x v="13"/>
    <n v="5.8"/>
  </r>
  <r>
    <n v="110"/>
    <n v="58885635"/>
    <s v="Dawn of the Dead "/>
    <s v="English"/>
    <x v="8"/>
    <n v="26000000"/>
    <x v="3"/>
    <n v="7.4"/>
  </r>
  <r>
    <n v="91"/>
    <n v="20819129"/>
    <s v="Paul Blart: Mall Cop "/>
    <s v="English"/>
    <x v="8"/>
    <n v="26000000"/>
    <x v="13"/>
    <n v="5.2"/>
  </r>
  <r>
    <n v="97"/>
    <n v="110222438"/>
    <s v="Freaky Friday "/>
    <s v="English"/>
    <x v="8"/>
    <n v="26000000"/>
    <x v="18"/>
    <n v="6.1"/>
  </r>
  <r>
    <n v="133"/>
    <n v="109243478"/>
    <s v="The 40-Year-Old Virgin "/>
    <s v="English"/>
    <x v="8"/>
    <n v="26000000"/>
    <x v="1"/>
    <n v="7.1"/>
  </r>
  <r>
    <n v="111"/>
    <n v="91457688"/>
    <s v="Kindergarten Cop "/>
    <s v="English"/>
    <x v="8"/>
    <n v="26000000"/>
    <x v="25"/>
    <n v="6"/>
  </r>
  <r>
    <n v="121"/>
    <n v="65703412"/>
    <s v="Ever After: A Cinderella Story "/>
    <s v="English"/>
    <x v="8"/>
    <n v="26000000"/>
    <x v="6"/>
    <n v="7"/>
  </r>
  <r>
    <n v="115"/>
    <n v="61490000"/>
    <s v="Flatliners "/>
    <s v="English"/>
    <x v="8"/>
    <n v="26000000"/>
    <x v="25"/>
    <n v="6.6"/>
  </r>
  <r>
    <n v="175"/>
    <n v="50800000"/>
    <s v="A Bridge Too Far "/>
    <s v="English"/>
    <x v="8"/>
    <n v="26000000"/>
    <x v="40"/>
    <n v="7.4"/>
  </r>
  <r>
    <n v="85"/>
    <n v="57859105"/>
    <s v="Red Eye "/>
    <s v="English"/>
    <x v="8"/>
    <n v="26000000"/>
    <x v="1"/>
    <n v="6.5"/>
  </r>
  <r>
    <n v="90"/>
    <n v="46455802"/>
    <s v="Final Destination 2 "/>
    <s v="English"/>
    <x v="8"/>
    <n v="26000000"/>
    <x v="18"/>
    <n v="6.2"/>
  </r>
  <r>
    <n v="107"/>
    <n v="45506619"/>
    <s v="O Brother, Where Art Thou? "/>
    <s v="English"/>
    <x v="9"/>
    <n v="26000000"/>
    <x v="21"/>
    <n v="7.8"/>
  </r>
  <r>
    <n v="100"/>
    <n v="40168080"/>
    <s v="Legion "/>
    <s v="English"/>
    <x v="8"/>
    <n v="26000000"/>
    <x v="11"/>
    <n v="5.2"/>
  </r>
  <r>
    <n v="129"/>
    <n v="49874933"/>
    <s v="Pain &amp; Gain "/>
    <s v="English"/>
    <x v="8"/>
    <n v="26000000"/>
    <x v="17"/>
    <n v="6.5"/>
  </r>
  <r>
    <n v="109"/>
    <n v="45489752"/>
    <s v="In Good Company "/>
    <s v="English"/>
    <x v="8"/>
    <n v="26000000"/>
    <x v="3"/>
    <n v="6.5"/>
  </r>
  <r>
    <n v="94"/>
    <n v="36985501"/>
    <s v="Clockstoppers "/>
    <s v="English"/>
    <x v="8"/>
    <n v="26000000"/>
    <x v="20"/>
    <n v="5.2"/>
  </r>
  <r>
    <n v="133"/>
    <n v="33200000"/>
    <s v="Silverado "/>
    <s v="English"/>
    <x v="8"/>
    <n v="26000000"/>
    <x v="33"/>
    <n v="7.2"/>
  </r>
  <r>
    <n v="105"/>
    <n v="28501651"/>
    <s v="Brothers "/>
    <s v="English"/>
    <x v="8"/>
    <n v="26000000"/>
    <x v="13"/>
    <n v="7.1"/>
  </r>
  <r>
    <n v="100"/>
    <n v="23222861"/>
    <s v="Agent Cody Banks 2: Destination London "/>
    <s v="English"/>
    <x v="8"/>
    <n v="26000000"/>
    <x v="3"/>
    <n v="4.5"/>
  </r>
  <r>
    <n v="110"/>
    <n v="16005978"/>
    <s v="The Raven "/>
    <s v="English"/>
    <x v="8"/>
    <n v="26000000"/>
    <x v="10"/>
    <n v="6.4"/>
  </r>
  <r>
    <n v="110"/>
    <n v="14469428"/>
    <s v="Welcome to Mooseport "/>
    <s v="English"/>
    <x v="8"/>
    <n v="26000000"/>
    <x v="3"/>
    <n v="5.2"/>
  </r>
  <r>
    <n v="99"/>
    <n v="13829734"/>
    <s v="Highlander: The Final Dimension "/>
    <s v="English"/>
    <x v="11"/>
    <n v="26000000"/>
    <x v="22"/>
    <n v="4.3"/>
  </r>
  <r>
    <n v="103"/>
    <n v="7496522"/>
    <s v="The Curse of the Jade Scorpion "/>
    <s v="English"/>
    <x v="8"/>
    <n v="26000000"/>
    <x v="8"/>
    <n v="6.8"/>
  </r>
  <r>
    <n v="117"/>
    <n v="12276810"/>
    <s v="Self/less "/>
    <s v="English"/>
    <x v="8"/>
    <n v="26000000"/>
    <x v="12"/>
    <n v="6.5"/>
  </r>
  <r>
    <n v="118"/>
    <n v="26761283"/>
    <s v="The Best of Me "/>
    <s v="English"/>
    <x v="8"/>
    <n v="26000000"/>
    <x v="16"/>
    <n v="6.7"/>
  </r>
  <r>
    <n v="97"/>
    <n v="71500556"/>
    <s v="Bridget Jones's Diary "/>
    <s v="English"/>
    <x v="9"/>
    <n v="26000000"/>
    <x v="8"/>
    <n v="6.7"/>
  </r>
  <r>
    <n v="98"/>
    <n v="84136909"/>
    <s v="Anchorman: The Legend of Ron Burgundy "/>
    <s v="English"/>
    <x v="8"/>
    <n v="26000000"/>
    <x v="3"/>
    <n v="7.2"/>
  </r>
  <r>
    <n v="102"/>
    <n v="47285499"/>
    <s v="Agent Cody Banks "/>
    <s v="English"/>
    <x v="8"/>
    <n v="26000000"/>
    <x v="18"/>
    <n v="5"/>
  </r>
  <r>
    <n v="90"/>
    <n v="16647384"/>
    <s v="Unaccompanied Minors "/>
    <s v="English"/>
    <x v="8"/>
    <n v="26000000"/>
    <x v="0"/>
    <n v="5.0999999999999996"/>
  </r>
  <r>
    <n v="127"/>
    <n v="12188642"/>
    <s v="The 33 "/>
    <s v="English"/>
    <x v="24"/>
    <n v="26000000"/>
    <x v="12"/>
    <n v="6.9"/>
  </r>
  <r>
    <n v="105"/>
    <n v="30659817"/>
    <s v="Delivery Man "/>
    <s v="English"/>
    <x v="8"/>
    <n v="26000000"/>
    <x v="17"/>
    <n v="6.4"/>
  </r>
  <r>
    <n v="125"/>
    <n v="77324422"/>
    <s v="Philadelphia "/>
    <s v="English"/>
    <x v="8"/>
    <n v="26000000"/>
    <x v="27"/>
    <n v="7.7"/>
  </r>
  <r>
    <n v="137"/>
    <n v="5459824"/>
    <s v="Little Children "/>
    <s v="English"/>
    <x v="8"/>
    <n v="26000000"/>
    <x v="0"/>
    <n v="7.6"/>
  </r>
  <r>
    <n v="105"/>
    <n v="28501651"/>
    <s v="Brothers "/>
    <s v="English"/>
    <x v="8"/>
    <n v="26000000"/>
    <x v="13"/>
    <n v="7.1"/>
  </r>
  <r>
    <n v="149"/>
    <n v="25809813"/>
    <s v="That Thing You Do! "/>
    <s v="English"/>
    <x v="8"/>
    <n v="26000000"/>
    <x v="24"/>
    <n v="6.9"/>
  </r>
  <r>
    <n v="110"/>
    <n v="58885635"/>
    <s v="Dawn of the Dead "/>
    <s v="English"/>
    <x v="8"/>
    <n v="26000000"/>
    <x v="3"/>
    <n v="7.4"/>
  </r>
  <r>
    <n v="95"/>
    <n v="20047715"/>
    <s v="Flipper "/>
    <s v="English"/>
    <x v="8"/>
    <n v="25530000"/>
    <x v="24"/>
    <n v="5.2"/>
  </r>
  <r>
    <n v="144"/>
    <n v="41229"/>
    <s v="Blood Ties "/>
    <s v="English"/>
    <x v="7"/>
    <n v="25500000"/>
    <x v="17"/>
    <n v="6.5"/>
  </r>
  <r>
    <n v="129"/>
    <n v="25517500"/>
    <s v="W. "/>
    <s v="English"/>
    <x v="8"/>
    <n v="25100000"/>
    <x v="7"/>
    <n v="6.4"/>
  </r>
  <r>
    <n v="96"/>
    <n v="17114882"/>
    <s v="Eastern Promises "/>
    <s v="English"/>
    <x v="8"/>
    <n v="25000000"/>
    <x v="9"/>
    <n v="7.7"/>
  </r>
  <r>
    <n v="127"/>
    <n v="14946229"/>
    <s v="The Infiltrator "/>
    <s v="English"/>
    <x v="9"/>
    <n v="25000000"/>
    <x v="14"/>
    <n v="7.3"/>
  </r>
  <r>
    <n v="94"/>
    <n v="32003620"/>
    <s v="Cellular "/>
    <s v="English"/>
    <x v="8"/>
    <n v="25000000"/>
    <x v="3"/>
    <n v="6.5"/>
  </r>
  <r>
    <n v="105"/>
    <n v="51853450"/>
    <s v="The Odd Life of Timothy Green "/>
    <s v="English"/>
    <x v="8"/>
    <n v="25000000"/>
    <x v="10"/>
    <n v="6.6"/>
  </r>
  <r>
    <n v="93"/>
    <n v="32055248"/>
    <s v="The Shadow "/>
    <s v="English"/>
    <x v="8"/>
    <n v="25000000"/>
    <x v="22"/>
    <n v="6"/>
  </r>
  <r>
    <n v="101"/>
    <n v="876671"/>
    <s v="The Hunting Party "/>
    <s v="English"/>
    <x v="8"/>
    <n v="25000000"/>
    <x v="9"/>
    <n v="6.9"/>
  </r>
  <r>
    <n v="112"/>
    <n v="77231"/>
    <s v="Nomad: The Warrior "/>
    <s v="Kazakh"/>
    <x v="7"/>
    <n v="25000000"/>
    <x v="1"/>
    <n v="6"/>
  </r>
  <r>
    <n v="99"/>
    <n v="59073773"/>
    <s v="The Grand Budapest Hotel "/>
    <s v="English"/>
    <x v="8"/>
    <n v="25000000"/>
    <x v="16"/>
    <n v="8.1"/>
  </r>
  <r>
    <n v="116"/>
    <n v="121248145"/>
    <s v="Speed "/>
    <s v="English"/>
    <x v="8"/>
    <n v="25000000"/>
    <x v="22"/>
    <n v="7.2"/>
  </r>
  <r>
    <n v="138"/>
    <n v="90135191"/>
    <s v="Mystic River "/>
    <s v="English"/>
    <x v="8"/>
    <n v="25000000"/>
    <x v="18"/>
    <n v="8"/>
  </r>
  <r>
    <n v="108"/>
    <n v="83813460"/>
    <s v="Up in the Air "/>
    <s v="English"/>
    <x v="8"/>
    <n v="25000000"/>
    <x v="13"/>
    <n v="7.4"/>
  </r>
  <r>
    <n v="112"/>
    <n v="42478175"/>
    <s v="The Age of Adaline "/>
    <s v="English"/>
    <x v="8"/>
    <n v="25000000"/>
    <x v="12"/>
    <n v="7.2"/>
  </r>
  <r>
    <n v="102"/>
    <n v="38747385"/>
    <s v="Little Shop of Horrors "/>
    <s v="English"/>
    <x v="8"/>
    <n v="25000000"/>
    <x v="34"/>
    <n v="6.9"/>
  </r>
  <r>
    <n v="105"/>
    <n v="17100000"/>
    <s v="Fled "/>
    <s v="English"/>
    <x v="8"/>
    <n v="25000000"/>
    <x v="24"/>
    <n v="5.3"/>
  </r>
  <r>
    <n v="102"/>
    <n v="14334645"/>
    <s v="Godsend "/>
    <s v="English"/>
    <x v="8"/>
    <n v="25000000"/>
    <x v="3"/>
    <n v="4.8"/>
  </r>
  <r>
    <n v="109"/>
    <n v="3517797"/>
    <s v="The Good Thief "/>
    <s v="English"/>
    <x v="7"/>
    <n v="25000000"/>
    <x v="20"/>
    <n v="6.6"/>
  </r>
  <r>
    <n v="118"/>
    <n v="30920167"/>
    <s v="Joyful Noise "/>
    <s v="English"/>
    <x v="8"/>
    <n v="25000000"/>
    <x v="10"/>
    <n v="5.7"/>
  </r>
  <r>
    <n v="104"/>
    <n v="1089365"/>
    <s v="What Just Happened "/>
    <s v="English"/>
    <x v="8"/>
    <n v="25000000"/>
    <x v="7"/>
    <n v="5.7"/>
  </r>
  <r>
    <n v="123"/>
    <n v="100241322"/>
    <s v="Shakespeare in Love "/>
    <s v="English"/>
    <x v="8"/>
    <n v="25000000"/>
    <x v="6"/>
    <n v="7.2"/>
  </r>
  <r>
    <n v="125"/>
    <n v="219200000"/>
    <s v="Mrs. Doubtfire "/>
    <s v="English"/>
    <x v="8"/>
    <n v="25000000"/>
    <x v="27"/>
    <n v="6.9"/>
  </r>
  <r>
    <n v="133"/>
    <n v="172825435"/>
    <s v="Rain Man "/>
    <s v="English"/>
    <x v="8"/>
    <n v="25000000"/>
    <x v="4"/>
    <n v="8"/>
  </r>
  <r>
    <n v="93"/>
    <n v="145000989"/>
    <s v="Taken "/>
    <s v="English"/>
    <x v="7"/>
    <n v="25000000"/>
    <x v="7"/>
    <n v="7.9"/>
  </r>
  <r>
    <n v="129"/>
    <n v="121945720"/>
    <s v="The Bodyguard "/>
    <s v="English"/>
    <x v="8"/>
    <n v="25000000"/>
    <x v="26"/>
    <n v="6.1"/>
  </r>
  <r>
    <n v="146"/>
    <n v="169705587"/>
    <s v="The Help "/>
    <s v="English"/>
    <x v="8"/>
    <n v="25000000"/>
    <x v="15"/>
    <n v="8.1"/>
  </r>
  <r>
    <n v="85"/>
    <n v="80034302"/>
    <s v="Cloverfield "/>
    <s v="English"/>
    <x v="8"/>
    <n v="25000000"/>
    <x v="7"/>
    <n v="7"/>
  </r>
  <r>
    <n v="88"/>
    <n v="78656813"/>
    <s v="Teenage Mutant Ninja Turtles II: The Secret of the Ooze "/>
    <s v="English"/>
    <x v="8"/>
    <n v="25000000"/>
    <x v="23"/>
    <n v="6"/>
  </r>
  <r>
    <n v="119"/>
    <n v="76270454"/>
    <s v="The Untouchables "/>
    <s v="English"/>
    <x v="8"/>
    <n v="25000000"/>
    <x v="32"/>
    <n v="7.9"/>
  </r>
  <r>
    <n v="122"/>
    <n v="74273505"/>
    <s v="No Country for Old Men "/>
    <s v="English"/>
    <x v="8"/>
    <n v="25000000"/>
    <x v="9"/>
    <n v="8.1"/>
  </r>
  <r>
    <n v="99"/>
    <n v="134141530"/>
    <s v="Ride Along "/>
    <s v="English"/>
    <x v="8"/>
    <n v="25000000"/>
    <x v="16"/>
    <n v="6.2"/>
  </r>
  <r>
    <n v="121"/>
    <n v="71309760"/>
    <s v="Chocolat "/>
    <s v="English"/>
    <x v="9"/>
    <n v="25000000"/>
    <x v="21"/>
    <n v="7.3"/>
  </r>
  <r>
    <n v="105"/>
    <n v="77264926"/>
    <s v="Parental Guidance "/>
    <s v="English"/>
    <x v="8"/>
    <n v="25000000"/>
    <x v="10"/>
    <n v="6.1"/>
  </r>
  <r>
    <n v="108"/>
    <n v="70625986"/>
    <s v="No Strings Attached "/>
    <s v="English"/>
    <x v="8"/>
    <n v="25000000"/>
    <x v="15"/>
    <n v="6.2"/>
  </r>
  <r>
    <n v="134"/>
    <n v="56505065"/>
    <s v="Tombstone "/>
    <s v="English"/>
    <x v="8"/>
    <n v="25000000"/>
    <x v="27"/>
    <n v="7.8"/>
  </r>
  <r>
    <n v="115"/>
    <n v="55973336"/>
    <s v="Romeo Must Die "/>
    <s v="English"/>
    <x v="8"/>
    <n v="25000000"/>
    <x v="21"/>
    <n v="6.1"/>
  </r>
  <r>
    <n v="86"/>
    <n v="54098051"/>
    <s v="Final Destination 3 "/>
    <s v="English"/>
    <x v="12"/>
    <n v="25000000"/>
    <x v="0"/>
    <n v="5.8"/>
  </r>
  <r>
    <n v="101"/>
    <n v="60443237"/>
    <s v="The Lucky One "/>
    <s v="English"/>
    <x v="8"/>
    <n v="25000000"/>
    <x v="10"/>
    <n v="6.5"/>
  </r>
  <r>
    <n v="101"/>
    <n v="51676606"/>
    <s v="Finding Neverland "/>
    <s v="English"/>
    <x v="8"/>
    <n v="25000000"/>
    <x v="3"/>
    <n v="7.8"/>
  </r>
  <r>
    <n v="100"/>
    <n v="52528330"/>
    <s v="A Madea Christmas "/>
    <s v="English"/>
    <x v="8"/>
    <n v="25000000"/>
    <x v="17"/>
    <n v="4.7"/>
  </r>
  <r>
    <n v="117"/>
    <n v="51533608"/>
    <s v="The Grey "/>
    <s v="English"/>
    <x v="8"/>
    <n v="25000000"/>
    <x v="15"/>
    <n v="6.8"/>
  </r>
  <r>
    <n v="146"/>
    <n v="46836394"/>
    <s v="Goodfellas "/>
    <s v="English"/>
    <x v="8"/>
    <n v="25000000"/>
    <x v="25"/>
    <n v="8.6999999999999993"/>
  </r>
  <r>
    <n v="97"/>
    <n v="47124400"/>
    <s v="Nanny McPhee "/>
    <s v="English"/>
    <x v="8"/>
    <n v="25000000"/>
    <x v="1"/>
    <n v="6.6"/>
  </r>
  <r>
    <n v="142"/>
    <n v="44700000"/>
    <s v="Scarface "/>
    <s v="English"/>
    <x v="8"/>
    <n v="25000000"/>
    <x v="35"/>
    <n v="8.3000000000000007"/>
  </r>
  <r>
    <n v="98"/>
    <n v="44455658"/>
    <s v="Nothing to Lose "/>
    <s v="English"/>
    <x v="8"/>
    <n v="25000000"/>
    <x v="2"/>
    <n v="6.7"/>
  </r>
  <r>
    <n v="109"/>
    <n v="66489425"/>
    <s v="Contraband "/>
    <s v="English"/>
    <x v="8"/>
    <n v="25000000"/>
    <x v="10"/>
    <n v="6.5"/>
  </r>
  <r>
    <n v="97"/>
    <n v="41067398"/>
    <s v="Money Talks "/>
    <s v="English"/>
    <x v="8"/>
    <n v="25000000"/>
    <x v="2"/>
    <n v="6.1"/>
  </r>
  <r>
    <n v="158"/>
    <n v="40218903"/>
    <s v="There Will Be Blood "/>
    <s v="English"/>
    <x v="8"/>
    <n v="25000000"/>
    <x v="9"/>
    <n v="8.1"/>
  </r>
  <r>
    <n v="85"/>
    <n v="39880476"/>
    <s v="The Wild Thornberrys Movie "/>
    <s v="English"/>
    <x v="8"/>
    <n v="25000000"/>
    <x v="20"/>
    <n v="5.2"/>
  </r>
  <r>
    <n v="80"/>
    <n v="39399750"/>
    <s v="Rugrats Go Wild "/>
    <s v="English"/>
    <x v="8"/>
    <n v="25000000"/>
    <x v="18"/>
    <n v="5.6"/>
  </r>
  <r>
    <n v="86"/>
    <n v="38230435"/>
    <s v="Undercover Brother "/>
    <s v="English"/>
    <x v="8"/>
    <n v="25000000"/>
    <x v="20"/>
    <n v="5.8"/>
  </r>
  <r>
    <n v="119"/>
    <n v="39008741"/>
    <s v="The Sisterhood of the Traveling Pants "/>
    <s v="English"/>
    <x v="8"/>
    <n v="25000000"/>
    <x v="1"/>
    <n v="6.6"/>
  </r>
  <r>
    <n v="98"/>
    <n v="36833473"/>
    <s v="Kiss of the Dragon "/>
    <s v="English"/>
    <x v="7"/>
    <n v="25000000"/>
    <x v="8"/>
    <n v="6.6"/>
  </r>
  <r>
    <n v="97"/>
    <n v="48237389"/>
    <s v="The House Bunny "/>
    <s v="English"/>
    <x v="8"/>
    <n v="25000000"/>
    <x v="7"/>
    <n v="5.5"/>
  </r>
  <r>
    <n v="124"/>
    <n v="36447959"/>
    <s v="Million Dollar Arm "/>
    <s v="English"/>
    <x v="8"/>
    <n v="25000000"/>
    <x v="16"/>
    <n v="7"/>
  </r>
  <r>
    <n v="97"/>
    <n v="45089048"/>
    <s v="The Giver "/>
    <s v="English"/>
    <x v="22"/>
    <n v="25000000"/>
    <x v="16"/>
    <n v="6.5"/>
  </r>
  <r>
    <n v="101"/>
    <n v="35000629"/>
    <s v="Good Luck Chuck "/>
    <s v="English"/>
    <x v="8"/>
    <n v="25000000"/>
    <x v="9"/>
    <n v="5.6"/>
  </r>
  <r>
    <n v="114"/>
    <n v="41597830"/>
    <s v="The Hours "/>
    <s v="English"/>
    <x v="8"/>
    <n v="25000000"/>
    <x v="20"/>
    <n v="7.6"/>
  </r>
  <r>
    <n v="90"/>
    <n v="32553210"/>
    <s v="Mr. Bean's Holiday "/>
    <s v="English"/>
    <x v="9"/>
    <n v="25000000"/>
    <x v="9"/>
    <n v="6.3"/>
  </r>
  <r>
    <n v="97"/>
    <n v="31526393"/>
    <s v="Anacondas: The Hunt for the Blood Orchid "/>
    <s v="English"/>
    <x v="8"/>
    <n v="25000000"/>
    <x v="3"/>
    <n v="4.5999999999999996"/>
  </r>
  <r>
    <n v="124"/>
    <n v="30012990"/>
    <s v="Elizabeth "/>
    <s v="English"/>
    <x v="9"/>
    <n v="25000000"/>
    <x v="6"/>
    <n v="7.5"/>
  </r>
  <r>
    <n v="89"/>
    <n v="32368960"/>
    <s v="Bride of Chucky "/>
    <s v="English"/>
    <x v="11"/>
    <n v="25000000"/>
    <x v="6"/>
    <n v="5.3"/>
  </r>
  <r>
    <n v="160"/>
    <n v="14500000"/>
    <s v="Tora! Tora! Tora! "/>
    <s v="English"/>
    <x v="2"/>
    <n v="25000000"/>
    <x v="41"/>
    <n v="7.5"/>
  </r>
  <r>
    <n v="93"/>
    <n v="29247405"/>
    <s v="Spice World "/>
    <s v="English"/>
    <x v="9"/>
    <n v="25000000"/>
    <x v="2"/>
    <n v="3.3"/>
  </r>
  <r>
    <n v="88"/>
    <n v="25615792"/>
    <s v="Dance Flick "/>
    <s v="English"/>
    <x v="8"/>
    <n v="25000000"/>
    <x v="13"/>
    <n v="3.5"/>
  </r>
  <r>
    <n v="142"/>
    <n v="28341469"/>
    <s v="The Shawshank Redemption "/>
    <s v="English"/>
    <x v="8"/>
    <n v="25000000"/>
    <x v="22"/>
    <n v="9.3000000000000007"/>
  </r>
  <r>
    <n v="111"/>
    <n v="33631221"/>
    <s v="The Gambler "/>
    <s v="English"/>
    <x v="8"/>
    <n v="25000000"/>
    <x v="16"/>
    <n v="6"/>
  </r>
  <r>
    <n v="121"/>
    <n v="37738400"/>
    <s v="August: Osage County "/>
    <s v="English"/>
    <x v="8"/>
    <n v="25000000"/>
    <x v="17"/>
    <n v="7.3"/>
  </r>
  <r>
    <n v="136"/>
    <n v="21554585"/>
    <s v="He Got Game "/>
    <s v="English"/>
    <x v="8"/>
    <n v="25000000"/>
    <x v="6"/>
    <n v="6.9"/>
  </r>
  <r>
    <n v="97"/>
    <n v="22200000"/>
    <s v="Don Juan DeMarco "/>
    <s v="English"/>
    <x v="8"/>
    <n v="25000000"/>
    <x v="22"/>
    <n v="6.8"/>
  </r>
  <r>
    <n v="108"/>
    <n v="80014842"/>
    <s v="Dear John "/>
    <s v="English"/>
    <x v="8"/>
    <n v="25000000"/>
    <x v="11"/>
    <n v="6.3"/>
  </r>
  <r>
    <n v="97"/>
    <n v="23527955"/>
    <s v="The Losers "/>
    <s v="English"/>
    <x v="8"/>
    <n v="25000000"/>
    <x v="11"/>
    <n v="6.4"/>
  </r>
  <r>
    <n v="99"/>
    <n v="24042490"/>
    <s v="Don't Be Afraid of the Dark "/>
    <s v="English"/>
    <x v="8"/>
    <n v="25000000"/>
    <x v="11"/>
    <n v="5.6"/>
  </r>
  <r>
    <n v="103"/>
    <n v="22466994"/>
    <s v="War "/>
    <s v="English"/>
    <x v="8"/>
    <n v="25000000"/>
    <x v="9"/>
    <n v="6.3"/>
  </r>
  <r>
    <n v="95"/>
    <n v="17791031"/>
    <s v="Punch-Drunk Love "/>
    <s v="English"/>
    <x v="8"/>
    <n v="25000000"/>
    <x v="20"/>
    <n v="7.3"/>
  </r>
  <r>
    <n v="93"/>
    <n v="17718223"/>
    <s v="EuroTrip "/>
    <s v="English"/>
    <x v="8"/>
    <n v="25000000"/>
    <x v="3"/>
    <n v="6.6"/>
  </r>
  <r>
    <n v="107"/>
    <n v="16118077"/>
    <s v="Bright Lights, Big City "/>
    <s v="English"/>
    <x v="8"/>
    <n v="25000000"/>
    <x v="4"/>
    <n v="5.6"/>
  </r>
  <r>
    <n v="90"/>
    <n v="15091542"/>
    <s v="The Adventures of Pinocchio "/>
    <s v="Italian"/>
    <x v="9"/>
    <n v="25000000"/>
    <x v="24"/>
    <n v="5.3"/>
  </r>
  <r>
    <n v="99"/>
    <n v="14983572"/>
    <s v="The Next Best Thing "/>
    <s v="English"/>
    <x v="8"/>
    <n v="25000000"/>
    <x v="21"/>
    <n v="4.7"/>
  </r>
  <r>
    <n v="107"/>
    <n v="14637490"/>
    <s v="My Soul to Take "/>
    <s v="English"/>
    <x v="8"/>
    <n v="25000000"/>
    <x v="11"/>
    <n v="4.8"/>
  </r>
  <r>
    <n v="110"/>
    <n v="14589444"/>
    <s v="The Girl Next Door "/>
    <s v="English"/>
    <x v="8"/>
    <n v="25000000"/>
    <x v="3"/>
    <n v="6.8"/>
  </r>
  <r>
    <n v="101"/>
    <n v="14095303"/>
    <s v="Maximum Risk "/>
    <s v="English"/>
    <x v="8"/>
    <n v="25000000"/>
    <x v="24"/>
    <n v="5.4"/>
  </r>
  <r>
    <n v="85"/>
    <n v="13973532"/>
    <s v="Stealing Harvard "/>
    <s v="English"/>
    <x v="8"/>
    <n v="25000000"/>
    <x v="20"/>
    <n v="5.0999999999999996"/>
  </r>
  <r>
    <n v="90"/>
    <n v="18860403"/>
    <s v="Shark Night 3D "/>
    <s v="English"/>
    <x v="8"/>
    <n v="25000000"/>
    <x v="15"/>
    <n v="4"/>
  </r>
  <r>
    <n v="145"/>
    <n v="13038660"/>
    <s v="Angela's Ashes "/>
    <s v="English"/>
    <x v="8"/>
    <n v="25000000"/>
    <x v="5"/>
    <n v="7.3"/>
  </r>
  <r>
    <n v="110"/>
    <n v="28831145"/>
    <s v="Draft Day "/>
    <s v="English"/>
    <x v="8"/>
    <n v="25000000"/>
    <x v="16"/>
    <n v="6.8"/>
  </r>
  <r>
    <n v="122"/>
    <n v="11538204"/>
    <s v="The Conspirator "/>
    <s v="English"/>
    <x v="8"/>
    <n v="25000000"/>
    <x v="11"/>
    <n v="7"/>
  </r>
  <r>
    <n v="107"/>
    <n v="11008432"/>
    <s v="Lords of Dogtown "/>
    <s v="English"/>
    <x v="8"/>
    <n v="25000000"/>
    <x v="1"/>
    <n v="7.1"/>
  </r>
  <r>
    <n v="99"/>
    <n v="11100000"/>
    <s v="Big Trouble in Little China "/>
    <s v="English"/>
    <x v="8"/>
    <n v="25000000"/>
    <x v="34"/>
    <n v="7.3"/>
  </r>
  <r>
    <n v="140"/>
    <n v="13651662"/>
    <s v="Warrior "/>
    <s v="English"/>
    <x v="8"/>
    <n v="25000000"/>
    <x v="15"/>
    <n v="8.1999999999999993"/>
  </r>
  <r>
    <n v="271"/>
    <n v="10769960"/>
    <s v="Gettysburg "/>
    <s v="English"/>
    <x v="8"/>
    <n v="25000000"/>
    <x v="27"/>
    <n v="7.7"/>
  </r>
  <r>
    <n v="112"/>
    <n v="10911750"/>
    <s v="Stop-Loss "/>
    <s v="English"/>
    <x v="8"/>
    <n v="25000000"/>
    <x v="7"/>
    <n v="6.5"/>
  </r>
  <r>
    <n v="99"/>
    <n v="10719367"/>
    <s v="Abandon "/>
    <s v="English"/>
    <x v="8"/>
    <n v="25000000"/>
    <x v="20"/>
    <n v="4.9000000000000004"/>
  </r>
  <r>
    <n v="100"/>
    <n v="10114315"/>
    <s v="Brokedown Palace "/>
    <s v="English"/>
    <x v="8"/>
    <n v="25000000"/>
    <x v="5"/>
    <n v="6.4"/>
  </r>
  <r>
    <n v="105"/>
    <n v="10070000"/>
    <s v="Mrs. Winterbourne "/>
    <s v="English"/>
    <x v="8"/>
    <n v="25000000"/>
    <x v="24"/>
    <n v="6.2"/>
  </r>
  <r>
    <n v="110"/>
    <n v="10324441"/>
    <s v="Straw Dogs "/>
    <s v="English"/>
    <x v="8"/>
    <n v="25000000"/>
    <x v="15"/>
    <n v="5.8"/>
  </r>
  <r>
    <n v="116"/>
    <n v="7156933"/>
    <s v="The Hoax "/>
    <s v="English"/>
    <x v="8"/>
    <n v="25000000"/>
    <x v="0"/>
    <n v="6.7"/>
  </r>
  <r>
    <n v="111"/>
    <n v="56692"/>
    <s v="The Road "/>
    <s v="English"/>
    <x v="8"/>
    <n v="25000000"/>
    <x v="13"/>
    <n v="7.3"/>
  </r>
  <r>
    <n v="95"/>
    <n v="5654777"/>
    <s v="Underclassman "/>
    <s v="English"/>
    <x v="8"/>
    <n v="25000000"/>
    <x v="1"/>
    <n v="4.0999999999999996"/>
  </r>
  <r>
    <n v="95"/>
    <n v="5516708"/>
    <s v="Say It Isn't So "/>
    <s v="English"/>
    <x v="8"/>
    <n v="25000000"/>
    <x v="8"/>
    <n v="4.9000000000000004"/>
  </r>
  <r>
    <n v="127"/>
    <n v="5128124"/>
    <s v="The World's Fastest Indian "/>
    <s v="English"/>
    <x v="10"/>
    <n v="25000000"/>
    <x v="1"/>
    <n v="7.9"/>
  </r>
  <r>
    <n v="104"/>
    <n v="4064333"/>
    <s v="Tank Girl "/>
    <s v="English"/>
    <x v="8"/>
    <n v="25000000"/>
    <x v="19"/>
    <n v="5.2"/>
  </r>
  <r>
    <n v="121"/>
    <n v="3073392"/>
    <s v="Blindness "/>
    <s v="English"/>
    <x v="11"/>
    <n v="25000000"/>
    <x v="7"/>
    <n v="6.6"/>
  </r>
  <r>
    <n v="92"/>
    <n v="1550000"/>
    <s v="BloodRayne "/>
    <s v="English"/>
    <x v="8"/>
    <n v="25000000"/>
    <x v="1"/>
    <n v="2.9"/>
  </r>
  <r>
    <n v="107"/>
    <n v="871527"/>
    <s v="Where the Truth Lies "/>
    <s v="English"/>
    <x v="11"/>
    <n v="25000000"/>
    <x v="1"/>
    <n v="6.5"/>
  </r>
  <r>
    <n v="117"/>
    <n v="777423"/>
    <s v="Without Limits "/>
    <s v="English"/>
    <x v="8"/>
    <n v="25000000"/>
    <x v="6"/>
    <n v="7.2"/>
  </r>
  <r>
    <n v="107"/>
    <n v="1186957"/>
    <s v="Me and Orson Welles "/>
    <s v="English"/>
    <x v="9"/>
    <n v="25000000"/>
    <x v="7"/>
    <n v="6.8"/>
  </r>
  <r>
    <n v="134"/>
    <n v="183662"/>
    <s v="Little White Lies "/>
    <s v="French"/>
    <x v="7"/>
    <n v="25000000"/>
    <x v="11"/>
    <n v="7.1"/>
  </r>
  <r>
    <n v="117"/>
    <n v="134904"/>
    <s v="Love Ranch "/>
    <s v="English"/>
    <x v="8"/>
    <n v="25000000"/>
    <x v="11"/>
    <n v="5.7"/>
  </r>
  <r>
    <n v="138"/>
    <n v="16969390"/>
    <s v="The Counselor "/>
    <s v="English"/>
    <x v="8"/>
    <n v="25000000"/>
    <x v="17"/>
    <n v="5.3"/>
  </r>
  <r>
    <n v="100"/>
    <n v="129115"/>
    <s v="Kung Fu Killer "/>
    <s v="Cantonese"/>
    <x v="5"/>
    <n v="25000000"/>
    <x v="16"/>
    <n v="6.5"/>
  </r>
  <r>
    <n v="137"/>
    <n v="717753"/>
    <s v="On the Road "/>
    <s v="English"/>
    <x v="7"/>
    <n v="25000000"/>
    <x v="10"/>
    <n v="6.1"/>
  </r>
  <r>
    <n v="119"/>
    <n v="109713132"/>
    <s v="Star Trek IV: The Voyage Home "/>
    <s v="English"/>
    <x v="8"/>
    <n v="25000000"/>
    <x v="34"/>
    <n v="7.3"/>
  </r>
  <r>
    <n v="98"/>
    <n v="1512815"/>
    <s v="Jane Got a Gun "/>
    <s v="English"/>
    <x v="8"/>
    <n v="25000000"/>
    <x v="14"/>
    <n v="5.8"/>
  </r>
  <r>
    <n v="94"/>
    <n v="32416109"/>
    <s v="The Men Who Stare at Goats "/>
    <s v="English"/>
    <x v="8"/>
    <n v="25000000"/>
    <x v="13"/>
    <n v="6.2"/>
  </r>
  <r>
    <n v="100"/>
    <n v="4756"/>
    <s v="The Adventurer: The Curse of the Midas Box "/>
    <s v="English"/>
    <x v="9"/>
    <n v="25000000"/>
    <x v="17"/>
    <n v="5.4"/>
  </r>
  <r>
    <n v="114"/>
    <n v="71975611"/>
    <s v="1408 "/>
    <s v="English"/>
    <x v="8"/>
    <n v="25000000"/>
    <x v="9"/>
    <n v="6.8"/>
  </r>
  <r>
    <n v="143"/>
    <n v="5000000"/>
    <s v="Darling Lili "/>
    <s v="English"/>
    <x v="8"/>
    <n v="25000000"/>
    <x v="41"/>
    <n v="6.2"/>
  </r>
  <r>
    <n v="96"/>
    <n v="16027866"/>
    <s v="The Transporter Refueled "/>
    <s v="English"/>
    <x v="7"/>
    <n v="25000000"/>
    <x v="12"/>
    <n v="5.0999999999999996"/>
  </r>
  <r>
    <n v="119"/>
    <n v="49024969"/>
    <s v="Michael Clayton "/>
    <s v="English"/>
    <x v="8"/>
    <n v="25000000"/>
    <x v="9"/>
    <n v="7.3"/>
  </r>
  <r>
    <n v="143"/>
    <n v="34300771"/>
    <s v="Babel "/>
    <s v="English"/>
    <x v="7"/>
    <n v="25000000"/>
    <x v="0"/>
    <n v="7.5"/>
  </r>
  <r>
    <n v="88"/>
    <n v="14174654"/>
    <s v="Disaster Movie "/>
    <s v="English"/>
    <x v="8"/>
    <n v="25000000"/>
    <x v="7"/>
    <n v="1.9"/>
  </r>
  <r>
    <n v="132"/>
    <n v="8600000"/>
    <s v="The Bounty "/>
    <s v="English"/>
    <x v="9"/>
    <n v="25000000"/>
    <x v="29"/>
    <n v="7"/>
  </r>
  <r>
    <n v="94"/>
    <n v="30222640"/>
    <s v="Honey "/>
    <s v="English"/>
    <x v="8"/>
    <n v="25000000"/>
    <x v="18"/>
    <n v="5.3"/>
  </r>
  <r>
    <n v="105"/>
    <n v="22723"/>
    <s v="All the Queen's Men "/>
    <s v="English"/>
    <x v="12"/>
    <n v="25000000"/>
    <x v="8"/>
    <n v="4.5"/>
  </r>
  <r>
    <n v="94"/>
    <n v="79817937"/>
    <s v="The Golden Child "/>
    <s v="English"/>
    <x v="8"/>
    <n v="25000000"/>
    <x v="34"/>
    <n v="5.9"/>
  </r>
  <r>
    <n v="116"/>
    <n v="93571803"/>
    <s v="The Fighter "/>
    <s v="English"/>
    <x v="8"/>
    <n v="25000000"/>
    <x v="11"/>
    <n v="7.9"/>
  </r>
  <r>
    <n v="100"/>
    <n v="16247775"/>
    <s v="The Perfect Man "/>
    <s v="English"/>
    <x v="8"/>
    <n v="25000000"/>
    <x v="1"/>
    <n v="5.5"/>
  </r>
  <r>
    <n v="107"/>
    <n v="14637490"/>
    <s v="My Soul to Take "/>
    <s v="English"/>
    <x v="8"/>
    <n v="25000000"/>
    <x v="11"/>
    <n v="4.8"/>
  </r>
  <r>
    <n v="111"/>
    <n v="33631221"/>
    <s v="The Gambler "/>
    <s v="English"/>
    <x v="8"/>
    <n v="25000000"/>
    <x v="16"/>
    <n v="6"/>
  </r>
  <r>
    <n v="85"/>
    <n v="13973532"/>
    <s v="Stealing Harvard "/>
    <s v="English"/>
    <x v="8"/>
    <n v="25000000"/>
    <x v="20"/>
    <n v="5.0999999999999996"/>
  </r>
  <r>
    <n v="133"/>
    <n v="9910"/>
    <s v="As It Is in Heaven "/>
    <s v="Swedish"/>
    <x v="25"/>
    <n v="25000000"/>
    <x v="3"/>
    <n v="7.6"/>
  </r>
  <r>
    <n v="83"/>
    <n v="10431220"/>
    <s v="Universal Soldier: The Return "/>
    <s v="English"/>
    <x v="8"/>
    <n v="24000000"/>
    <x v="5"/>
    <n v="4.0999999999999996"/>
  </r>
  <r>
    <n v="83"/>
    <n v="100491683"/>
    <s v="The Rugrats Movie "/>
    <s v="English"/>
    <x v="8"/>
    <n v="24000000"/>
    <x v="6"/>
    <n v="5.9"/>
  </r>
  <r>
    <n v="139"/>
    <n v="70269171"/>
    <s v="Rocky Balboa "/>
    <s v="English"/>
    <x v="8"/>
    <n v="24000000"/>
    <x v="0"/>
    <n v="7.2"/>
  </r>
  <r>
    <n v="120"/>
    <n v="101334374"/>
    <s v="Scream 2 "/>
    <s v="English"/>
    <x v="8"/>
    <n v="24000000"/>
    <x v="2"/>
    <n v="6.1"/>
  </r>
  <r>
    <n v="106"/>
    <n v="65182182"/>
    <s v="Think Like a Man Too "/>
    <s v="English"/>
    <x v="8"/>
    <n v="24000000"/>
    <x v="16"/>
    <n v="5.7"/>
  </r>
  <r>
    <n v="98"/>
    <n v="57262492"/>
    <s v="The Whole Nine Yards "/>
    <s v="English"/>
    <x v="8"/>
    <n v="24000000"/>
    <x v="21"/>
    <n v="6.7"/>
  </r>
  <r>
    <n v="88"/>
    <n v="74608545"/>
    <s v="Old School "/>
    <s v="English"/>
    <x v="8"/>
    <n v="24000000"/>
    <x v="18"/>
    <n v="7.2"/>
  </r>
  <r>
    <n v="137"/>
    <n v="41895491"/>
    <s v="The Fisher King "/>
    <s v="English"/>
    <x v="8"/>
    <n v="24000000"/>
    <x v="23"/>
    <n v="7.6"/>
  </r>
  <r>
    <n v="100"/>
    <n v="39989008"/>
    <s v="I Still Know What You Did Last Summer "/>
    <s v="English"/>
    <x v="8"/>
    <n v="24000000"/>
    <x v="6"/>
    <n v="4.5999999999999996"/>
  </r>
  <r>
    <n v="115"/>
    <n v="32662299"/>
    <s v="Return to Me "/>
    <s v="English"/>
    <x v="8"/>
    <n v="24000000"/>
    <x v="21"/>
    <n v="6.9"/>
  </r>
  <r>
    <n v="101"/>
    <n v="31452765"/>
    <s v="Zack and Miri Make a Porno "/>
    <s v="English"/>
    <x v="8"/>
    <n v="24000000"/>
    <x v="7"/>
    <n v="6.6"/>
  </r>
  <r>
    <n v="110"/>
    <n v="25167270"/>
    <s v="Nurse Betty "/>
    <s v="English"/>
    <x v="12"/>
    <n v="24000000"/>
    <x v="21"/>
    <n v="6.3"/>
  </r>
  <r>
    <n v="88"/>
    <n v="20218"/>
    <s v="Double Take "/>
    <s v="English"/>
    <x v="8"/>
    <n v="24000000"/>
    <x v="8"/>
    <n v="5.3"/>
  </r>
  <r>
    <n v="127"/>
    <n v="28871190"/>
    <s v="Girl, Interrupted "/>
    <s v="English"/>
    <x v="8"/>
    <n v="24000000"/>
    <x v="5"/>
    <n v="7.3"/>
  </r>
  <r>
    <n v="95"/>
    <n v="16964743"/>
    <s v="Win a Date with Tad Hamilton! "/>
    <s v="English"/>
    <x v="8"/>
    <n v="24000000"/>
    <x v="3"/>
    <n v="5.6"/>
  </r>
  <r>
    <n v="87"/>
    <n v="16290976"/>
    <s v="Muppets from Space "/>
    <s v="English"/>
    <x v="8"/>
    <n v="24000000"/>
    <x v="5"/>
    <n v="6.2"/>
  </r>
  <r>
    <n v="118"/>
    <n v="13000000"/>
    <s v="The Wiz "/>
    <s v="English"/>
    <x v="8"/>
    <n v="24000000"/>
    <x v="30"/>
    <n v="5.2"/>
  </r>
  <r>
    <n v="107"/>
    <n v="12372410"/>
    <s v="Ready to Rumble "/>
    <s v="English"/>
    <x v="8"/>
    <n v="24000000"/>
    <x v="21"/>
    <n v="5.3"/>
  </r>
  <r>
    <n v="124"/>
    <n v="8427204"/>
    <s v="Play It to the Bone "/>
    <s v="English"/>
    <x v="8"/>
    <n v="24000000"/>
    <x v="5"/>
    <n v="5.4"/>
  </r>
  <r>
    <n v="89"/>
    <n v="9639242"/>
    <s v="I Don't Know How She Does It "/>
    <s v="English"/>
    <x v="8"/>
    <n v="24000000"/>
    <x v="15"/>
    <n v="4.9000000000000004"/>
  </r>
  <r>
    <n v="88"/>
    <n v="25003072"/>
    <s v="Piranha 3D "/>
    <s v="English"/>
    <x v="8"/>
    <n v="24000000"/>
    <x v="11"/>
    <n v="5.5"/>
  </r>
  <r>
    <n v="120"/>
    <n v="42880"/>
    <s v="The Bridge of San Luis Rey "/>
    <s v="English"/>
    <x v="9"/>
    <n v="24000000"/>
    <x v="3"/>
    <n v="5.0999999999999996"/>
  </r>
  <r>
    <n v="98"/>
    <n v="23225911"/>
    <s v="Faster "/>
    <s v="English"/>
    <x v="8"/>
    <n v="24000000"/>
    <x v="11"/>
    <n v="6.5"/>
  </r>
  <r>
    <n v="119"/>
    <n v="4710455"/>
    <s v="Howl's Moving Castle "/>
    <s v="Japanese"/>
    <x v="2"/>
    <n v="24000000"/>
    <x v="3"/>
    <n v="8.1999999999999993"/>
  </r>
  <r>
    <n v="115"/>
    <n v="882710"/>
    <s v="The Yards "/>
    <s v="English"/>
    <x v="8"/>
    <n v="24000000"/>
    <x v="21"/>
    <n v="6.4"/>
  </r>
  <r>
    <n v="94"/>
    <n v="39687528"/>
    <s v="Hitman "/>
    <s v="English"/>
    <x v="7"/>
    <n v="24000000"/>
    <x v="9"/>
    <n v="6.3"/>
  </r>
  <r>
    <n v="90"/>
    <n v="5108820"/>
    <s v="Gossip "/>
    <s v="English"/>
    <x v="8"/>
    <n v="24000000"/>
    <x v="21"/>
    <n v="5.9"/>
  </r>
  <r>
    <n v="88"/>
    <n v="75590286"/>
    <s v="Zombieland "/>
    <s v="English"/>
    <x v="8"/>
    <n v="23600000"/>
    <x v="13"/>
    <n v="7.7"/>
  </r>
  <r>
    <n v="104"/>
    <n v="10696210"/>
    <s v="RoboCop 3 "/>
    <s v="English"/>
    <x v="8"/>
    <n v="23500000"/>
    <x v="27"/>
    <n v="3.9"/>
  </r>
  <r>
    <n v="98"/>
    <n v="50693162"/>
    <s v="The Crow "/>
    <s v="English"/>
    <x v="8"/>
    <n v="23000000"/>
    <x v="22"/>
    <n v="7.6"/>
  </r>
  <r>
    <n v="101"/>
    <n v="12189514"/>
    <s v="Chasing Liberty "/>
    <s v="English"/>
    <x v="8"/>
    <n v="23000000"/>
    <x v="3"/>
    <n v="6.1"/>
  </r>
  <r>
    <n v="120"/>
    <n v="763044"/>
    <s v="The Statement "/>
    <s v="English"/>
    <x v="11"/>
    <n v="23000000"/>
    <x v="18"/>
    <n v="6.2"/>
  </r>
  <r>
    <n v="219"/>
    <n v="43984230"/>
    <s v="The Last Emperor "/>
    <s v="English"/>
    <x v="5"/>
    <n v="23000000"/>
    <x v="32"/>
    <n v="7.8"/>
  </r>
  <r>
    <n v="106"/>
    <n v="15785632"/>
    <s v="Eddie the Eagle "/>
    <s v="English"/>
    <x v="9"/>
    <n v="23000000"/>
    <x v="14"/>
    <n v="7.5"/>
  </r>
  <r>
    <n v="118"/>
    <n v="6144806"/>
    <s v="Beyond the Sea "/>
    <s v="English"/>
    <x v="8"/>
    <n v="23000000"/>
    <x v="3"/>
    <n v="6.7"/>
  </r>
  <r>
    <n v="85"/>
    <n v="86930411"/>
    <s v="The Naked Gun 2½: The Smell of Fear "/>
    <s v="English"/>
    <x v="8"/>
    <n v="23000000"/>
    <x v="23"/>
    <n v="6.8"/>
  </r>
  <r>
    <n v="98"/>
    <n v="53302314"/>
    <s v="Final Destination "/>
    <s v="English"/>
    <x v="8"/>
    <n v="23000000"/>
    <x v="21"/>
    <n v="6.7"/>
  </r>
  <r>
    <n v="112"/>
    <n v="39235088"/>
    <s v="Pitch Black "/>
    <s v="English"/>
    <x v="8"/>
    <n v="23000000"/>
    <x v="21"/>
    <n v="7.1"/>
  </r>
  <r>
    <n v="97"/>
    <n v="27338033"/>
    <s v="Someone Like You... "/>
    <s v="English"/>
    <x v="8"/>
    <n v="23000000"/>
    <x v="8"/>
    <n v="6.1"/>
  </r>
  <r>
    <n v="126"/>
    <n v="25556065"/>
    <s v="Her "/>
    <s v="English"/>
    <x v="8"/>
    <n v="23000000"/>
    <x v="17"/>
    <n v="8"/>
  </r>
  <r>
    <n v="106"/>
    <n v="15785632"/>
    <s v="Eddie the Eagle "/>
    <s v="English"/>
    <x v="9"/>
    <n v="23000000"/>
    <x v="14"/>
    <n v="7.5"/>
  </r>
  <r>
    <n v="97"/>
    <n v="21973182"/>
    <s v="Joy Ride "/>
    <s v="English"/>
    <x v="8"/>
    <n v="23000000"/>
    <x v="8"/>
    <n v="6.6"/>
  </r>
  <r>
    <n v="114"/>
    <n v="18653615"/>
    <s v="Anywhere But Here "/>
    <s v="English"/>
    <x v="8"/>
    <n v="23000000"/>
    <x v="5"/>
    <n v="6.1"/>
  </r>
  <r>
    <n v="101"/>
    <n v="12189514"/>
    <s v="Chasing Liberty "/>
    <s v="English"/>
    <x v="8"/>
    <n v="23000000"/>
    <x v="3"/>
    <n v="6.1"/>
  </r>
  <r>
    <n v="88"/>
    <n v="13019253"/>
    <s v="The Crew "/>
    <s v="English"/>
    <x v="8"/>
    <n v="23000000"/>
    <x v="21"/>
    <n v="5.6"/>
  </r>
  <r>
    <n v="93"/>
    <n v="18934858"/>
    <s v="Haywire "/>
    <s v="English"/>
    <x v="23"/>
    <n v="23000000"/>
    <x v="15"/>
    <n v="5.8"/>
  </r>
  <r>
    <n v="92"/>
    <n v="20763013"/>
    <s v="Jaws: The Revenge "/>
    <s v="English"/>
    <x v="8"/>
    <n v="23000000"/>
    <x v="32"/>
    <n v="2.8"/>
  </r>
  <r>
    <n v="98"/>
    <n v="12782508"/>
    <s v="Marvin's Room "/>
    <s v="English"/>
    <x v="8"/>
    <n v="23000000"/>
    <x v="24"/>
    <n v="6.7"/>
  </r>
  <r>
    <n v="94"/>
    <n v="11508423"/>
    <s v="The Longshots "/>
    <s v="English"/>
    <x v="8"/>
    <n v="23000000"/>
    <x v="7"/>
    <n v="5.0999999999999996"/>
  </r>
  <r>
    <n v="102"/>
    <n v="10660147"/>
    <s v="The End of the Affair "/>
    <s v="English"/>
    <x v="9"/>
    <n v="23000000"/>
    <x v="5"/>
    <n v="7.2"/>
  </r>
  <r>
    <n v="98"/>
    <n v="7434726"/>
    <s v="Harley Davidson and the Marlboro Man "/>
    <s v="English"/>
    <x v="8"/>
    <n v="23000000"/>
    <x v="23"/>
    <n v="6"/>
  </r>
  <r>
    <n v="100"/>
    <n v="2708188"/>
    <s v="Chéri "/>
    <s v="English"/>
    <x v="9"/>
    <n v="23000000"/>
    <x v="13"/>
    <n v="6.2"/>
  </r>
  <r>
    <n v="141"/>
    <n v="16123851"/>
    <s v="Vanity Fair "/>
    <s v="English"/>
    <x v="8"/>
    <n v="23000000"/>
    <x v="3"/>
    <n v="6.2"/>
  </r>
  <r>
    <n v="107"/>
    <n v="176483808"/>
    <s v="There's Something About Mary "/>
    <s v="English"/>
    <x v="8"/>
    <n v="23000000"/>
    <x v="6"/>
    <n v="7.1"/>
  </r>
  <r>
    <n v="97"/>
    <n v="6923891"/>
    <s v="Take Me Home Tonight "/>
    <s v="English"/>
    <x v="8"/>
    <n v="23000000"/>
    <x v="15"/>
    <n v="6.3"/>
  </r>
  <r>
    <n v="98"/>
    <n v="58006147"/>
    <s v="Step Up 2: The Streets "/>
    <s v="English"/>
    <x v="8"/>
    <n v="23000000"/>
    <x v="7"/>
    <n v="6.2"/>
  </r>
  <r>
    <n v="82"/>
    <n v="36696761"/>
    <s v="Recess: School's Out "/>
    <s v="English"/>
    <x v="8"/>
    <n v="23000000"/>
    <x v="8"/>
    <n v="6.5"/>
  </r>
  <r>
    <n v="96"/>
    <n v="38119483"/>
    <s v="Spaceballs "/>
    <s v="English"/>
    <x v="8"/>
    <n v="22700000"/>
    <x v="32"/>
    <n v="7.1"/>
  </r>
  <r>
    <n v="111"/>
    <n v="4190530"/>
    <s v="The Water Diviner "/>
    <s v="English"/>
    <x v="13"/>
    <n v="22500000"/>
    <x v="16"/>
    <n v="7.1"/>
  </r>
  <r>
    <n v="108"/>
    <n v="9528092"/>
    <s v="Fair Game "/>
    <s v="English"/>
    <x v="8"/>
    <n v="22000000"/>
    <x v="11"/>
    <n v="6.8"/>
  </r>
  <r>
    <n v="139"/>
    <n v="58328680"/>
    <s v="Open Range "/>
    <s v="English"/>
    <x v="8"/>
    <n v="22000000"/>
    <x v="18"/>
    <n v="7.5"/>
  </r>
  <r>
    <n v="101"/>
    <n v="1075288"/>
    <s v="Blood and Wine "/>
    <s v="English"/>
    <x v="8"/>
    <n v="22000000"/>
    <x v="24"/>
    <n v="6.1"/>
  </r>
  <r>
    <n v="185"/>
    <n v="96067179"/>
    <s v="Schindler's List "/>
    <s v="English"/>
    <x v="8"/>
    <n v="22000000"/>
    <x v="27"/>
    <n v="8.9"/>
  </r>
  <r>
    <n v="127"/>
    <n v="217631306"/>
    <s v="Ghost "/>
    <s v="English"/>
    <x v="8"/>
    <n v="22000000"/>
    <x v="25"/>
    <n v="7"/>
  </r>
  <r>
    <n v="97"/>
    <n v="144833357"/>
    <s v="The Santa Clause "/>
    <s v="English"/>
    <x v="8"/>
    <n v="22000000"/>
    <x v="22"/>
    <n v="6.4"/>
  </r>
  <r>
    <n v="110"/>
    <n v="90636983"/>
    <s v="The Game Plan "/>
    <s v="English"/>
    <x v="8"/>
    <n v="22000000"/>
    <x v="9"/>
    <n v="6.2"/>
  </r>
  <r>
    <n v="84"/>
    <n v="55762229"/>
    <s v="The Animal "/>
    <s v="English"/>
    <x v="8"/>
    <n v="22000000"/>
    <x v="8"/>
    <n v="4.8"/>
  </r>
  <r>
    <n v="122"/>
    <n v="54235441"/>
    <s v="The Hundred-Foot Journey "/>
    <s v="English"/>
    <x v="8"/>
    <n v="22000000"/>
    <x v="16"/>
    <n v="7.3"/>
  </r>
  <r>
    <n v="114"/>
    <n v="50728000"/>
    <s v="The Net "/>
    <s v="English"/>
    <x v="8"/>
    <n v="22000000"/>
    <x v="19"/>
    <n v="5.8"/>
  </r>
  <r>
    <n v="132"/>
    <n v="40270895"/>
    <s v="I Am Sam "/>
    <s v="English"/>
    <x v="8"/>
    <n v="22000000"/>
    <x v="8"/>
    <n v="7.6"/>
  </r>
  <r>
    <n v="170"/>
    <n v="59696176"/>
    <s v="Son of God "/>
    <s v="English"/>
    <x v="8"/>
    <n v="22000000"/>
    <x v="16"/>
    <n v="5.6"/>
  </r>
  <r>
    <n v="133"/>
    <n v="51483949"/>
    <s v="Underworld "/>
    <s v="English"/>
    <x v="9"/>
    <n v="22000000"/>
    <x v="18"/>
    <n v="7"/>
  </r>
  <r>
    <n v="112"/>
    <n v="36020063"/>
    <s v="Derailed "/>
    <s v="English"/>
    <x v="8"/>
    <n v="22000000"/>
    <x v="1"/>
    <n v="6.6"/>
  </r>
  <r>
    <n v="115"/>
    <n v="25842000"/>
    <s v="Shadowlands "/>
    <s v="English"/>
    <x v="9"/>
    <n v="22000000"/>
    <x v="27"/>
    <n v="7.4"/>
  </r>
  <r>
    <n v="83"/>
    <n v="22264487"/>
    <s v="Deuce Bigalow: European Gigolo "/>
    <s v="English"/>
    <x v="8"/>
    <n v="22000000"/>
    <x v="1"/>
    <n v="4.5999999999999996"/>
  </r>
  <r>
    <n v="96"/>
    <n v="19351569"/>
    <s v="Saving Silverman "/>
    <s v="English"/>
    <x v="8"/>
    <n v="22000000"/>
    <x v="8"/>
    <n v="5.9"/>
  </r>
  <r>
    <n v="94"/>
    <n v="49002815"/>
    <s v="Diary of a Wimpy Kid: Dog Days "/>
    <s v="English"/>
    <x v="8"/>
    <n v="22000000"/>
    <x v="10"/>
    <n v="6.4"/>
  </r>
  <r>
    <n v="142"/>
    <n v="19283782"/>
    <s v="Summer of Sam "/>
    <s v="English"/>
    <x v="8"/>
    <n v="22000000"/>
    <x v="5"/>
    <n v="6.6"/>
  </r>
  <r>
    <n v="104"/>
    <n v="30059386"/>
    <s v="Jay and Silent Bob Strike Back "/>
    <s v="English"/>
    <x v="8"/>
    <n v="22000000"/>
    <x v="8"/>
    <n v="6.9"/>
  </r>
  <r>
    <n v="106"/>
    <n v="29997095"/>
    <s v="Hail, Caesar! "/>
    <s v="English"/>
    <x v="9"/>
    <n v="22000000"/>
    <x v="14"/>
    <n v="6.4"/>
  </r>
  <r>
    <n v="98"/>
    <n v="14252830"/>
    <s v="Josie and the Pussycats "/>
    <s v="English"/>
    <x v="11"/>
    <n v="22000000"/>
    <x v="8"/>
    <n v="5.3"/>
  </r>
  <r>
    <n v="100"/>
    <n v="19783777"/>
    <s v="Homefront "/>
    <s v="English"/>
    <x v="8"/>
    <n v="22000000"/>
    <x v="17"/>
    <n v="6.5"/>
  </r>
  <r>
    <n v="95"/>
    <n v="13555988"/>
    <s v="The Little Vampire "/>
    <s v="English"/>
    <x v="12"/>
    <n v="22000000"/>
    <x v="21"/>
    <n v="5.7"/>
  </r>
  <r>
    <n v="107"/>
    <n v="12784713"/>
    <s v="I Heart Huckabees "/>
    <s v="English"/>
    <x v="8"/>
    <n v="22000000"/>
    <x v="3"/>
    <n v="6.7"/>
  </r>
  <r>
    <n v="104"/>
    <n v="5974653"/>
    <s v="Megiddo: The Omega Code 2 "/>
    <s v="English"/>
    <x v="8"/>
    <n v="22000000"/>
    <x v="8"/>
    <n v="4.0999999999999996"/>
  </r>
  <r>
    <n v="77"/>
    <n v="9694105"/>
    <s v="Dudley Do-Right "/>
    <s v="English"/>
    <x v="8"/>
    <n v="22000000"/>
    <x v="5"/>
    <n v="3.8"/>
  </r>
  <r>
    <n v="116"/>
    <n v="1050445"/>
    <s v="Joyeux Noel "/>
    <s v="French"/>
    <x v="7"/>
    <n v="22000000"/>
    <x v="1"/>
    <n v="7.8"/>
  </r>
  <r>
    <n v="104"/>
    <n v="20668843"/>
    <s v="Mad Money "/>
    <s v="English"/>
    <x v="8"/>
    <n v="22000000"/>
    <x v="7"/>
    <n v="5.8"/>
  </r>
  <r>
    <n v="92"/>
    <n v="2963012"/>
    <s v="Before I Go to Sleep "/>
    <s v="English"/>
    <x v="9"/>
    <n v="22000000"/>
    <x v="16"/>
    <n v="6.3"/>
  </r>
  <r>
    <n v="105"/>
    <n v="1796024"/>
    <s v="Stone "/>
    <s v="English"/>
    <x v="8"/>
    <n v="22000000"/>
    <x v="11"/>
    <n v="5.4"/>
  </r>
  <r>
    <n v="116"/>
    <n v="11326836"/>
    <s v="Out of the Furnace "/>
    <s v="English"/>
    <x v="8"/>
    <n v="22000000"/>
    <x v="17"/>
    <n v="6.8"/>
  </r>
  <r>
    <n v="110"/>
    <n v="39263506"/>
    <s v="Lakeview Terrace "/>
    <s v="English"/>
    <x v="8"/>
    <n v="22000000"/>
    <x v="7"/>
    <n v="6.1"/>
  </r>
  <r>
    <n v="102"/>
    <n v="12469811"/>
    <s v="The Weather Man "/>
    <s v="English"/>
    <x v="8"/>
    <n v="22000000"/>
    <x v="1"/>
    <n v="6.6"/>
  </r>
  <r>
    <n v="108"/>
    <n v="12232937"/>
    <s v="12 Rounds "/>
    <s v="English"/>
    <x v="8"/>
    <n v="22000000"/>
    <x v="13"/>
    <n v="5.6"/>
  </r>
  <r>
    <n v="100"/>
    <n v="6852144"/>
    <s v="Willard "/>
    <s v="English"/>
    <x v="11"/>
    <n v="22000000"/>
    <x v="18"/>
    <n v="6.2"/>
  </r>
  <r>
    <n v="100"/>
    <n v="121972"/>
    <s v="People I Know "/>
    <s v="English"/>
    <x v="8"/>
    <n v="22000000"/>
    <x v="20"/>
    <n v="5.5"/>
  </r>
  <r>
    <n v="236"/>
    <n v="184208848"/>
    <s v="Dances with Wolves "/>
    <s v="English"/>
    <x v="8"/>
    <n v="22000000"/>
    <x v="25"/>
    <n v="8"/>
  </r>
  <r>
    <n v="116"/>
    <n v="177200000"/>
    <s v="Tootsie "/>
    <s v="English"/>
    <x v="8"/>
    <n v="22000000"/>
    <x v="37"/>
    <n v="7.4"/>
  </r>
  <r>
    <n v="98"/>
    <n v="3247816"/>
    <s v="You Will Meet a Tall Dark Stranger "/>
    <s v="English"/>
    <x v="8"/>
    <n v="22000000"/>
    <x v="11"/>
    <n v="6.3"/>
  </r>
  <r>
    <n v="87"/>
    <n v="11560259"/>
    <s v="Get Over It "/>
    <s v="English"/>
    <x v="8"/>
    <n v="22000000"/>
    <x v="8"/>
    <n v="5.8"/>
  </r>
  <r>
    <n v="104"/>
    <n v="4273372"/>
    <s v="Glitter "/>
    <s v="English"/>
    <x v="8"/>
    <n v="22000000"/>
    <x v="8"/>
    <n v="2.1"/>
  </r>
  <r>
    <n v="101"/>
    <n v="22294341"/>
    <s v="My Fellow Americans "/>
    <s v="English"/>
    <x v="8"/>
    <n v="21500000"/>
    <x v="24"/>
    <n v="6.5"/>
  </r>
  <r>
    <n v="117"/>
    <n v="24362501"/>
    <s v="Arlington Road "/>
    <s v="English"/>
    <x v="8"/>
    <n v="21500000"/>
    <x v="5"/>
    <n v="7.2"/>
  </r>
  <r>
    <n v="92"/>
    <n v="25590119"/>
    <s v="Crocodile Dundee in Los Angeles "/>
    <s v="English"/>
    <x v="13"/>
    <n v="21150000"/>
    <x v="8"/>
    <n v="4.8"/>
  </r>
  <r>
    <n v="87"/>
    <n v="480314"/>
    <s v="DOA: Dead or Alive "/>
    <s v="English"/>
    <x v="8"/>
    <n v="21000000"/>
    <x v="0"/>
    <n v="4.8"/>
  </r>
  <r>
    <n v="110"/>
    <n v="52353636"/>
    <s v="The Royal Tenenbaums "/>
    <s v="English"/>
    <x v="8"/>
    <n v="21000000"/>
    <x v="8"/>
    <n v="7.6"/>
  </r>
  <r>
    <n v="117"/>
    <n v="28563179"/>
    <s v="We Own the Night "/>
    <s v="English"/>
    <x v="8"/>
    <n v="21000000"/>
    <x v="9"/>
    <n v="6.9"/>
  </r>
  <r>
    <n v="108"/>
    <n v="33313582"/>
    <s v="The Informant! "/>
    <s v="English"/>
    <x v="8"/>
    <n v="21000000"/>
    <x v="13"/>
    <n v="6.5"/>
  </r>
  <r>
    <n v="145"/>
    <n v="4398392"/>
    <s v="Black Book "/>
    <s v="Dutch"/>
    <x v="26"/>
    <n v="21000000"/>
    <x v="0"/>
    <n v="7.8"/>
  </r>
  <r>
    <n v="136"/>
    <n v="46700000"/>
    <s v="Firefox "/>
    <s v="English"/>
    <x v="8"/>
    <n v="21000000"/>
    <x v="37"/>
    <n v="5.9"/>
  </r>
  <r>
    <n v="81"/>
    <n v="52008288"/>
    <s v="South Park: Bigger Longer &amp; Uncut "/>
    <s v="English"/>
    <x v="8"/>
    <n v="21000000"/>
    <x v="5"/>
    <n v="7.8"/>
  </r>
  <r>
    <n v="106"/>
    <n v="40219708"/>
    <s v="Hardball "/>
    <s v="English"/>
    <x v="8"/>
    <n v="21000000"/>
    <x v="8"/>
    <n v="6.3"/>
  </r>
  <r>
    <n v="122"/>
    <n v="132088910"/>
    <s v="Silver Linings Playbook "/>
    <s v="English"/>
    <x v="8"/>
    <n v="21000000"/>
    <x v="10"/>
    <n v="7.8"/>
  </r>
  <r>
    <n v="123"/>
    <n v="36581633"/>
    <s v="Freedom Writers "/>
    <s v="English"/>
    <x v="12"/>
    <n v="21000000"/>
    <x v="9"/>
    <n v="7.5"/>
  </r>
  <r>
    <n v="92"/>
    <n v="25296447"/>
    <s v="The Transporter "/>
    <s v="English"/>
    <x v="7"/>
    <n v="21000000"/>
    <x v="20"/>
    <n v="6.8"/>
  </r>
  <r>
    <n v="104"/>
    <n v="17757087"/>
    <s v="The Rage: Carrie 2 "/>
    <s v="English"/>
    <x v="8"/>
    <n v="21000000"/>
    <x v="5"/>
    <n v="4.5999999999999996"/>
  </r>
  <r>
    <n v="120"/>
    <n v="16284360"/>
    <s v="Swing Vote "/>
    <s v="English"/>
    <x v="8"/>
    <n v="21000000"/>
    <x v="7"/>
    <n v="6.1"/>
  </r>
  <r>
    <n v="112"/>
    <n v="6830957"/>
    <s v="Moonlight Mile "/>
    <s v="English"/>
    <x v="8"/>
    <n v="21000000"/>
    <x v="20"/>
    <n v="6.7"/>
  </r>
  <r>
    <n v="102"/>
    <n v="15593"/>
    <s v="Molly "/>
    <s v="English"/>
    <x v="8"/>
    <n v="21000000"/>
    <x v="5"/>
    <n v="5.8"/>
  </r>
  <r>
    <n v="91"/>
    <n v="958319"/>
    <s v="The Beaver "/>
    <s v="English"/>
    <x v="8"/>
    <n v="21000000"/>
    <x v="15"/>
    <n v="6.7"/>
  </r>
  <r>
    <n v="99"/>
    <n v="8855646"/>
    <s v="Everybody's Fine "/>
    <s v="English"/>
    <x v="8"/>
    <n v="21000000"/>
    <x v="13"/>
    <n v="7.2"/>
  </r>
  <r>
    <n v="124"/>
    <n v="3081925"/>
    <s v="Synecdoche, New York "/>
    <s v="English"/>
    <x v="8"/>
    <n v="21000000"/>
    <x v="7"/>
    <n v="7.5"/>
  </r>
  <r>
    <n v="99"/>
    <n v="52691009"/>
    <s v="Diary of a Wimpy Kid: Rodrick Rules "/>
    <s v="English"/>
    <x v="8"/>
    <n v="21000000"/>
    <x v="15"/>
    <n v="6.6"/>
  </r>
  <r>
    <n v="129"/>
    <n v="37567440"/>
    <s v="Conan the Barbarian "/>
    <s v="English"/>
    <x v="8"/>
    <n v="20000000"/>
    <x v="37"/>
    <n v="6.9"/>
  </r>
  <r>
    <n v="102"/>
    <n v="64149837"/>
    <s v="17 Again "/>
    <s v="English"/>
    <x v="8"/>
    <n v="20000000"/>
    <x v="13"/>
    <n v="6.4"/>
  </r>
  <r>
    <n v="105"/>
    <n v="80050171"/>
    <s v="Disturbia "/>
    <s v="English"/>
    <x v="8"/>
    <n v="20000000"/>
    <x v="9"/>
    <n v="6.9"/>
  </r>
  <r>
    <n v="107"/>
    <n v="7564000"/>
    <s v="Hackers "/>
    <s v="English"/>
    <x v="8"/>
    <n v="20000000"/>
    <x v="19"/>
    <n v="6.2"/>
  </r>
  <r>
    <n v="107"/>
    <n v="57744720"/>
    <s v="Takers "/>
    <s v="English"/>
    <x v="8"/>
    <n v="20000000"/>
    <x v="11"/>
    <n v="6.2"/>
  </r>
  <r>
    <n v="92"/>
    <n v="114324072"/>
    <s v="Dodgeball: A True Underdog Story "/>
    <s v="English"/>
    <x v="8"/>
    <n v="20000000"/>
    <x v="3"/>
    <n v="6.7"/>
  </r>
  <r>
    <n v="109"/>
    <n v="19976073"/>
    <s v="Assault on Precinct 13 "/>
    <s v="English"/>
    <x v="8"/>
    <n v="20000000"/>
    <x v="1"/>
    <n v="6.3"/>
  </r>
  <r>
    <n v="105"/>
    <n v="35990505"/>
    <s v="What a Girl Wants "/>
    <s v="English"/>
    <x v="8"/>
    <n v="20000000"/>
    <x v="18"/>
    <n v="5.8"/>
  </r>
  <r>
    <n v="105"/>
    <n v="33687630"/>
    <s v="She's the Man "/>
    <s v="English"/>
    <x v="8"/>
    <n v="20000000"/>
    <x v="0"/>
    <n v="6.4"/>
  </r>
  <r>
    <n v="122"/>
    <n v="1697956"/>
    <s v="Bad Lieutenant: Port of Call New Orleans "/>
    <s v="English"/>
    <x v="8"/>
    <n v="20000000"/>
    <x v="13"/>
    <n v="6.7"/>
  </r>
  <r>
    <n v="90"/>
    <n v="161487252"/>
    <s v="The Waterboy "/>
    <s v="English"/>
    <x v="8"/>
    <n v="20000000"/>
    <x v="6"/>
    <n v="6.1"/>
  </r>
  <r>
    <n v="127"/>
    <n v="75597042"/>
    <s v="The Rookie "/>
    <s v="English"/>
    <x v="8"/>
    <n v="20000000"/>
    <x v="20"/>
    <n v="7"/>
  </r>
  <r>
    <n v="110"/>
    <n v="24848292"/>
    <s v="Never Back Down "/>
    <s v="English"/>
    <x v="8"/>
    <n v="20000000"/>
    <x v="7"/>
    <n v="6.6"/>
  </r>
  <r>
    <n v="127"/>
    <n v="24104113"/>
    <s v="Tinker Tailor Soldier Spy "/>
    <s v="English"/>
    <x v="7"/>
    <n v="20000000"/>
    <x v="15"/>
    <n v="7.1"/>
  </r>
  <r>
    <n v="90"/>
    <n v="20259297"/>
    <s v="Pulse "/>
    <s v="English"/>
    <x v="8"/>
    <n v="20000000"/>
    <x v="0"/>
    <n v="4.7"/>
  </r>
  <r>
    <n v="94"/>
    <n v="121697350"/>
    <s v="Wayne's World "/>
    <s v="English"/>
    <x v="8"/>
    <n v="20000000"/>
    <x v="26"/>
    <n v="7"/>
  </r>
  <r>
    <n v="101"/>
    <n v="117224271"/>
    <s v="Jackass 3D "/>
    <s v="English"/>
    <x v="8"/>
    <n v="20000000"/>
    <x v="11"/>
    <n v="7.1"/>
  </r>
  <r>
    <n v="131"/>
    <n v="102922376"/>
    <s v="Jaws 2 "/>
    <s v="English"/>
    <x v="8"/>
    <n v="20000000"/>
    <x v="30"/>
    <n v="5.7"/>
  </r>
  <r>
    <n v="91"/>
    <n v="94497271"/>
    <s v="Beverly Hills Chihuahua "/>
    <s v="English"/>
    <x v="8"/>
    <n v="20000000"/>
    <x v="7"/>
    <n v="3.7"/>
  </r>
  <r>
    <n v="112"/>
    <n v="137387272"/>
    <s v="The Conjuring "/>
    <s v="English"/>
    <x v="8"/>
    <n v="20000000"/>
    <x v="17"/>
    <n v="7.5"/>
  </r>
  <r>
    <n v="100"/>
    <n v="84518155"/>
    <s v="Tammy "/>
    <s v="English"/>
    <x v="8"/>
    <n v="20000000"/>
    <x v="16"/>
    <n v="4.9000000000000004"/>
  </r>
  <r>
    <n v="105"/>
    <n v="80050171"/>
    <s v="Disturbia "/>
    <s v="English"/>
    <x v="8"/>
    <n v="20000000"/>
    <x v="9"/>
    <n v="6.9"/>
  </r>
  <r>
    <n v="115"/>
    <n v="82624961"/>
    <s v="The Descendants "/>
    <s v="English"/>
    <x v="8"/>
    <n v="20000000"/>
    <x v="15"/>
    <n v="7.3"/>
  </r>
  <r>
    <n v="117"/>
    <n v="67325559"/>
    <s v="Holes "/>
    <s v="English"/>
    <x v="8"/>
    <n v="20000000"/>
    <x v="18"/>
    <n v="7.1"/>
  </r>
  <r>
    <n v="107"/>
    <n v="62933793"/>
    <s v="The Last Song "/>
    <s v="English"/>
    <x v="8"/>
    <n v="20000000"/>
    <x v="11"/>
    <n v="5.8"/>
  </r>
  <r>
    <n v="134"/>
    <n v="56667870"/>
    <s v="12 Years a Slave "/>
    <s v="English"/>
    <x v="8"/>
    <n v="20000000"/>
    <x v="17"/>
    <n v="8.1"/>
  </r>
  <r>
    <n v="118"/>
    <n v="56398162"/>
    <s v="Drumline "/>
    <s v="English"/>
    <x v="8"/>
    <n v="20000000"/>
    <x v="20"/>
    <n v="5.7"/>
  </r>
  <r>
    <n v="121"/>
    <n v="60072596"/>
    <s v="Why Did I Get Married Too? "/>
    <s v="English"/>
    <x v="8"/>
    <n v="20000000"/>
    <x v="11"/>
    <n v="4.4000000000000004"/>
  </r>
  <r>
    <n v="105"/>
    <n v="56362352"/>
    <s v="Edward Scissorhands "/>
    <s v="English"/>
    <x v="8"/>
    <n v="20000000"/>
    <x v="25"/>
    <n v="7.9"/>
  </r>
  <r>
    <n v="110"/>
    <n v="56154094"/>
    <s v="Me Before You "/>
    <s v="English"/>
    <x v="9"/>
    <n v="20000000"/>
    <x v="14"/>
    <n v="7.6"/>
  </r>
  <r>
    <n v="114"/>
    <n v="65623128"/>
    <s v="Madea's Witness Protection "/>
    <s v="English"/>
    <x v="8"/>
    <n v="20000000"/>
    <x v="10"/>
    <n v="4.8"/>
  </r>
  <r>
    <n v="85"/>
    <n v="48546578"/>
    <s v="Date Movie "/>
    <s v="English"/>
    <x v="8"/>
    <n v="20000000"/>
    <x v="0"/>
    <n v="2.7"/>
  </r>
  <r>
    <n v="72"/>
    <n v="48423368"/>
    <s v="Return to Never Land "/>
    <s v="English"/>
    <x v="8"/>
    <n v="20000000"/>
    <x v="20"/>
    <n v="5.8"/>
  </r>
  <r>
    <n v="128"/>
    <n v="52066000"/>
    <s v="Selma "/>
    <s v="English"/>
    <x v="9"/>
    <n v="20000000"/>
    <x v="16"/>
    <n v="7.5"/>
  </r>
  <r>
    <n v="72"/>
    <n v="47887943"/>
    <s v="The Jungle Book 2 "/>
    <s v="English"/>
    <x v="8"/>
    <n v="20000000"/>
    <x v="18"/>
    <n v="5.4"/>
  </r>
  <r>
    <n v="89"/>
    <n v="46363118"/>
    <s v="Boogeyman "/>
    <s v="English"/>
    <x v="8"/>
    <n v="20000000"/>
    <x v="1"/>
    <n v="4.0999999999999996"/>
  </r>
  <r>
    <n v="96"/>
    <n v="47852604"/>
    <s v="Premonition "/>
    <s v="English"/>
    <x v="8"/>
    <n v="20000000"/>
    <x v="9"/>
    <n v="5.9"/>
  </r>
  <r>
    <n v="111"/>
    <n v="42652003"/>
    <s v="Max "/>
    <s v="English"/>
    <x v="8"/>
    <n v="20000000"/>
    <x v="12"/>
    <n v="6.8"/>
  </r>
  <r>
    <n v="93"/>
    <n v="39737645"/>
    <s v="Epic Movie "/>
    <s v="English"/>
    <x v="8"/>
    <n v="20000000"/>
    <x v="9"/>
    <n v="2.2999999999999998"/>
  </r>
  <r>
    <n v="129"/>
    <n v="37567440"/>
    <s v="Conan the Barbarian "/>
    <s v="English"/>
    <x v="8"/>
    <n v="20000000"/>
    <x v="37"/>
    <n v="6.9"/>
  </r>
  <r>
    <n v="128"/>
    <n v="44988180"/>
    <s v="Spotlight "/>
    <s v="English"/>
    <x v="8"/>
    <n v="20000000"/>
    <x v="12"/>
    <n v="8.1"/>
  </r>
  <r>
    <n v="137"/>
    <n v="39143839"/>
    <s v="The Grudge 2 "/>
    <s v="English"/>
    <x v="8"/>
    <n v="20000000"/>
    <x v="0"/>
    <n v="5"/>
  </r>
  <r>
    <n v="124"/>
    <n v="37672350"/>
    <s v="How Stella Got Her Groove Back "/>
    <s v="English"/>
    <x v="8"/>
    <n v="20000000"/>
    <x v="6"/>
    <n v="5.5"/>
  </r>
  <r>
    <n v="93"/>
    <n v="38037513"/>
    <s v="Bill &amp; Ted's Bogus Journey "/>
    <s v="English"/>
    <x v="8"/>
    <n v="20000000"/>
    <x v="23"/>
    <n v="6.2"/>
  </r>
  <r>
    <n v="115"/>
    <n v="37442180"/>
    <s v="Man of the Year "/>
    <s v="English"/>
    <x v="8"/>
    <n v="20000000"/>
    <x v="0"/>
    <n v="6.2"/>
  </r>
  <r>
    <n v="105"/>
    <n v="35596227"/>
    <s v="The American "/>
    <s v="English"/>
    <x v="8"/>
    <n v="20000000"/>
    <x v="11"/>
    <n v="6.3"/>
  </r>
  <r>
    <n v="127"/>
    <n v="35422828"/>
    <s v="Selena "/>
    <s v="English"/>
    <x v="8"/>
    <n v="20000000"/>
    <x v="2"/>
    <n v="6.7"/>
  </r>
  <r>
    <n v="82"/>
    <n v="36658108"/>
    <s v="Vampires Suck "/>
    <s v="English"/>
    <x v="8"/>
    <n v="20000000"/>
    <x v="11"/>
    <n v="3.5"/>
  </r>
  <r>
    <n v="104"/>
    <n v="33422556"/>
    <s v="Doubt "/>
    <s v="English"/>
    <x v="8"/>
    <n v="20000000"/>
    <x v="7"/>
    <n v="7.5"/>
  </r>
  <r>
    <n v="123"/>
    <n v="32051917"/>
    <s v="Copycat "/>
    <s v="English"/>
    <x v="8"/>
    <n v="20000000"/>
    <x v="19"/>
    <n v="6.6"/>
  </r>
  <r>
    <n v="88"/>
    <n v="32014289"/>
    <s v="Scary Movie 5 "/>
    <s v="English"/>
    <x v="8"/>
    <n v="20000000"/>
    <x v="17"/>
    <n v="3.5"/>
  </r>
  <r>
    <n v="128"/>
    <n v="31838002"/>
    <s v="Milk "/>
    <s v="English"/>
    <x v="8"/>
    <n v="20000000"/>
    <x v="7"/>
    <n v="7.6"/>
  </r>
  <r>
    <n v="107"/>
    <n v="36874745"/>
    <s v="Risen "/>
    <s v="English"/>
    <x v="8"/>
    <n v="20000000"/>
    <x v="14"/>
    <n v="6.3"/>
  </r>
  <r>
    <n v="115"/>
    <n v="29753944"/>
    <s v="Wild Things "/>
    <s v="English"/>
    <x v="8"/>
    <n v="20000000"/>
    <x v="6"/>
    <n v="6.5"/>
  </r>
  <r>
    <n v="113"/>
    <n v="31146570"/>
    <s v="The Debt "/>
    <s v="English"/>
    <x v="8"/>
    <n v="20000000"/>
    <x v="11"/>
    <n v="6.9"/>
  </r>
  <r>
    <n v="113"/>
    <n v="27277055"/>
    <s v="High Fidelity "/>
    <s v="English"/>
    <x v="9"/>
    <n v="20000000"/>
    <x v="21"/>
    <n v="7.6"/>
  </r>
  <r>
    <n v="101"/>
    <n v="53146000"/>
    <s v="Eye for an Eye "/>
    <s v="English"/>
    <x v="8"/>
    <n v="20000000"/>
    <x v="24"/>
    <n v="6.1"/>
  </r>
  <r>
    <n v="111"/>
    <n v="30028592"/>
    <s v="The Bank Job "/>
    <s v="English"/>
    <x v="9"/>
    <n v="20000000"/>
    <x v="7"/>
    <n v="7.3"/>
  </r>
  <r>
    <n v="108"/>
    <n v="34126138"/>
    <s v="Eternal Sunshine of the Spotless Mind "/>
    <s v="English"/>
    <x v="8"/>
    <n v="20000000"/>
    <x v="3"/>
    <n v="8.3000000000000007"/>
  </r>
  <r>
    <n v="105"/>
    <n v="25677801"/>
    <s v="You Again "/>
    <s v="English"/>
    <x v="8"/>
    <n v="20000000"/>
    <x v="11"/>
    <n v="5.8"/>
  </r>
  <r>
    <n v="109"/>
    <n v="26415649"/>
    <s v="Street Kings "/>
    <s v="English"/>
    <x v="8"/>
    <n v="20000000"/>
    <x v="7"/>
    <n v="6.8"/>
  </r>
  <r>
    <n v="109"/>
    <n v="26003149"/>
    <s v="The World's End "/>
    <s v="English"/>
    <x v="9"/>
    <n v="20000000"/>
    <x v="17"/>
    <n v="7"/>
  </r>
  <r>
    <n v="99"/>
    <n v="25584685"/>
    <s v="Nancy Drew "/>
    <s v="English"/>
    <x v="8"/>
    <n v="20000000"/>
    <x v="9"/>
    <n v="5.9"/>
  </r>
  <r>
    <n v="98"/>
    <n v="29975979"/>
    <s v="Daybreakers "/>
    <s v="English"/>
    <x v="13"/>
    <n v="20000000"/>
    <x v="13"/>
    <n v="6.5"/>
  </r>
  <r>
    <n v="104"/>
    <n v="31584722"/>
    <s v="She's Out of My League "/>
    <s v="English"/>
    <x v="8"/>
    <n v="20000000"/>
    <x v="11"/>
    <n v="6.4"/>
  </r>
  <r>
    <n v="109"/>
    <n v="23179303"/>
    <s v="Monte Carlo "/>
    <s v="English"/>
    <x v="1"/>
    <n v="20000000"/>
    <x v="15"/>
    <n v="5.8"/>
  </r>
  <r>
    <n v="119"/>
    <n v="21413105"/>
    <s v="Quigley Down Under "/>
    <s v="English"/>
    <x v="13"/>
    <n v="20000000"/>
    <x v="25"/>
    <n v="6.8"/>
  </r>
  <r>
    <n v="90"/>
    <n v="25077977"/>
    <s v="Alpha and Omega "/>
    <s v="English"/>
    <x v="8"/>
    <n v="20000000"/>
    <x v="11"/>
    <n v="5.3"/>
  </r>
  <r>
    <n v="97"/>
    <n v="23292105"/>
    <s v="The Covenant "/>
    <s v="English"/>
    <x v="8"/>
    <n v="20000000"/>
    <x v="0"/>
    <n v="5.3"/>
  </r>
  <r>
    <n v="106"/>
    <n v="21200000"/>
    <s v="To Die For "/>
    <s v="English"/>
    <x v="8"/>
    <n v="20000000"/>
    <x v="19"/>
    <n v="6.8"/>
  </r>
  <r>
    <n v="104"/>
    <n v="20241395"/>
    <s v="Vampires "/>
    <s v="English"/>
    <x v="8"/>
    <n v="20000000"/>
    <x v="6"/>
    <n v="6.1"/>
  </r>
  <r>
    <n v="104"/>
    <n v="23393765"/>
    <s v="Endless Love "/>
    <s v="English"/>
    <x v="8"/>
    <n v="20000000"/>
    <x v="16"/>
    <n v="6.3"/>
  </r>
  <r>
    <n v="113"/>
    <n v="18882880"/>
    <s v="Georgia Rule "/>
    <s v="English"/>
    <x v="8"/>
    <n v="20000000"/>
    <x v="9"/>
    <n v="5.9"/>
  </r>
  <r>
    <n v="98"/>
    <n v="8500000"/>
    <s v="Under the Rainbow "/>
    <s v="English"/>
    <x v="8"/>
    <n v="20000000"/>
    <x v="39"/>
    <n v="5.4"/>
  </r>
  <r>
    <n v="124"/>
    <n v="19661987"/>
    <s v="Reign Over Me "/>
    <s v="English"/>
    <x v="8"/>
    <n v="20000000"/>
    <x v="9"/>
    <n v="7.5"/>
  </r>
  <r>
    <n v="108"/>
    <n v="17803796"/>
    <s v="School for Scoundrels "/>
    <s v="English"/>
    <x v="8"/>
    <n v="20000000"/>
    <x v="0"/>
    <n v="5.9"/>
  </r>
  <r>
    <n v="95"/>
    <n v="17529157"/>
    <s v="Silent Hill: Revelation 3D "/>
    <s v="English"/>
    <x v="7"/>
    <n v="20000000"/>
    <x v="10"/>
    <n v="5"/>
  </r>
  <r>
    <n v="68"/>
    <n v="18081626"/>
    <s v="Pooh's Heffalump Movie "/>
    <s v="English"/>
    <x v="8"/>
    <n v="20000000"/>
    <x v="1"/>
    <n v="6.4"/>
  </r>
  <r>
    <n v="103"/>
    <n v="17518220"/>
    <s v="Home for the Holidays "/>
    <s v="English"/>
    <x v="8"/>
    <n v="20000000"/>
    <x v="19"/>
    <n v="6.6"/>
  </r>
  <r>
    <n v="99"/>
    <n v="17104669"/>
    <s v="Kung Fu Hustle "/>
    <s v="Cantonese"/>
    <x v="15"/>
    <n v="20000000"/>
    <x v="3"/>
    <n v="7.8"/>
  </r>
  <r>
    <n v="128"/>
    <n v="15797907"/>
    <s v="The Kite Runner "/>
    <s v="Dari"/>
    <x v="8"/>
    <n v="20000000"/>
    <x v="9"/>
    <n v="7.6"/>
  </r>
  <r>
    <n v="124"/>
    <n v="16248701"/>
    <s v="21 Grams "/>
    <s v="English"/>
    <x v="8"/>
    <n v="20000000"/>
    <x v="18"/>
    <n v="7.7"/>
  </r>
  <r>
    <n v="84"/>
    <n v="15712072"/>
    <s v="Paparazzi "/>
    <s v="English"/>
    <x v="8"/>
    <n v="20000000"/>
    <x v="3"/>
    <n v="5.8"/>
  </r>
  <r>
    <n v="101"/>
    <n v="15408822"/>
    <s v="A Guy Thing "/>
    <s v="English"/>
    <x v="8"/>
    <n v="20000000"/>
    <x v="18"/>
    <n v="5.6"/>
  </r>
  <r>
    <n v="98"/>
    <n v="15464026"/>
    <s v="Loser "/>
    <s v="English"/>
    <x v="8"/>
    <n v="20000000"/>
    <x v="21"/>
    <n v="5.3"/>
  </r>
  <r>
    <n v="225"/>
    <n v="8000000"/>
    <s v="The Greatest Story Ever Told "/>
    <s v="English"/>
    <x v="8"/>
    <n v="20000000"/>
    <x v="42"/>
    <n v="6.6"/>
  </r>
  <r>
    <n v="94"/>
    <n v="13801755"/>
    <s v="The Man Who Knew Too Little "/>
    <s v="English"/>
    <x v="8"/>
    <n v="20000000"/>
    <x v="2"/>
    <n v="6.6"/>
  </r>
  <r>
    <n v="117"/>
    <n v="13987482"/>
    <s v="What's Your Number? "/>
    <s v="English"/>
    <x v="8"/>
    <n v="20000000"/>
    <x v="15"/>
    <n v="6"/>
  </r>
  <r>
    <n v="95"/>
    <n v="14291570"/>
    <s v="Lockout "/>
    <s v="English"/>
    <x v="7"/>
    <n v="20000000"/>
    <x v="10"/>
    <n v="6.1"/>
  </r>
  <r>
    <n v="96"/>
    <n v="13630226"/>
    <s v="Crank: High Voltage "/>
    <s v="English"/>
    <x v="8"/>
    <n v="20000000"/>
    <x v="13"/>
    <n v="6.2"/>
  </r>
  <r>
    <n v="98"/>
    <n v="13383737"/>
    <s v="Bullets Over Broadway "/>
    <s v="English"/>
    <x v="8"/>
    <n v="20000000"/>
    <x v="22"/>
    <n v="7.5"/>
  </r>
  <r>
    <n v="123"/>
    <n v="13391174"/>
    <s v="One Night with the King "/>
    <s v="English"/>
    <x v="8"/>
    <n v="20000000"/>
    <x v="0"/>
    <n v="6.3"/>
  </r>
  <r>
    <n v="94"/>
    <n v="12398628"/>
    <s v="Undisputed "/>
    <s v="English"/>
    <x v="8"/>
    <n v="20000000"/>
    <x v="20"/>
    <n v="6.1"/>
  </r>
  <r>
    <n v="102"/>
    <n v="13214030"/>
    <s v="Ghost Town "/>
    <s v="English"/>
    <x v="8"/>
    <n v="20000000"/>
    <x v="7"/>
    <n v="6.7"/>
  </r>
  <r>
    <n v="116"/>
    <n v="12134420"/>
    <s v="Let Me In "/>
    <s v="English"/>
    <x v="9"/>
    <n v="20000000"/>
    <x v="11"/>
    <n v="7.2"/>
  </r>
  <r>
    <n v="93"/>
    <n v="11784000"/>
    <s v="3 Ninjas Kick Back "/>
    <s v="English"/>
    <x v="8"/>
    <n v="20000000"/>
    <x v="22"/>
    <n v="4.3"/>
  </r>
  <r>
    <n v="102"/>
    <n v="11169531"/>
    <s v="Be Kind Rewind "/>
    <s v="English"/>
    <x v="9"/>
    <n v="20000000"/>
    <x v="7"/>
    <n v="6.4"/>
  </r>
  <r>
    <n v="103"/>
    <n v="11034436"/>
    <s v="Mrs Henderson Presents "/>
    <s v="English"/>
    <x v="9"/>
    <n v="20000000"/>
    <x v="1"/>
    <n v="7.1"/>
  </r>
  <r>
    <n v="115"/>
    <n v="12626905"/>
    <s v="Triple 9 "/>
    <s v="English"/>
    <x v="8"/>
    <n v="20000000"/>
    <x v="14"/>
    <n v="6.3"/>
  </r>
  <r>
    <n v="96"/>
    <n v="10569071"/>
    <s v="Deconstructing Harry "/>
    <s v="English"/>
    <x v="8"/>
    <n v="20000000"/>
    <x v="2"/>
    <n v="7.4"/>
  </r>
  <r>
    <n v="98"/>
    <n v="10544143"/>
    <s v="Three to Tango "/>
    <s v="English"/>
    <x v="13"/>
    <n v="20000000"/>
    <x v="5"/>
    <n v="6.1"/>
  </r>
  <r>
    <n v="101"/>
    <n v="13650738"/>
    <s v="Burnt "/>
    <s v="English"/>
    <x v="8"/>
    <n v="20000000"/>
    <x v="12"/>
    <n v="6.6"/>
  </r>
  <r>
    <n v="106"/>
    <n v="10555348"/>
    <s v="We're No Angels "/>
    <s v="English"/>
    <x v="8"/>
    <n v="20000000"/>
    <x v="28"/>
    <n v="6"/>
  </r>
  <r>
    <n v="101"/>
    <n v="9714482"/>
    <s v="Everyone Says I Love You "/>
    <s v="English"/>
    <x v="8"/>
    <n v="20000000"/>
    <x v="24"/>
    <n v="6.8"/>
  </r>
  <r>
    <n v="111"/>
    <n v="9525276"/>
    <s v="Death Sentence "/>
    <s v="English"/>
    <x v="8"/>
    <n v="20000000"/>
    <x v="9"/>
    <n v="6.8"/>
  </r>
  <r>
    <n v="88"/>
    <n v="9109322"/>
    <s v="Superbabies: Baby Geniuses 2 "/>
    <s v="English"/>
    <x v="12"/>
    <n v="20000000"/>
    <x v="3"/>
    <n v="1.9"/>
  </r>
  <r>
    <n v="91"/>
    <n v="8104069"/>
    <s v="Code Name: The Cleaner "/>
    <s v="English"/>
    <x v="8"/>
    <n v="20000000"/>
    <x v="9"/>
    <n v="4.5"/>
  </r>
  <r>
    <n v="108"/>
    <n v="8054280"/>
    <s v="Connie and Carla "/>
    <s v="English"/>
    <x v="8"/>
    <n v="20000000"/>
    <x v="3"/>
    <n v="6.3"/>
  </r>
  <r>
    <n v="148"/>
    <n v="8093318"/>
    <s v="Inherent Vice "/>
    <s v="English"/>
    <x v="8"/>
    <n v="20000000"/>
    <x v="16"/>
    <n v="6.7"/>
  </r>
  <r>
    <n v="77"/>
    <n v="7382993"/>
    <s v="Doogal "/>
    <s v="English"/>
    <x v="8"/>
    <n v="20000000"/>
    <x v="0"/>
    <n v="2.8"/>
  </r>
  <r>
    <n v="110"/>
    <n v="8888355"/>
    <s v="Battle of the Year "/>
    <s v="English"/>
    <x v="8"/>
    <n v="20000000"/>
    <x v="17"/>
    <n v="5"/>
  </r>
  <r>
    <n v="107"/>
    <n v="7268659"/>
    <s v="Machete Kills "/>
    <s v="English"/>
    <x v="27"/>
    <n v="20000000"/>
    <x v="17"/>
    <n v="5.6"/>
  </r>
  <r>
    <n v="87"/>
    <n v="6563357"/>
    <s v="Strange Wilderness "/>
    <s v="English"/>
    <x v="8"/>
    <n v="20000000"/>
    <x v="7"/>
    <n v="5.3"/>
  </r>
  <r>
    <n v="106"/>
    <n v="6420319"/>
    <s v="Little Boy "/>
    <s v="English"/>
    <x v="28"/>
    <n v="20000000"/>
    <x v="12"/>
    <n v="7.4"/>
  </r>
  <r>
    <n v="116"/>
    <n v="6002756"/>
    <s v="Chasing Mavericks "/>
    <s v="English"/>
    <x v="8"/>
    <n v="20000000"/>
    <x v="10"/>
    <n v="7.2"/>
  </r>
  <r>
    <n v="94"/>
    <n v="5132655"/>
    <s v="Alone in the Dark "/>
    <s v="English"/>
    <x v="11"/>
    <n v="20000000"/>
    <x v="1"/>
    <n v="2.2999999999999998"/>
  </r>
  <r>
    <n v="111"/>
    <n v="5205343"/>
    <s v="Bandslam "/>
    <s v="English"/>
    <x v="8"/>
    <n v="20000000"/>
    <x v="13"/>
    <n v="6.4"/>
  </r>
  <r>
    <n v="100"/>
    <n v="5005883"/>
    <s v="Birth "/>
    <s v="English"/>
    <x v="8"/>
    <n v="20000000"/>
    <x v="3"/>
    <n v="6.1"/>
  </r>
  <r>
    <n v="125"/>
    <n v="5749134"/>
    <s v="A Most Violent Year "/>
    <s v="English"/>
    <x v="8"/>
    <n v="20000000"/>
    <x v="16"/>
    <n v="7"/>
  </r>
  <r>
    <n v="119"/>
    <n v="4234040"/>
    <s v="Flash of Genius "/>
    <s v="English"/>
    <x v="8"/>
    <n v="20000000"/>
    <x v="7"/>
    <n v="7"/>
  </r>
  <r>
    <n v="135"/>
    <n v="4001121"/>
    <s v="I'm Not There. "/>
    <s v="English"/>
    <x v="8"/>
    <n v="20000000"/>
    <x v="9"/>
    <n v="7"/>
  </r>
  <r>
    <n v="93"/>
    <n v="3749061"/>
    <s v="The Cold Light of Day "/>
    <s v="English"/>
    <x v="8"/>
    <n v="20000000"/>
    <x v="10"/>
    <n v="4.9000000000000004"/>
  </r>
  <r>
    <n v="114"/>
    <n v="3519627"/>
    <s v="The Brothers Bloom "/>
    <s v="English"/>
    <x v="8"/>
    <n v="20000000"/>
    <x v="7"/>
    <n v="6.9"/>
  </r>
  <r>
    <n v="114"/>
    <n v="2353728"/>
    <s v="Bon voyage "/>
    <s v="French"/>
    <x v="7"/>
    <n v="20000000"/>
    <x v="18"/>
    <n v="6.9"/>
  </r>
  <r>
    <n v="124"/>
    <n v="2000000"/>
    <s v="Can't Stop the Music "/>
    <s v="English"/>
    <x v="8"/>
    <n v="20000000"/>
    <x v="31"/>
    <n v="4.5"/>
  </r>
  <r>
    <n v="118"/>
    <n v="2246000"/>
    <s v="Courage "/>
    <s v="English"/>
    <x v="8"/>
    <n v="20000000"/>
    <x v="12"/>
    <n v="7"/>
  </r>
  <r>
    <n v="80"/>
    <n v="1646664"/>
    <s v="Marci X "/>
    <s v="English"/>
    <x v="8"/>
    <n v="20000000"/>
    <x v="18"/>
    <n v="2.8"/>
  </r>
  <r>
    <n v="107"/>
    <n v="1190018"/>
    <s v="Equilibrium "/>
    <s v="English"/>
    <x v="8"/>
    <n v="20000000"/>
    <x v="20"/>
    <n v="7.5"/>
  </r>
  <r>
    <n v="101"/>
    <n v="375474"/>
    <s v="The Game of Their Lives "/>
    <s v="English"/>
    <x v="8"/>
    <n v="20000000"/>
    <x v="1"/>
    <n v="6.2"/>
  </r>
  <r>
    <n v="107"/>
    <n v="305070"/>
    <s v="Rapa Nui "/>
    <s v="English"/>
    <x v="8"/>
    <n v="20000000"/>
    <x v="22"/>
    <n v="6.4"/>
  </r>
  <r>
    <n v="107"/>
    <n v="1183354"/>
    <s v="Dylan Dog: Dead of Night "/>
    <s v="English"/>
    <x v="8"/>
    <n v="20000000"/>
    <x v="11"/>
    <n v="5.0999999999999996"/>
  </r>
  <r>
    <n v="110"/>
    <n v="263365"/>
    <s v="The Tempest "/>
    <s v="English"/>
    <x v="8"/>
    <n v="20000000"/>
    <x v="11"/>
    <n v="5.4"/>
  </r>
  <r>
    <n v="184"/>
    <n v="476270"/>
    <s v="The Baader Meinhof Complex "/>
    <s v="German"/>
    <x v="12"/>
    <n v="20000000"/>
    <x v="7"/>
    <n v="7.4"/>
  </r>
  <r>
    <n v="97"/>
    <n v="100292856"/>
    <s v="Bad Teacher "/>
    <s v="English"/>
    <x v="8"/>
    <n v="20000000"/>
    <x v="15"/>
    <n v="5.7"/>
  </r>
  <r>
    <n v="95"/>
    <n v="51431160"/>
    <s v="A Cinderella Story "/>
    <s v="English"/>
    <x v="8"/>
    <n v="20000000"/>
    <x v="3"/>
    <n v="5.9"/>
  </r>
  <r>
    <n v="91"/>
    <n v="41867960"/>
    <s v="Thir13en Ghosts "/>
    <s v="English"/>
    <x v="8"/>
    <n v="20000000"/>
    <x v="8"/>
    <n v="5.5"/>
  </r>
  <r>
    <n v="101"/>
    <n v="39103378"/>
    <s v="The Crazies "/>
    <s v="English"/>
    <x v="8"/>
    <n v="20000000"/>
    <x v="11"/>
    <n v="6.5"/>
  </r>
  <r>
    <n v="122"/>
    <n v="75072454"/>
    <s v="The Exorcism of Emily Rose "/>
    <s v="English"/>
    <x v="8"/>
    <n v="20000000"/>
    <x v="1"/>
    <n v="6.7"/>
  </r>
  <r>
    <n v="89"/>
    <n v="43818159"/>
    <s v="Prom Night "/>
    <s v="English"/>
    <x v="8"/>
    <n v="20000000"/>
    <x v="7"/>
    <n v="3.9"/>
  </r>
  <r>
    <n v="126"/>
    <n v="5701643"/>
    <s v="Mongol: The Rise of Genghis Khan "/>
    <s v="Mongolian"/>
    <x v="27"/>
    <n v="20000000"/>
    <x v="9"/>
    <n v="7.3"/>
  </r>
  <r>
    <n v="99"/>
    <n v="5333658"/>
    <s v="Megaforce "/>
    <s v="English"/>
    <x v="8"/>
    <n v="20000000"/>
    <x v="37"/>
    <n v="3.5"/>
  </r>
  <r>
    <n v="119"/>
    <n v="121463226"/>
    <s v="Superbad "/>
    <s v="English"/>
    <x v="8"/>
    <n v="20000000"/>
    <x v="9"/>
    <n v="7.6"/>
  </r>
  <r>
    <n v="90"/>
    <n v="45670855"/>
    <s v="Saw 3D: The Final Chapter "/>
    <s v="English"/>
    <x v="11"/>
    <n v="20000000"/>
    <x v="11"/>
    <n v="5.6"/>
  </r>
  <r>
    <n v="105"/>
    <n v="13854000"/>
    <s v="My Stepmother Is an Alien "/>
    <s v="English"/>
    <x v="8"/>
    <n v="20000000"/>
    <x v="4"/>
    <n v="5.2"/>
  </r>
  <r>
    <n v="101"/>
    <n v="2319187"/>
    <s v="Trance "/>
    <s v="English"/>
    <x v="9"/>
    <n v="20000000"/>
    <x v="17"/>
    <n v="7"/>
  </r>
  <r>
    <n v="100"/>
    <n v="71588220"/>
    <s v="Mama "/>
    <s v="English"/>
    <x v="11"/>
    <n v="20000000"/>
    <x v="17"/>
    <n v="6.2"/>
  </r>
  <r>
    <n v="92"/>
    <n v="18843314"/>
    <s v="The Marine "/>
    <s v="English"/>
    <x v="8"/>
    <n v="20000000"/>
    <x v="0"/>
    <n v="4.7"/>
  </r>
  <r>
    <n v="125"/>
    <n v="13337299"/>
    <s v="De-Lovely "/>
    <s v="English"/>
    <x v="8"/>
    <n v="20000000"/>
    <x v="3"/>
    <n v="6.6"/>
  </r>
  <r>
    <n v="97"/>
    <n v="8586376"/>
    <s v="Boat Trip "/>
    <s v="English"/>
    <x v="8"/>
    <n v="20000000"/>
    <x v="20"/>
    <n v="4.9000000000000004"/>
  </r>
  <r>
    <n v="92"/>
    <n v="4002955"/>
    <s v="Idle Hands "/>
    <s v="English"/>
    <x v="8"/>
    <n v="20000000"/>
    <x v="5"/>
    <n v="6.2"/>
  </r>
  <r>
    <n v="100"/>
    <n v="19900000"/>
    <s v="Vampire in Brooklyn "/>
    <s v="English"/>
    <x v="8"/>
    <n v="20000000"/>
    <x v="19"/>
    <n v="4.5"/>
  </r>
  <r>
    <n v="115"/>
    <n v="403932"/>
    <s v="The Claim "/>
    <s v="English"/>
    <x v="9"/>
    <n v="20000000"/>
    <x v="21"/>
    <n v="6.5"/>
  </r>
  <r>
    <n v="113"/>
    <n v="17149"/>
    <s v="5 Days of War "/>
    <s v="English"/>
    <x v="29"/>
    <n v="20000000"/>
    <x v="15"/>
    <n v="5.6"/>
  </r>
  <r>
    <n v="85"/>
    <n v="32983713"/>
    <s v="Friday After Next "/>
    <s v="English"/>
    <x v="8"/>
    <n v="20000000"/>
    <x v="20"/>
    <n v="5.8"/>
  </r>
  <r>
    <n v="126"/>
    <n v="17804273"/>
    <s v="The Contender "/>
    <s v="English"/>
    <x v="8"/>
    <n v="20000000"/>
    <x v="21"/>
    <n v="7"/>
  </r>
  <r>
    <n v="115"/>
    <n v="403932"/>
    <s v="The Claim "/>
    <s v="English"/>
    <x v="9"/>
    <n v="20000000"/>
    <x v="21"/>
    <n v="6.5"/>
  </r>
  <r>
    <n v="92"/>
    <n v="114324072"/>
    <s v="Dodgeball: A True Underdog Story "/>
    <s v="English"/>
    <x v="8"/>
    <n v="20000000"/>
    <x v="3"/>
    <n v="6.7"/>
  </r>
  <r>
    <n v="101"/>
    <n v="2319187"/>
    <s v="Trance "/>
    <s v="English"/>
    <x v="9"/>
    <n v="20000000"/>
    <x v="17"/>
    <n v="7"/>
  </r>
  <r>
    <n v="103"/>
    <n v="252652"/>
    <s v="Trollhunter "/>
    <s v="Norwegian"/>
    <x v="21"/>
    <n v="19900000"/>
    <x v="11"/>
    <n v="7"/>
  </r>
  <r>
    <n v="103"/>
    <n v="34290142"/>
    <s v="This Is Where I Leave You "/>
    <s v="English"/>
    <x v="8"/>
    <n v="19800000"/>
    <x v="16"/>
    <n v="6.6"/>
  </r>
  <r>
    <n v="131"/>
    <n v="41300105"/>
    <s v="Gosford Park "/>
    <s v="English"/>
    <x v="9"/>
    <n v="19800000"/>
    <x v="8"/>
    <n v="7.3"/>
  </r>
  <r>
    <n v="111"/>
    <n v="6109075"/>
    <s v="Coco Before Chanel "/>
    <s v="French"/>
    <x v="7"/>
    <n v="19430000"/>
    <x v="13"/>
    <n v="6.7"/>
  </r>
  <r>
    <n v="135"/>
    <n v="128300000"/>
    <s v="Close Encounters of the Third Kind "/>
    <s v="English"/>
    <x v="8"/>
    <n v="19400870"/>
    <x v="40"/>
    <n v="7.7"/>
  </r>
  <r>
    <n v="125"/>
    <n v="8047690"/>
    <s v="The Painted Veil "/>
    <s v="Mandarin"/>
    <x v="5"/>
    <n v="19400000"/>
    <x v="0"/>
    <n v="7.5"/>
  </r>
  <r>
    <n v="95"/>
    <n v="58156435"/>
    <s v="Without a Paddle "/>
    <s v="English"/>
    <x v="8"/>
    <n v="19000000"/>
    <x v="3"/>
    <n v="5.9"/>
  </r>
  <r>
    <n v="85"/>
    <n v="26096584"/>
    <s v="Dumb and Dumberer: When Harry Met Lloyd "/>
    <s v="English"/>
    <x v="8"/>
    <n v="19000000"/>
    <x v="18"/>
    <n v="3.4"/>
  </r>
  <r>
    <n v="119"/>
    <n v="65807024"/>
    <s v="Bad Boys "/>
    <s v="English"/>
    <x v="8"/>
    <n v="19000000"/>
    <x v="19"/>
    <n v="6.8"/>
  </r>
  <r>
    <n v="138"/>
    <n v="130727000"/>
    <s v="The Silence of the Lambs "/>
    <s v="English"/>
    <x v="8"/>
    <n v="19000000"/>
    <x v="23"/>
    <n v="8.6"/>
  </r>
  <r>
    <n v="90"/>
    <n v="35033759"/>
    <s v="A Very Harold &amp; Kumar 3D Christmas "/>
    <s v="English"/>
    <x v="8"/>
    <n v="19000000"/>
    <x v="15"/>
    <n v="6.3"/>
  </r>
  <r>
    <n v="108"/>
    <n v="25753840"/>
    <s v="From Dusk Till Dawn "/>
    <s v="English"/>
    <x v="8"/>
    <n v="19000000"/>
    <x v="24"/>
    <n v="7.3"/>
  </r>
  <r>
    <n v="113"/>
    <n v="58571513"/>
    <s v="Sea of Love "/>
    <s v="English"/>
    <x v="8"/>
    <n v="19000000"/>
    <x v="28"/>
    <n v="6.8"/>
  </r>
  <r>
    <n v="116"/>
    <n v="210609762"/>
    <s v="Back to the Future "/>
    <s v="English"/>
    <x v="8"/>
    <n v="19000000"/>
    <x v="33"/>
    <n v="8.5"/>
  </r>
  <r>
    <n v="93"/>
    <n v="40846082"/>
    <s v="House on Haunted Hill "/>
    <s v="English"/>
    <x v="8"/>
    <n v="19000000"/>
    <x v="5"/>
    <n v="5.6"/>
  </r>
  <r>
    <n v="101"/>
    <n v="27758465"/>
    <s v="The Switch "/>
    <s v="English"/>
    <x v="8"/>
    <n v="19000000"/>
    <x v="11"/>
    <n v="6.1"/>
  </r>
  <r>
    <n v="85"/>
    <n v="15911333"/>
    <s v="Thomas and the Magic Railroad "/>
    <s v="English"/>
    <x v="9"/>
    <n v="19000000"/>
    <x v="21"/>
    <n v="3.6"/>
  </r>
  <r>
    <n v="125"/>
    <n v="10049886"/>
    <s v="Spirited Away "/>
    <s v="Japanese"/>
    <x v="2"/>
    <n v="19000000"/>
    <x v="8"/>
    <n v="8.6"/>
  </r>
  <r>
    <n v="131"/>
    <n v="21483154"/>
    <s v="The Book Thief "/>
    <s v="English"/>
    <x v="8"/>
    <n v="19000000"/>
    <x v="17"/>
    <n v="7.6"/>
  </r>
  <r>
    <n v="129"/>
    <n v="8396942"/>
    <s v="Sex Drive "/>
    <s v="English"/>
    <x v="8"/>
    <n v="19000000"/>
    <x v="7"/>
    <n v="6.5"/>
  </r>
  <r>
    <n v="100"/>
    <n v="12561"/>
    <s v="Leap Year "/>
    <s v="English"/>
    <x v="8"/>
    <n v="19000000"/>
    <x v="11"/>
    <n v="6.4"/>
  </r>
  <r>
    <n v="92"/>
    <n v="2119994"/>
    <s v="The Nutcracker "/>
    <s v="English"/>
    <x v="8"/>
    <n v="19000000"/>
    <x v="27"/>
    <n v="5.7"/>
  </r>
  <r>
    <n v="116"/>
    <n v="1292527"/>
    <s v="Kansas City "/>
    <s v="English"/>
    <x v="7"/>
    <n v="19000000"/>
    <x v="24"/>
    <n v="6.3"/>
  </r>
  <r>
    <n v="90"/>
    <n v="64255243"/>
    <s v="The Amityville Horror "/>
    <s v="English"/>
    <x v="8"/>
    <n v="19000000"/>
    <x v="1"/>
    <n v="6"/>
  </r>
  <r>
    <n v="81"/>
    <n v="22245861"/>
    <s v="Adaptation. "/>
    <s v="English"/>
    <x v="8"/>
    <n v="19000000"/>
    <x v="20"/>
    <n v="7.7"/>
  </r>
  <r>
    <n v="107"/>
    <n v="7156725"/>
    <s v="American Dreamz "/>
    <s v="English"/>
    <x v="8"/>
    <n v="19000000"/>
    <x v="0"/>
    <n v="5.5"/>
  </r>
  <r>
    <n v="141"/>
    <n v="13753931"/>
    <s v="Letters from Iwo Jima "/>
    <s v="Japanese"/>
    <x v="8"/>
    <n v="19000000"/>
    <x v="0"/>
    <n v="7.9"/>
  </r>
  <r>
    <n v="118"/>
    <n v="10562387"/>
    <s v="Fear and Loathing in Las Vegas "/>
    <s v="English"/>
    <x v="8"/>
    <n v="18500000"/>
    <x v="6"/>
    <n v="7.7"/>
  </r>
  <r>
    <n v="100"/>
    <n v="18439082"/>
    <s v="The Invention of Lying "/>
    <s v="English"/>
    <x v="8"/>
    <n v="18500000"/>
    <x v="13"/>
    <n v="6.4"/>
  </r>
  <r>
    <n v="154"/>
    <n v="85200000"/>
    <s v="Aliens "/>
    <s v="English"/>
    <x v="8"/>
    <n v="18500000"/>
    <x v="34"/>
    <n v="8.4"/>
  </r>
  <r>
    <n v="111"/>
    <n v="6462576"/>
    <s v="The Young Messiah "/>
    <s v="English"/>
    <x v="8"/>
    <n v="18500000"/>
    <x v="14"/>
    <n v="5.4"/>
  </r>
  <r>
    <n v="159"/>
    <n v="6498000"/>
    <s v="Baahubali: The Beginning "/>
    <s v="Telugu"/>
    <x v="3"/>
    <n v="18026148"/>
    <x v="12"/>
    <n v="8.4"/>
  </r>
  <r>
    <n v="96"/>
    <n v="8742261"/>
    <s v="Street Fighter: The Legend of Chun-Li "/>
    <s v="English"/>
    <x v="11"/>
    <n v="18000000"/>
    <x v="13"/>
    <n v="3.7"/>
  </r>
  <r>
    <n v="122"/>
    <n v="26830000"/>
    <s v="Glory "/>
    <s v="English"/>
    <x v="8"/>
    <n v="18000000"/>
    <x v="28"/>
    <n v="7.9"/>
  </r>
  <r>
    <n v="131"/>
    <n v="3752725"/>
    <s v="The Merchant of Venice "/>
    <s v="English"/>
    <x v="8"/>
    <n v="18000000"/>
    <x v="3"/>
    <n v="7.1"/>
  </r>
  <r>
    <n v="121"/>
    <n v="127437"/>
    <s v="1911 "/>
    <s v="Mandarin"/>
    <x v="5"/>
    <n v="18000000"/>
    <x v="15"/>
    <n v="6"/>
  </r>
  <r>
    <n v="127"/>
    <n v="290158751"/>
    <s v="Star Wars: Episode V - The Empire Strikes Back "/>
    <s v="English"/>
    <x v="8"/>
    <n v="18000000"/>
    <x v="31"/>
    <n v="8.8000000000000007"/>
  </r>
  <r>
    <n v="115"/>
    <n v="242374454"/>
    <s v="Raiders of the Lost Ark "/>
    <s v="English"/>
    <x v="8"/>
    <n v="18000000"/>
    <x v="39"/>
    <n v="8.5"/>
  </r>
  <r>
    <n v="120"/>
    <n v="173585516"/>
    <s v="Home Alone 2: Lost in New York "/>
    <s v="English"/>
    <x v="8"/>
    <n v="18000000"/>
    <x v="26"/>
    <n v="6.6"/>
  </r>
  <r>
    <n v="101"/>
    <n v="70360285"/>
    <s v="Mortal Kombat "/>
    <s v="English"/>
    <x v="8"/>
    <n v="18000000"/>
    <x v="19"/>
    <n v="5.8"/>
  </r>
  <r>
    <n v="95"/>
    <n v="56127162"/>
    <s v="Just Married "/>
    <s v="English"/>
    <x v="8"/>
    <n v="18000000"/>
    <x v="18"/>
    <n v="5.4"/>
  </r>
  <r>
    <n v="97"/>
    <n v="150056505"/>
    <s v="Neighbors "/>
    <s v="English"/>
    <x v="8"/>
    <n v="18000000"/>
    <x v="16"/>
    <n v="6.4"/>
  </r>
  <r>
    <n v="114"/>
    <n v="119938730"/>
    <s v="The Mask "/>
    <s v="English"/>
    <x v="8"/>
    <n v="18000000"/>
    <x v="22"/>
    <n v="6.9"/>
  </r>
  <r>
    <n v="130"/>
    <n v="114968774"/>
    <s v="Big "/>
    <s v="English"/>
    <x v="8"/>
    <n v="18000000"/>
    <x v="4"/>
    <n v="7.3"/>
  </r>
  <r>
    <n v="82"/>
    <n v="128505958"/>
    <s v="Borat: Cultural Learnings of America for Make Benefit Glorious Nation of Kazakhstan "/>
    <s v="English"/>
    <x v="8"/>
    <n v="18000000"/>
    <x v="0"/>
    <n v="7.3"/>
  </r>
  <r>
    <n v="96"/>
    <n v="95001351"/>
    <s v="Legally Blonde "/>
    <s v="English"/>
    <x v="8"/>
    <n v="18000000"/>
    <x v="8"/>
    <n v="6.2"/>
  </r>
  <r>
    <n v="106"/>
    <n v="64955956"/>
    <s v="Barbershop 2: Back in Business "/>
    <s v="English"/>
    <x v="8"/>
    <n v="18000000"/>
    <x v="3"/>
    <n v="5.7"/>
  </r>
  <r>
    <n v="98"/>
    <n v="60057639"/>
    <s v="Bad Santa "/>
    <s v="English"/>
    <x v="8"/>
    <n v="18000000"/>
    <x v="18"/>
    <n v="7.1"/>
  </r>
  <r>
    <n v="94"/>
    <n v="59573085"/>
    <s v="My Big Fat Greek Wedding 2 "/>
    <s v="English"/>
    <x v="8"/>
    <n v="18000000"/>
    <x v="14"/>
    <n v="6.1"/>
  </r>
  <r>
    <n v="180"/>
    <n v="51600000"/>
    <s v="Amadeus "/>
    <s v="English"/>
    <x v="8"/>
    <n v="18000000"/>
    <x v="29"/>
    <n v="8.3000000000000007"/>
  </r>
  <r>
    <n v="113"/>
    <n v="43601508"/>
    <s v="Under the Tuscan Sun "/>
    <s v="English"/>
    <x v="8"/>
    <n v="18000000"/>
    <x v="18"/>
    <n v="6.7"/>
  </r>
  <r>
    <n v="103"/>
    <n v="41382841"/>
    <s v="Peggy Sue Got Married "/>
    <s v="English"/>
    <x v="8"/>
    <n v="18000000"/>
    <x v="34"/>
    <n v="6.3"/>
  </r>
  <r>
    <n v="119"/>
    <n v="42335698"/>
    <s v="Birdman or (The Unexpected Virtue of Ignorance) "/>
    <s v="English"/>
    <x v="8"/>
    <n v="18000000"/>
    <x v="16"/>
    <n v="7.8"/>
  </r>
  <r>
    <n v="98"/>
    <n v="33404871"/>
    <s v="Blue Jasmine "/>
    <s v="English"/>
    <x v="8"/>
    <n v="18000000"/>
    <x v="17"/>
    <n v="7.3"/>
  </r>
  <r>
    <n v="122"/>
    <n v="26830000"/>
    <s v="Glory "/>
    <s v="English"/>
    <x v="8"/>
    <n v="18000000"/>
    <x v="28"/>
    <n v="7.9"/>
  </r>
  <r>
    <n v="81"/>
    <n v="26906039"/>
    <s v="Spy Hard "/>
    <s v="English"/>
    <x v="8"/>
    <n v="18000000"/>
    <x v="24"/>
    <n v="5.3"/>
  </r>
  <r>
    <n v="106"/>
    <n v="43853424"/>
    <s v="Soul Surfer "/>
    <s v="English"/>
    <x v="8"/>
    <n v="18000000"/>
    <x v="15"/>
    <n v="7.1"/>
  </r>
  <r>
    <n v="86"/>
    <n v="23993605"/>
    <s v="Observe and Report "/>
    <s v="English"/>
    <x v="8"/>
    <n v="18000000"/>
    <x v="13"/>
    <n v="5.8"/>
  </r>
  <r>
    <n v="103"/>
    <n v="26400000"/>
    <s v="Conan the Destroyer "/>
    <s v="English"/>
    <x v="8"/>
    <n v="18000000"/>
    <x v="29"/>
    <n v="5.8"/>
  </r>
  <r>
    <n v="121"/>
    <n v="45250"/>
    <s v="Raging Bull "/>
    <s v="English"/>
    <x v="8"/>
    <n v="18000000"/>
    <x v="31"/>
    <n v="8.3000000000000007"/>
  </r>
  <r>
    <n v="109"/>
    <n v="22927390"/>
    <s v="Love Happens "/>
    <s v="English"/>
    <x v="8"/>
    <n v="18000000"/>
    <x v="13"/>
    <n v="5.6"/>
  </r>
  <r>
    <n v="109"/>
    <n v="4250320"/>
    <s v="Young Sherlock Holmes "/>
    <s v="English"/>
    <x v="8"/>
    <n v="18000000"/>
    <x v="33"/>
    <n v="6.8"/>
  </r>
  <r>
    <n v="123"/>
    <n v="22452209"/>
    <s v="Fame "/>
    <s v="English"/>
    <x v="8"/>
    <n v="18000000"/>
    <x v="13"/>
    <n v="5"/>
  </r>
  <r>
    <n v="94"/>
    <n v="18329466"/>
    <s v="127 Hours "/>
    <s v="English"/>
    <x v="8"/>
    <n v="18000000"/>
    <x v="11"/>
    <n v="7.6"/>
  </r>
  <r>
    <n v="94"/>
    <n v="17071230"/>
    <s v="Small Time Crooks "/>
    <s v="English"/>
    <x v="8"/>
    <n v="18000000"/>
    <x v="21"/>
    <n v="6.7"/>
  </r>
  <r>
    <n v="115"/>
    <n v="17174870"/>
    <s v="Center Stage "/>
    <s v="English"/>
    <x v="8"/>
    <n v="18000000"/>
    <x v="21"/>
    <n v="6.7"/>
  </r>
  <r>
    <n v="91"/>
    <n v="16702864"/>
    <s v="Catch That Kid "/>
    <s v="English"/>
    <x v="8"/>
    <n v="18000000"/>
    <x v="3"/>
    <n v="5.2"/>
  </r>
  <r>
    <n v="125"/>
    <n v="15561627"/>
    <s v="Life as a House "/>
    <s v="English"/>
    <x v="8"/>
    <n v="18000000"/>
    <x v="8"/>
    <n v="7.5"/>
  </r>
  <r>
    <n v="102"/>
    <n v="14793904"/>
    <s v="I Love You, Beth Cooper "/>
    <s v="English"/>
    <x v="11"/>
    <n v="18000000"/>
    <x v="13"/>
    <n v="5.3"/>
  </r>
  <r>
    <n v="90"/>
    <n v="15281286"/>
    <s v="Youth in Revolt "/>
    <s v="English"/>
    <x v="8"/>
    <n v="18000000"/>
    <x v="13"/>
    <n v="6.5"/>
  </r>
  <r>
    <n v="98"/>
    <n v="8000000"/>
    <s v="The Legend of the Lone Ranger "/>
    <s v="English"/>
    <x v="8"/>
    <n v="18000000"/>
    <x v="39"/>
    <n v="5"/>
  </r>
  <r>
    <n v="109"/>
    <n v="13491653"/>
    <s v="The Tailor of Panama "/>
    <s v="English"/>
    <x v="8"/>
    <n v="18000000"/>
    <x v="8"/>
    <n v="6.1"/>
  </r>
  <r>
    <n v="90"/>
    <n v="10494494"/>
    <s v="Getaway "/>
    <s v="English"/>
    <x v="8"/>
    <n v="18000000"/>
    <x v="17"/>
    <n v="4.4000000000000004"/>
  </r>
  <r>
    <n v="112"/>
    <n v="7837632"/>
    <s v="The Ice Storm "/>
    <s v="English"/>
    <x v="8"/>
    <n v="18000000"/>
    <x v="2"/>
    <n v="7.5"/>
  </r>
  <r>
    <n v="94"/>
    <n v="15155772"/>
    <s v="And So It Goes "/>
    <s v="English"/>
    <x v="8"/>
    <n v="18000000"/>
    <x v="16"/>
    <n v="5.7"/>
  </r>
  <r>
    <n v="105"/>
    <n v="8508843"/>
    <s v="Troop Beverly Hills "/>
    <s v="English"/>
    <x v="8"/>
    <n v="18000000"/>
    <x v="28"/>
    <n v="5.5"/>
  </r>
  <r>
    <n v="104"/>
    <n v="7739049"/>
    <s v="Being Julia "/>
    <s v="English"/>
    <x v="11"/>
    <n v="18000000"/>
    <x v="3"/>
    <n v="7.1"/>
  </r>
  <r>
    <n v="108"/>
    <n v="6000000"/>
    <s v="Dragonslayer "/>
    <s v="English"/>
    <x v="8"/>
    <n v="18000000"/>
    <x v="39"/>
    <n v="6.7"/>
  </r>
  <r>
    <n v="127"/>
    <n v="5887457"/>
    <s v="Ed Wood "/>
    <s v="English"/>
    <x v="8"/>
    <n v="18000000"/>
    <x v="22"/>
    <n v="7.9"/>
  </r>
  <r>
    <n v="111"/>
    <n v="13362308"/>
    <s v="Labor Day "/>
    <s v="English"/>
    <x v="8"/>
    <n v="18000000"/>
    <x v="17"/>
    <n v="6.9"/>
  </r>
  <r>
    <n v="114"/>
    <n v="5694401"/>
    <s v="RocknRolla "/>
    <s v="English"/>
    <x v="9"/>
    <n v="18000000"/>
    <x v="7"/>
    <n v="7.3"/>
  </r>
  <r>
    <n v="150"/>
    <n v="4414535"/>
    <s v="Hamlet "/>
    <s v="English"/>
    <x v="9"/>
    <n v="18000000"/>
    <x v="24"/>
    <n v="7.8"/>
  </r>
  <r>
    <n v="112"/>
    <n v="3707794"/>
    <s v="Midnight Special "/>
    <s v="English"/>
    <x v="30"/>
    <n v="18000000"/>
    <x v="14"/>
    <n v="6.7"/>
  </r>
  <r>
    <n v="108"/>
    <n v="3203044"/>
    <s v="Anything Else "/>
    <s v="English"/>
    <x v="8"/>
    <n v="18000000"/>
    <x v="18"/>
    <n v="6.4"/>
  </r>
  <r>
    <n v="116"/>
    <n v="4435083"/>
    <s v="The Railway Man "/>
    <s v="English"/>
    <x v="13"/>
    <n v="18000000"/>
    <x v="17"/>
    <n v="7.1"/>
  </r>
  <r>
    <n v="103"/>
    <n v="676698"/>
    <s v="The Salton Sea "/>
    <s v="English"/>
    <x v="8"/>
    <n v="18000000"/>
    <x v="20"/>
    <n v="7.2"/>
  </r>
  <r>
    <n v="103"/>
    <n v="285761243"/>
    <s v="Home Alone "/>
    <s v="English"/>
    <x v="8"/>
    <n v="18000000"/>
    <x v="25"/>
    <n v="7.5"/>
  </r>
  <r>
    <n v="97"/>
    <n v="27141959"/>
    <s v="Baby Geniuses "/>
    <s v="English"/>
    <x v="8"/>
    <n v="18000000"/>
    <x v="5"/>
    <n v="2.5"/>
  </r>
  <r>
    <n v="126"/>
    <n v="25592632"/>
    <s v="The Mist "/>
    <s v="English"/>
    <x v="8"/>
    <n v="18000000"/>
    <x v="9"/>
    <n v="7.2"/>
  </r>
  <r>
    <n v="150"/>
    <n v="4414535"/>
    <s v="Hamlet "/>
    <s v="English"/>
    <x v="9"/>
    <n v="18000000"/>
    <x v="24"/>
    <n v="7.8"/>
  </r>
  <r>
    <n v="91"/>
    <n v="27087695"/>
    <s v="Joe Dirt "/>
    <s v="English"/>
    <x v="8"/>
    <n v="17700000"/>
    <x v="8"/>
    <n v="5.9"/>
  </r>
  <r>
    <n v="80"/>
    <n v="51053787"/>
    <s v="Hoodwinked! "/>
    <s v="English"/>
    <x v="8"/>
    <n v="17500000"/>
    <x v="1"/>
    <n v="6.5"/>
  </r>
  <r>
    <n v="121"/>
    <n v="23472900"/>
    <s v="Hotel Rwanda "/>
    <s v="English"/>
    <x v="9"/>
    <n v="17500000"/>
    <x v="3"/>
    <n v="8.1"/>
  </r>
  <r>
    <n v="93"/>
    <n v="7017178"/>
    <s v="Black Nativity "/>
    <s v="English"/>
    <x v="8"/>
    <n v="17500000"/>
    <x v="17"/>
    <n v="4.4000000000000004"/>
  </r>
  <r>
    <n v="116"/>
    <n v="325491"/>
    <s v="City of Ghosts "/>
    <s v="English"/>
    <x v="8"/>
    <n v="17500000"/>
    <x v="20"/>
    <n v="6"/>
  </r>
  <r>
    <n v="110"/>
    <n v="19179969"/>
    <s v="Beerfest "/>
    <s v="English"/>
    <x v="8"/>
    <n v="17500000"/>
    <x v="0"/>
    <n v="6.3"/>
  </r>
  <r>
    <n v="94"/>
    <n v="56816662"/>
    <s v="Midnight in Paris "/>
    <s v="English"/>
    <x v="4"/>
    <n v="17000000"/>
    <x v="15"/>
    <n v="7.7"/>
  </r>
  <r>
    <n v="96"/>
    <n v="82234139"/>
    <s v="Bridge to Terabithia "/>
    <s v="English"/>
    <x v="8"/>
    <n v="17000000"/>
    <x v="9"/>
    <n v="7.2"/>
  </r>
  <r>
    <n v="104"/>
    <n v="35143332"/>
    <s v="Jeepers Creepers II "/>
    <s v="English"/>
    <x v="8"/>
    <n v="17000000"/>
    <x v="18"/>
    <n v="5.6"/>
  </r>
  <r>
    <n v="88"/>
    <n v="9286314"/>
    <s v="Stone Cold "/>
    <s v="English"/>
    <x v="8"/>
    <n v="17000000"/>
    <x v="23"/>
    <n v="5.9"/>
  </r>
  <r>
    <n v="112"/>
    <n v="16684352"/>
    <s v="To Rome with Love "/>
    <s v="English"/>
    <x v="8"/>
    <n v="17000000"/>
    <x v="10"/>
    <n v="6.3"/>
  </r>
  <r>
    <n v="96"/>
    <n v="42660000"/>
    <s v="Teenage Mutant Ninja Turtles III "/>
    <s v="English"/>
    <x v="8"/>
    <n v="17000000"/>
    <x v="27"/>
    <n v="4.8"/>
  </r>
  <r>
    <n v="98"/>
    <n v="9430988"/>
    <s v="Away We Go "/>
    <s v="English"/>
    <x v="8"/>
    <n v="17000000"/>
    <x v="13"/>
    <n v="7.1"/>
  </r>
  <r>
    <n v="105"/>
    <n v="76400000"/>
    <s v="Star Trek III: The Search for Spock "/>
    <s v="English"/>
    <x v="8"/>
    <n v="17000000"/>
    <x v="29"/>
    <n v="6.6"/>
  </r>
  <r>
    <n v="88"/>
    <n v="65535067"/>
    <s v="Deuce Bigalow: Male Gigolo "/>
    <s v="English"/>
    <x v="8"/>
    <n v="17000000"/>
    <x v="5"/>
    <n v="5.7"/>
  </r>
  <r>
    <n v="103"/>
    <n v="6061759"/>
    <s v="The Family Stone "/>
    <s v="English"/>
    <x v="8"/>
    <n v="17000000"/>
    <x v="1"/>
    <n v="6.3"/>
  </r>
  <r>
    <n v="68"/>
    <n v="53868030"/>
    <s v="Austin Powers: International Man of Mystery "/>
    <s v="English"/>
    <x v="8"/>
    <n v="17000000"/>
    <x v="2"/>
    <n v="7"/>
  </r>
  <r>
    <n v="97"/>
    <n v="86049418"/>
    <s v="Mean Girls "/>
    <s v="English"/>
    <x v="8"/>
    <n v="17000000"/>
    <x v="3"/>
    <n v="7"/>
  </r>
  <r>
    <n v="107"/>
    <n v="26284475"/>
    <s v="Love the Coopers "/>
    <s v="English"/>
    <x v="8"/>
    <n v="17000000"/>
    <x v="12"/>
    <n v="5.7"/>
  </r>
  <r>
    <n v="112"/>
    <n v="6734844"/>
    <s v="9½ Weeks "/>
    <s v="English"/>
    <x v="8"/>
    <n v="17000000"/>
    <x v="34"/>
    <n v="5.9"/>
  </r>
  <r>
    <n v="101"/>
    <n v="96471845"/>
    <s v="The Others "/>
    <s v="English"/>
    <x v="8"/>
    <n v="17000000"/>
    <x v="8"/>
    <n v="7.6"/>
  </r>
  <r>
    <n v="170"/>
    <n v="72000000"/>
    <s v="My Fair Lady "/>
    <s v="English"/>
    <x v="8"/>
    <n v="17000000"/>
    <x v="43"/>
    <n v="7.9"/>
  </r>
  <r>
    <n v="99"/>
    <n v="72219395"/>
    <s v="I Know What You Did Last Summer "/>
    <s v="English"/>
    <x v="8"/>
    <n v="17000000"/>
    <x v="2"/>
    <n v="5.6"/>
  </r>
  <r>
    <n v="104"/>
    <n v="82389560"/>
    <s v="Let's Be Cops "/>
    <s v="English"/>
    <x v="8"/>
    <n v="17000000"/>
    <x v="16"/>
    <n v="6.5"/>
  </r>
  <r>
    <n v="87"/>
    <n v="37566230"/>
    <s v="Good Boy! "/>
    <s v="English"/>
    <x v="8"/>
    <n v="17000000"/>
    <x v="18"/>
    <n v="5.0999999999999996"/>
  </r>
  <r>
    <n v="123"/>
    <n v="70492685"/>
    <s v="The Best Man Holiday "/>
    <s v="English"/>
    <x v="8"/>
    <n v="17000000"/>
    <x v="17"/>
    <n v="6.7"/>
  </r>
  <r>
    <n v="109"/>
    <n v="35635046"/>
    <s v="Smokin' Aces "/>
    <s v="English"/>
    <x v="9"/>
    <n v="17000000"/>
    <x v="0"/>
    <n v="6.7"/>
  </r>
  <r>
    <n v="96"/>
    <n v="37939782"/>
    <s v="40 Days and 40 Nights "/>
    <s v="English"/>
    <x v="8"/>
    <n v="17000000"/>
    <x v="20"/>
    <n v="5.6"/>
  </r>
  <r>
    <n v="82"/>
    <n v="30324946"/>
    <s v="A Night at the Roxbury "/>
    <s v="English"/>
    <x v="8"/>
    <n v="17000000"/>
    <x v="6"/>
    <n v="6.2"/>
  </r>
  <r>
    <n v="86"/>
    <n v="27854896"/>
    <s v="Beastly "/>
    <s v="English"/>
    <x v="8"/>
    <n v="17000000"/>
    <x v="15"/>
    <n v="5.6"/>
  </r>
  <r>
    <n v="98"/>
    <n v="22734486"/>
    <s v="Dickie Roberts: Former Child Star "/>
    <s v="English"/>
    <x v="8"/>
    <n v="17000000"/>
    <x v="18"/>
    <n v="5.6"/>
  </r>
  <r>
    <n v="129"/>
    <n v="44469602"/>
    <s v="McFarland, USA "/>
    <s v="English"/>
    <x v="8"/>
    <n v="17000000"/>
    <x v="12"/>
    <n v="7.4"/>
  </r>
  <r>
    <n v="112"/>
    <n v="64998368"/>
    <s v="Pitch Perfect "/>
    <s v="English"/>
    <x v="8"/>
    <n v="17000000"/>
    <x v="10"/>
    <n v="7.2"/>
  </r>
  <r>
    <n v="121"/>
    <n v="16311763"/>
    <s v="A Simple Plan "/>
    <s v="English"/>
    <x v="9"/>
    <n v="17000000"/>
    <x v="6"/>
    <n v="7.5"/>
  </r>
  <r>
    <n v="89"/>
    <n v="12693621"/>
    <s v="They "/>
    <s v="English"/>
    <x v="8"/>
    <n v="17000000"/>
    <x v="20"/>
    <n v="4.8"/>
  </r>
  <r>
    <n v="73"/>
    <n v="11634458"/>
    <s v="The Adventures of Elmo in Grouchland "/>
    <s v="English"/>
    <x v="8"/>
    <n v="17000000"/>
    <x v="5"/>
    <n v="5.8"/>
  </r>
  <r>
    <n v="132"/>
    <n v="27154426"/>
    <s v="Brooklyn's Finest "/>
    <s v="English"/>
    <x v="8"/>
    <n v="17000000"/>
    <x v="13"/>
    <n v="6.7"/>
  </r>
  <r>
    <n v="96"/>
    <n v="54239856"/>
    <s v="Evil Dead "/>
    <s v="English"/>
    <x v="8"/>
    <n v="17000000"/>
    <x v="17"/>
    <n v="6.5"/>
  </r>
  <r>
    <n v="98"/>
    <n v="8662318"/>
    <s v="My Life in Ruins "/>
    <s v="English"/>
    <x v="8"/>
    <n v="17000000"/>
    <x v="13"/>
    <n v="5.9"/>
  </r>
  <r>
    <n v="134"/>
    <n v="15681020"/>
    <s v="Superman IV: The Quest for Peace "/>
    <s v="English"/>
    <x v="9"/>
    <n v="17000000"/>
    <x v="32"/>
    <n v="3.6"/>
  </r>
  <r>
    <n v="122"/>
    <n v="6855137"/>
    <s v="Running Scared "/>
    <s v="English"/>
    <x v="12"/>
    <n v="17000000"/>
    <x v="0"/>
    <n v="7.4"/>
  </r>
  <r>
    <n v="97"/>
    <n v="2315683"/>
    <s v="Shanghai Surprise "/>
    <s v="English"/>
    <x v="9"/>
    <n v="17000000"/>
    <x v="34"/>
    <n v="3"/>
  </r>
  <r>
    <n v="102"/>
    <n v="2000000"/>
    <s v="Roar "/>
    <s v="English"/>
    <x v="8"/>
    <n v="17000000"/>
    <x v="39"/>
    <n v="6.4"/>
  </r>
  <r>
    <n v="98"/>
    <n v="1569918"/>
    <s v="Veronica Guerin "/>
    <s v="English"/>
    <x v="23"/>
    <n v="17000000"/>
    <x v="18"/>
    <n v="6.9"/>
  </r>
  <r>
    <n v="160"/>
    <n v="273420"/>
    <s v="Southland Tales "/>
    <s v="English"/>
    <x v="7"/>
    <n v="17000000"/>
    <x v="0"/>
    <n v="5.5"/>
  </r>
  <r>
    <n v="83"/>
    <n v="4930798"/>
    <s v="The Apparition "/>
    <s v="English"/>
    <x v="8"/>
    <n v="17000000"/>
    <x v="10"/>
    <n v="4.0999999999999996"/>
  </r>
  <r>
    <n v="95"/>
    <n v="54322273"/>
    <s v="The Woman in Black "/>
    <s v="English"/>
    <x v="9"/>
    <n v="17000000"/>
    <x v="10"/>
    <n v="6.4"/>
  </r>
  <r>
    <n v="94"/>
    <n v="42672630"/>
    <s v="The Lizzie McGuire Movie "/>
    <s v="English"/>
    <x v="8"/>
    <n v="17000000"/>
    <x v="18"/>
    <n v="5.3"/>
  </r>
  <r>
    <n v="86"/>
    <n v="54257433"/>
    <s v="The Shallows "/>
    <s v="English"/>
    <x v="8"/>
    <n v="17000000"/>
    <x v="14"/>
    <n v="6.8"/>
  </r>
  <r>
    <n v="125"/>
    <n v="4068087"/>
    <s v="The Visual Bible: The Gospel of John "/>
    <s v="English"/>
    <x v="11"/>
    <n v="17000000"/>
    <x v="18"/>
    <n v="7.7"/>
  </r>
  <r>
    <n v="114"/>
    <n v="30050028"/>
    <s v="Road House "/>
    <s v="English"/>
    <x v="8"/>
    <n v="17000000"/>
    <x v="28"/>
    <n v="6.5"/>
  </r>
  <r>
    <n v="116"/>
    <n v="24397469"/>
    <s v="Sparkle "/>
    <s v="English"/>
    <x v="8"/>
    <n v="17000000"/>
    <x v="10"/>
    <n v="5.7"/>
  </r>
  <r>
    <n v="122"/>
    <n v="220914"/>
    <s v="Fur: An Imaginary Portrait of Diane Arbus "/>
    <s v="English"/>
    <x v="8"/>
    <n v="16800000"/>
    <x v="0"/>
    <n v="6.5"/>
  </r>
  <r>
    <n v="102"/>
    <n v="59847242"/>
    <s v="My Girl "/>
    <s v="English"/>
    <x v="8"/>
    <n v="16500000"/>
    <x v="23"/>
    <n v="6.8"/>
  </r>
  <r>
    <n v="136"/>
    <n v="42700000"/>
    <s v="Sense and Sensibility "/>
    <s v="English"/>
    <x v="8"/>
    <n v="16500000"/>
    <x v="19"/>
    <n v="7.7"/>
  </r>
  <r>
    <n v="120"/>
    <n v="18663911"/>
    <s v="Becoming Jane "/>
    <s v="English"/>
    <x v="9"/>
    <n v="16500000"/>
    <x v="9"/>
    <n v="7.1"/>
  </r>
  <r>
    <n v="108"/>
    <n v="11702090"/>
    <s v="Sydney White "/>
    <s v="English"/>
    <x v="8"/>
    <n v="16500000"/>
    <x v="9"/>
    <n v="6.3"/>
  </r>
  <r>
    <n v="114"/>
    <n v="26896744"/>
    <s v="The Women "/>
    <s v="English"/>
    <x v="8"/>
    <n v="16500000"/>
    <x v="7"/>
    <n v="4.9000000000000004"/>
  </r>
  <r>
    <n v="128"/>
    <n v="95860116"/>
    <s v="Dead Poets Society "/>
    <s v="English"/>
    <x v="8"/>
    <n v="16400000"/>
    <x v="28"/>
    <n v="8"/>
  </r>
  <r>
    <n v="164"/>
    <n v="26400000"/>
    <s v="A Passage to India "/>
    <s v="English"/>
    <x v="9"/>
    <n v="16000000"/>
    <x v="29"/>
    <n v="7.4"/>
  </r>
  <r>
    <n v="115"/>
    <n v="15045676"/>
    <s v="The Box "/>
    <s v="English"/>
    <x v="8"/>
    <n v="16000000"/>
    <x v="13"/>
    <n v="5.6"/>
  </r>
  <r>
    <n v="120"/>
    <n v="634277"/>
    <s v="Molière "/>
    <s v="French"/>
    <x v="7"/>
    <n v="16000000"/>
    <x v="9"/>
    <n v="7.3"/>
  </r>
  <r>
    <n v="110"/>
    <n v="13998282"/>
    <s v="Left Behind "/>
    <s v="English"/>
    <x v="8"/>
    <n v="16000000"/>
    <x v="16"/>
    <n v="3.1"/>
  </r>
  <r>
    <n v="110"/>
    <n v="39825798"/>
    <s v="The Illusionist "/>
    <s v="English"/>
    <x v="8"/>
    <n v="16000000"/>
    <x v="0"/>
    <n v="7.6"/>
  </r>
  <r>
    <n v="110"/>
    <n v="39825798"/>
    <s v="The Illusionist "/>
    <s v="English"/>
    <x v="8"/>
    <n v="16000000"/>
    <x v="0"/>
    <n v="7.6"/>
  </r>
  <r>
    <n v="113"/>
    <n v="127175354"/>
    <s v="Dumb &amp; Dumber "/>
    <s v="English"/>
    <x v="8"/>
    <n v="16000000"/>
    <x v="22"/>
    <n v="7.3"/>
  </r>
  <r>
    <n v="89"/>
    <n v="92823600"/>
    <s v="When Harry Met Sally... "/>
    <s v="English"/>
    <x v="8"/>
    <n v="16000000"/>
    <x v="28"/>
    <n v="7.6"/>
  </r>
  <r>
    <n v="129"/>
    <n v="54000000"/>
    <s v="The Verdict "/>
    <s v="English"/>
    <x v="8"/>
    <n v="16000000"/>
    <x v="37"/>
    <n v="7.8"/>
  </r>
  <r>
    <n v="106"/>
    <n v="52885587"/>
    <s v="Varsity Blues "/>
    <s v="English"/>
    <x v="8"/>
    <n v="16000000"/>
    <x v="5"/>
    <n v="6.4"/>
  </r>
  <r>
    <n v="89"/>
    <n v="42638165"/>
    <s v="The Unborn "/>
    <s v="English"/>
    <x v="8"/>
    <n v="16000000"/>
    <x v="13"/>
    <n v="4.8"/>
  </r>
  <r>
    <n v="94"/>
    <n v="45507053"/>
    <s v="Moonrise Kingdom "/>
    <s v="English"/>
    <x v="8"/>
    <n v="16000000"/>
    <x v="10"/>
    <n v="7.8"/>
  </r>
  <r>
    <n v="83"/>
    <n v="39511038"/>
    <s v="The Texas Chainsaw Massacre: The Beginning "/>
    <s v="English"/>
    <x v="8"/>
    <n v="16000000"/>
    <x v="0"/>
    <n v="5.9"/>
  </r>
  <r>
    <n v="80"/>
    <n v="40363530"/>
    <s v="The Master of Disguise "/>
    <s v="English"/>
    <x v="8"/>
    <n v="16000000"/>
    <x v="20"/>
    <n v="3.3"/>
  </r>
  <r>
    <n v="130"/>
    <n v="28734552"/>
    <s v="Baby Boy "/>
    <s v="English"/>
    <x v="8"/>
    <n v="16000000"/>
    <x v="8"/>
    <n v="6.4"/>
  </r>
  <r>
    <n v="91"/>
    <n v="37300107"/>
    <s v="The Roommate "/>
    <s v="English"/>
    <x v="8"/>
    <n v="16000000"/>
    <x v="15"/>
    <n v="4.8"/>
  </r>
  <r>
    <n v="94"/>
    <n v="20627372"/>
    <s v="Boys and Girls "/>
    <s v="English"/>
    <x v="8"/>
    <n v="16000000"/>
    <x v="21"/>
    <n v="5.3"/>
  </r>
  <r>
    <n v="109"/>
    <n v="16346122"/>
    <s v="White Oleander "/>
    <s v="English"/>
    <x v="8"/>
    <n v="16000000"/>
    <x v="20"/>
    <n v="7.2"/>
  </r>
  <r>
    <n v="107"/>
    <n v="16204793"/>
    <s v="Jennifer's Body "/>
    <s v="English"/>
    <x v="8"/>
    <n v="16000000"/>
    <x v="13"/>
    <n v="5.0999999999999996"/>
  </r>
  <r>
    <n v="96"/>
    <n v="15427192"/>
    <s v="Drowning Mona "/>
    <s v="English"/>
    <x v="8"/>
    <n v="16000000"/>
    <x v="21"/>
    <n v="5.6"/>
  </r>
  <r>
    <n v="88"/>
    <n v="14792779"/>
    <s v="Radio Days "/>
    <s v="English"/>
    <x v="8"/>
    <n v="16000000"/>
    <x v="32"/>
    <n v="7.6"/>
  </r>
  <r>
    <n v="110"/>
    <n v="13998282"/>
    <s v="Left Behind "/>
    <s v="English"/>
    <x v="8"/>
    <n v="16000000"/>
    <x v="16"/>
    <n v="3.1"/>
  </r>
  <r>
    <n v="113"/>
    <n v="19057024"/>
    <s v="Remember Me "/>
    <s v="English"/>
    <x v="8"/>
    <n v="16000000"/>
    <x v="11"/>
    <n v="7.2"/>
  </r>
  <r>
    <n v="101"/>
    <n v="14108518"/>
    <s v="How to Deal "/>
    <s v="English"/>
    <x v="8"/>
    <n v="16000000"/>
    <x v="18"/>
    <n v="5.7"/>
  </r>
  <r>
    <n v="100"/>
    <n v="15500000"/>
    <s v="The Thirteenth Floor "/>
    <s v="English"/>
    <x v="12"/>
    <n v="16000000"/>
    <x v="5"/>
    <n v="7"/>
  </r>
  <r>
    <n v="112"/>
    <n v="4839383"/>
    <s v="Hollywood Ending "/>
    <s v="English"/>
    <x v="8"/>
    <n v="16000000"/>
    <x v="20"/>
    <n v="6.6"/>
  </r>
  <r>
    <n v="110"/>
    <n v="5900000"/>
    <s v="Highlander "/>
    <s v="English"/>
    <x v="9"/>
    <n v="16000000"/>
    <x v="34"/>
    <n v="7.2"/>
  </r>
  <r>
    <n v="118"/>
    <n v="2849142"/>
    <s v="Things We Lost in the Fire "/>
    <s v="English"/>
    <x v="8"/>
    <n v="16000000"/>
    <x v="9"/>
    <n v="7.2"/>
  </r>
  <r>
    <n v="97"/>
    <n v="1686429"/>
    <s v="Steel "/>
    <s v="English"/>
    <x v="8"/>
    <n v="16000000"/>
    <x v="2"/>
    <n v="2.8"/>
  </r>
  <r>
    <n v="120"/>
    <n v="1984743"/>
    <s v="The Immigrant "/>
    <s v="English"/>
    <x v="8"/>
    <n v="16000000"/>
    <x v="17"/>
    <n v="6.6"/>
  </r>
  <r>
    <n v="135"/>
    <n v="1666262"/>
    <s v="The White Countess "/>
    <s v="English"/>
    <x v="9"/>
    <n v="16000000"/>
    <x v="1"/>
    <n v="6.7"/>
  </r>
  <r>
    <n v="92"/>
    <n v="13922211"/>
    <s v="Soul Plane "/>
    <s v="English"/>
    <x v="8"/>
    <n v="16000000"/>
    <x v="3"/>
    <n v="4.4000000000000004"/>
  </r>
  <r>
    <n v="92"/>
    <n v="2964"/>
    <s v="Vamps "/>
    <s v="English"/>
    <x v="8"/>
    <n v="16000000"/>
    <x v="10"/>
    <n v="5.0999999999999996"/>
  </r>
  <r>
    <n v="122"/>
    <n v="2428883"/>
    <s v="The Homesman "/>
    <s v="English"/>
    <x v="8"/>
    <n v="16000000"/>
    <x v="16"/>
    <n v="6.6"/>
  </r>
  <r>
    <n v="99"/>
    <n v="37882551"/>
    <s v="Not Another Teen Movie "/>
    <s v="English"/>
    <x v="8"/>
    <n v="16000000"/>
    <x v="8"/>
    <n v="5.7"/>
  </r>
  <r>
    <n v="86"/>
    <n v="34308901"/>
    <s v="Malibu's Most Wanted "/>
    <s v="English"/>
    <x v="8"/>
    <n v="16000000"/>
    <x v="18"/>
    <n v="5.0999999999999996"/>
  </r>
  <r>
    <n v="98"/>
    <n v="30857814"/>
    <s v="The Princess Bride "/>
    <s v="English"/>
    <x v="8"/>
    <n v="16000000"/>
    <x v="32"/>
    <n v="8.1"/>
  </r>
  <r>
    <n v="108"/>
    <n v="9172810"/>
    <s v="A Mighty Heart "/>
    <s v="English"/>
    <x v="8"/>
    <n v="16000000"/>
    <x v="9"/>
    <n v="6.7"/>
  </r>
  <r>
    <n v="97"/>
    <n v="38176108"/>
    <s v="10 Things I Hate About You "/>
    <s v="English"/>
    <x v="8"/>
    <n v="16000000"/>
    <x v="5"/>
    <n v="7.2"/>
  </r>
  <r>
    <n v="101"/>
    <n v="11956207"/>
    <s v="Sorority Row "/>
    <s v="English"/>
    <x v="8"/>
    <n v="16000000"/>
    <x v="13"/>
    <n v="5.0999999999999996"/>
  </r>
  <r>
    <n v="132"/>
    <n v="1508689"/>
    <s v="Oscar and Lucinda "/>
    <s v="English"/>
    <x v="8"/>
    <n v="16000000"/>
    <x v="2"/>
    <n v="6.7"/>
  </r>
  <r>
    <n v="85"/>
    <n v="4356743"/>
    <s v="On the Line "/>
    <s v="English"/>
    <x v="8"/>
    <n v="16000000"/>
    <x v="8"/>
    <n v="4.0999999999999996"/>
  </r>
  <r>
    <n v="112"/>
    <n v="317125"/>
    <s v="Adore "/>
    <s v="English"/>
    <x v="13"/>
    <n v="16000000"/>
    <x v="17"/>
    <n v="6.2"/>
  </r>
  <r>
    <n v="89"/>
    <n v="42638165"/>
    <s v="The Unborn "/>
    <s v="English"/>
    <x v="8"/>
    <n v="16000000"/>
    <x v="13"/>
    <n v="4.8"/>
  </r>
  <r>
    <n v="108"/>
    <n v="109306210"/>
    <s v="Crocodile Dundee II "/>
    <s v="English"/>
    <x v="13"/>
    <n v="15800000"/>
    <x v="4"/>
    <n v="5.5"/>
  </r>
  <r>
    <n v="94"/>
    <n v="68525609"/>
    <s v="Road Trip "/>
    <s v="English"/>
    <x v="8"/>
    <n v="15600000"/>
    <x v="21"/>
    <n v="6.5"/>
  </r>
  <r>
    <n v="91"/>
    <n v="13571817"/>
    <s v="Juwanna Mann "/>
    <s v="English"/>
    <x v="8"/>
    <n v="15600000"/>
    <x v="20"/>
    <n v="4.5"/>
  </r>
  <r>
    <n v="96"/>
    <n v="23213577"/>
    <s v="Vicky Cristina Barcelona "/>
    <s v="English"/>
    <x v="4"/>
    <n v="15500000"/>
    <x v="7"/>
    <n v="7.2"/>
  </r>
  <r>
    <n v="93"/>
    <n v="1181197"/>
    <s v="Slow Burn "/>
    <s v="English"/>
    <x v="8"/>
    <n v="15500000"/>
    <x v="1"/>
    <n v="5.9"/>
  </r>
  <r>
    <n v="95"/>
    <n v="7774730"/>
    <s v="Slither "/>
    <s v="English"/>
    <x v="11"/>
    <n v="15500000"/>
    <x v="0"/>
    <n v="6.5"/>
  </r>
  <r>
    <n v="102"/>
    <n v="317040"/>
    <s v="The Yellow Handkerchief "/>
    <s v="English"/>
    <x v="8"/>
    <n v="15500000"/>
    <x v="7"/>
    <n v="6.8"/>
  </r>
  <r>
    <n v="89"/>
    <n v="313436"/>
    <s v="Elling "/>
    <s v="Norwegian"/>
    <x v="21"/>
    <n v="15500000"/>
    <x v="8"/>
    <n v="7.6"/>
  </r>
  <r>
    <n v="94"/>
    <n v="81525"/>
    <s v="Wasabi "/>
    <s v="French"/>
    <x v="7"/>
    <n v="15300000"/>
    <x v="8"/>
    <n v="6.6"/>
  </r>
  <r>
    <n v="109"/>
    <n v="13782838"/>
    <s v="The Thing "/>
    <s v="English"/>
    <x v="8"/>
    <n v="15000000"/>
    <x v="37"/>
    <n v="8.1999999999999993"/>
  </r>
  <r>
    <n v="92"/>
    <n v="17508670"/>
    <s v="Notes on a Scandal "/>
    <s v="English"/>
    <x v="9"/>
    <n v="15000000"/>
    <x v="0"/>
    <n v="7.4"/>
  </r>
  <r>
    <n v="112"/>
    <n v="4485485"/>
    <s v="Flawless "/>
    <s v="English"/>
    <x v="8"/>
    <n v="15000000"/>
    <x v="5"/>
    <n v="6.4"/>
  </r>
  <r>
    <n v="129"/>
    <n v="33565375"/>
    <s v="The Constant Gardener "/>
    <s v="English"/>
    <x v="9"/>
    <n v="15000000"/>
    <x v="1"/>
    <n v="7.5"/>
  </r>
  <r>
    <n v="95"/>
    <n v="4006906"/>
    <s v="King's Ransom "/>
    <s v="English"/>
    <x v="8"/>
    <n v="15000000"/>
    <x v="1"/>
    <n v="4.0999999999999996"/>
  </r>
  <r>
    <n v="148"/>
    <n v="18352454"/>
    <s v="Into the Wild "/>
    <s v="English"/>
    <x v="8"/>
    <n v="15000000"/>
    <x v="9"/>
    <n v="8.1999999999999993"/>
  </r>
  <r>
    <n v="99"/>
    <n v="5702083"/>
    <s v="A Dangerous Method "/>
    <s v="English"/>
    <x v="9"/>
    <n v="15000000"/>
    <x v="15"/>
    <n v="6.5"/>
  </r>
  <r>
    <n v="103"/>
    <n v="103001286"/>
    <s v="Scream "/>
    <s v="English"/>
    <x v="8"/>
    <n v="15000000"/>
    <x v="24"/>
    <n v="7.2"/>
  </r>
  <r>
    <n v="109"/>
    <n v="1357042"/>
    <s v="The Devil's Double "/>
    <s v="English"/>
    <x v="20"/>
    <n v="15000000"/>
    <x v="15"/>
    <n v="7.1"/>
  </r>
  <r>
    <n v="97"/>
    <n v="20433940"/>
    <s v="Land of the Dead "/>
    <s v="English"/>
    <x v="11"/>
    <n v="15000000"/>
    <x v="1"/>
    <n v="6.2"/>
  </r>
  <r>
    <n v="107"/>
    <n v="59735548"/>
    <s v="Predator "/>
    <s v="English"/>
    <x v="8"/>
    <n v="15000000"/>
    <x v="32"/>
    <n v="7.8"/>
  </r>
  <r>
    <n v="111"/>
    <n v="31471430"/>
    <s v="United 93 "/>
    <s v="English"/>
    <x v="8"/>
    <n v="15000000"/>
    <x v="0"/>
    <n v="7.6"/>
  </r>
  <r>
    <n v="108"/>
    <n v="41777564"/>
    <s v="The Hills Have Eyes "/>
    <s v="English"/>
    <x v="8"/>
    <n v="15000000"/>
    <x v="0"/>
    <n v="6.4"/>
  </r>
  <r>
    <n v="126"/>
    <n v="43848100"/>
    <s v="Wall Street "/>
    <s v="English"/>
    <x v="8"/>
    <n v="15000000"/>
    <x v="32"/>
    <n v="7.4"/>
  </r>
  <r>
    <n v="126"/>
    <n v="13005485"/>
    <s v="House of Sand and Fog "/>
    <s v="English"/>
    <x v="8"/>
    <n v="15000000"/>
    <x v="18"/>
    <n v="7.6"/>
  </r>
  <r>
    <n v="100"/>
    <n v="44667095"/>
    <s v="The Artist "/>
    <s v="English"/>
    <x v="7"/>
    <n v="15000000"/>
    <x v="15"/>
    <n v="8"/>
  </r>
  <r>
    <n v="110"/>
    <n v="30102717"/>
    <s v="Double Impact "/>
    <s v="English"/>
    <x v="8"/>
    <n v="15000000"/>
    <x v="23"/>
    <n v="5.5"/>
  </r>
  <r>
    <n v="112"/>
    <n v="4734235"/>
    <s v="Duets "/>
    <s v="English"/>
    <x v="8"/>
    <n v="15000000"/>
    <x v="21"/>
    <n v="6"/>
  </r>
  <r>
    <n v="95"/>
    <n v="4193025"/>
    <s v="Detroit Rock City "/>
    <s v="English"/>
    <x v="8"/>
    <n v="15000000"/>
    <x v="5"/>
    <n v="6.8"/>
  </r>
  <r>
    <n v="92"/>
    <n v="23091"/>
    <s v="Good "/>
    <s v="English"/>
    <x v="9"/>
    <n v="15000000"/>
    <x v="7"/>
    <n v="6.2"/>
  </r>
  <r>
    <n v="110"/>
    <n v="176781728"/>
    <s v="Top Gun "/>
    <s v="English"/>
    <x v="8"/>
    <n v="15000000"/>
    <x v="34"/>
    <n v="6.9"/>
  </r>
  <r>
    <n v="120"/>
    <n v="128067808"/>
    <s v="Crouching Tiger, Hidden Dragon "/>
    <s v="Mandarin"/>
    <x v="31"/>
    <n v="15000000"/>
    <x v="21"/>
    <n v="7.9"/>
  </r>
  <r>
    <n v="122"/>
    <n v="130058047"/>
    <s v="American Beauty "/>
    <s v="English"/>
    <x v="8"/>
    <n v="15000000"/>
    <x v="5"/>
    <n v="8.4"/>
  </r>
  <r>
    <n v="118"/>
    <n v="138795342"/>
    <s v="The King's Speech "/>
    <s v="English"/>
    <x v="9"/>
    <n v="15000000"/>
    <x v="11"/>
    <n v="8"/>
  </r>
  <r>
    <n v="107"/>
    <n v="111936400"/>
    <s v="Twins "/>
    <s v="English"/>
    <x v="8"/>
    <n v="15000000"/>
    <x v="4"/>
    <n v="6"/>
  </r>
  <r>
    <n v="154"/>
    <n v="94175854"/>
    <s v="The Color Purple "/>
    <s v="English"/>
    <x v="8"/>
    <n v="15000000"/>
    <x v="33"/>
    <n v="7.8"/>
  </r>
  <r>
    <n v="94"/>
    <n v="64001297"/>
    <s v="Diary of a Wimpy Kid "/>
    <s v="English"/>
    <x v="8"/>
    <n v="15000000"/>
    <x v="11"/>
    <n v="6.2"/>
  </r>
  <r>
    <n v="98"/>
    <n v="61400000"/>
    <s v="National Lampoon's Vacation "/>
    <s v="English"/>
    <x v="8"/>
    <n v="15000000"/>
    <x v="35"/>
    <n v="7.4"/>
  </r>
  <r>
    <n v="102"/>
    <n v="101978840"/>
    <s v="Bad Grandpa "/>
    <s v="English"/>
    <x v="8"/>
    <n v="15000000"/>
    <x v="17"/>
    <n v="6.6"/>
  </r>
  <r>
    <n v="92"/>
    <n v="73326666"/>
    <s v="Beetlejuice "/>
    <s v="English"/>
    <x v="8"/>
    <n v="15000000"/>
    <x v="4"/>
    <n v="7.5"/>
  </r>
  <r>
    <n v="113"/>
    <n v="55184721"/>
    <s v="Why Did I Get Married? "/>
    <s v="English"/>
    <x v="8"/>
    <n v="15000000"/>
    <x v="9"/>
    <n v="5.6"/>
  </r>
  <r>
    <n v="115"/>
    <n v="50003300"/>
    <s v="Little Women "/>
    <s v="English"/>
    <x v="8"/>
    <n v="15000000"/>
    <x v="22"/>
    <n v="7.3"/>
  </r>
  <r>
    <n v="87"/>
    <n v="47860214"/>
    <s v="When a Stranger Calls "/>
    <s v="English"/>
    <x v="8"/>
    <n v="15000000"/>
    <x v="0"/>
    <n v="5"/>
  </r>
  <r>
    <n v="88"/>
    <n v="47811275"/>
    <s v="Big Fat Liar "/>
    <s v="English"/>
    <x v="8"/>
    <n v="15000000"/>
    <x v="20"/>
    <n v="5.4"/>
  </r>
  <r>
    <n v="97"/>
    <n v="43022524"/>
    <s v="Wag the Dog "/>
    <s v="English"/>
    <x v="8"/>
    <n v="15000000"/>
    <x v="2"/>
    <n v="7.1"/>
  </r>
  <r>
    <n v="112"/>
    <n v="42919096"/>
    <s v="Snitch "/>
    <s v="English"/>
    <x v="8"/>
    <n v="15000000"/>
    <x v="17"/>
    <n v="6.5"/>
  </r>
  <r>
    <n v="98"/>
    <n v="42592530"/>
    <s v="Krampus "/>
    <s v="English"/>
    <x v="8"/>
    <n v="15000000"/>
    <x v="12"/>
    <n v="6.2"/>
  </r>
  <r>
    <n v="104"/>
    <n v="40064955"/>
    <s v="The Faculty "/>
    <s v="English"/>
    <x v="8"/>
    <n v="15000000"/>
    <x v="6"/>
    <n v="6.4"/>
  </r>
  <r>
    <n v="106"/>
    <n v="35007180"/>
    <s v="The Skulls "/>
    <s v="English"/>
    <x v="8"/>
    <n v="15000000"/>
    <x v="21"/>
    <n v="5.6"/>
  </r>
  <r>
    <n v="123"/>
    <n v="35887263"/>
    <s v="The Theory of Everything "/>
    <s v="English"/>
    <x v="9"/>
    <n v="15000000"/>
    <x v="16"/>
    <n v="7.7"/>
  </r>
  <r>
    <n v="120"/>
    <n v="33771174"/>
    <s v="Where the Heart Is "/>
    <s v="English"/>
    <x v="8"/>
    <n v="15000000"/>
    <x v="21"/>
    <n v="6.8"/>
  </r>
  <r>
    <n v="227"/>
    <n v="6000000"/>
    <s v="Lawrence of Arabia "/>
    <s v="English"/>
    <x v="9"/>
    <n v="15000000"/>
    <x v="44"/>
    <n v="8.4"/>
  </r>
  <r>
    <n v="119"/>
    <n v="33386128"/>
    <s v="Halloween II "/>
    <s v="English"/>
    <x v="8"/>
    <n v="15000000"/>
    <x v="13"/>
    <n v="4.9000000000000004"/>
  </r>
  <r>
    <n v="115"/>
    <n v="37877959"/>
    <s v="Wild "/>
    <s v="English"/>
    <x v="8"/>
    <n v="15000000"/>
    <x v="16"/>
    <n v="7.1"/>
  </r>
  <r>
    <n v="114"/>
    <n v="32721635"/>
    <s v="The Last House on the Left "/>
    <s v="English"/>
    <x v="8"/>
    <n v="15000000"/>
    <x v="13"/>
    <n v="6.6"/>
  </r>
  <r>
    <n v="90"/>
    <n v="31585300"/>
    <s v="The Wedding Date "/>
    <s v="English"/>
    <x v="8"/>
    <n v="15000000"/>
    <x v="1"/>
    <n v="6.1"/>
  </r>
  <r>
    <n v="94"/>
    <n v="30259652"/>
    <s v="Halloween: Resurrection "/>
    <s v="English"/>
    <x v="8"/>
    <n v="15000000"/>
    <x v="20"/>
    <n v="4.0999999999999996"/>
  </r>
  <r>
    <n v="126"/>
    <n v="30226144"/>
    <s v="The Great Debaters "/>
    <s v="English"/>
    <x v="8"/>
    <n v="15000000"/>
    <x v="9"/>
    <n v="7.6"/>
  </r>
  <r>
    <n v="100"/>
    <n v="35054909"/>
    <s v="Drive "/>
    <s v="English"/>
    <x v="8"/>
    <n v="15000000"/>
    <x v="15"/>
    <n v="7.8"/>
  </r>
  <r>
    <n v="89"/>
    <n v="29302097"/>
    <s v="Confessions of a Teenage Drama Queen "/>
    <s v="English"/>
    <x v="12"/>
    <n v="15000000"/>
    <x v="3"/>
    <n v="4.5999999999999996"/>
  </r>
  <r>
    <n v="111"/>
    <n v="29106737"/>
    <s v="The Object of My Affection "/>
    <s v="English"/>
    <x v="8"/>
    <n v="15000000"/>
    <x v="6"/>
    <n v="6"/>
  </r>
  <r>
    <n v="100"/>
    <n v="28637507"/>
    <s v="28 Weeks Later "/>
    <s v="English"/>
    <x v="9"/>
    <n v="15000000"/>
    <x v="9"/>
    <n v="7"/>
  </r>
  <r>
    <n v="115"/>
    <n v="30127963"/>
    <s v="When the Game Stands Tall "/>
    <s v="English"/>
    <x v="8"/>
    <n v="15000000"/>
    <x v="16"/>
    <n v="6.7"/>
  </r>
  <r>
    <n v="124"/>
    <n v="27441122"/>
    <s v="Love &amp; Basketball "/>
    <s v="English"/>
    <x v="8"/>
    <n v="15000000"/>
    <x v="21"/>
    <n v="7.2"/>
  </r>
  <r>
    <n v="107"/>
    <n v="28014536"/>
    <s v="Grosse Pointe Blank "/>
    <s v="English"/>
    <x v="8"/>
    <n v="15000000"/>
    <x v="2"/>
    <n v="7.4"/>
  </r>
  <r>
    <n v="99"/>
    <n v="33860010"/>
    <s v="All About Steve "/>
    <s v="English"/>
    <x v="8"/>
    <n v="15000000"/>
    <x v="13"/>
    <n v="4.8"/>
  </r>
  <r>
    <n v="90"/>
    <n v="26421314"/>
    <s v="Book of Shadows: Blair Witch 2 "/>
    <s v="English"/>
    <x v="8"/>
    <n v="15000000"/>
    <x v="21"/>
    <n v="4"/>
  </r>
  <r>
    <n v="101"/>
    <n v="24881000"/>
    <s v="The Craft "/>
    <s v="English"/>
    <x v="8"/>
    <n v="15000000"/>
    <x v="24"/>
    <n v="6.2"/>
  </r>
  <r>
    <n v="119"/>
    <n v="23089926"/>
    <s v="Match Point "/>
    <s v="English"/>
    <x v="9"/>
    <n v="15000000"/>
    <x v="1"/>
    <n v="7.7"/>
  </r>
  <r>
    <n v="103"/>
    <n v="26161406"/>
    <s v="Ramona and Beezus "/>
    <s v="English"/>
    <x v="8"/>
    <n v="15000000"/>
    <x v="11"/>
    <n v="6.7"/>
  </r>
  <r>
    <n v="155"/>
    <n v="26384919"/>
    <s v="Boogie Nights "/>
    <s v="English"/>
    <x v="8"/>
    <n v="15000000"/>
    <x v="2"/>
    <n v="7.9"/>
  </r>
  <r>
    <n v="94"/>
    <n v="22189039"/>
    <s v="Nowhere to Run "/>
    <s v="English"/>
    <x v="8"/>
    <n v="15000000"/>
    <x v="27"/>
    <n v="5.5"/>
  </r>
  <r>
    <n v="95"/>
    <n v="20998709"/>
    <s v="Flicka "/>
    <s v="English"/>
    <x v="8"/>
    <n v="15000000"/>
    <x v="0"/>
    <n v="6.2"/>
  </r>
  <r>
    <n v="89"/>
    <n v="20801344"/>
    <s v="The Hills Have Eyes II "/>
    <s v="English"/>
    <x v="8"/>
    <n v="15000000"/>
    <x v="9"/>
    <n v="5.0999999999999996"/>
  </r>
  <r>
    <n v="90"/>
    <n v="19158074"/>
    <s v="Tuck Everlasting "/>
    <s v="English"/>
    <x v="8"/>
    <n v="15000000"/>
    <x v="20"/>
    <n v="6.7"/>
  </r>
  <r>
    <n v="100"/>
    <n v="20566327"/>
    <s v="Keanu "/>
    <s v="English"/>
    <x v="8"/>
    <n v="15000000"/>
    <x v="14"/>
    <n v="6.4"/>
  </r>
  <r>
    <n v="84"/>
    <n v="17411331"/>
    <s v="Disturbing Behavior "/>
    <s v="English"/>
    <x v="13"/>
    <n v="15000000"/>
    <x v="6"/>
    <n v="5.5"/>
  </r>
  <r>
    <n v="140"/>
    <n v="21383298"/>
    <s v="The Place Beyond the Pines "/>
    <s v="English"/>
    <x v="8"/>
    <n v="15000000"/>
    <x v="10"/>
    <n v="7.3"/>
  </r>
  <r>
    <n v="108"/>
    <n v="24984868"/>
    <s v="The November Man "/>
    <s v="English"/>
    <x v="8"/>
    <n v="15000000"/>
    <x v="16"/>
    <n v="6.3"/>
  </r>
  <r>
    <n v="109"/>
    <n v="16459004"/>
    <s v="Eye of the Beholder "/>
    <s v="English"/>
    <x v="11"/>
    <n v="15000000"/>
    <x v="5"/>
    <n v="4.9000000000000004"/>
  </r>
  <r>
    <n v="131"/>
    <n v="15700000"/>
    <s v="The Hurt Locker "/>
    <s v="English"/>
    <x v="8"/>
    <n v="15000000"/>
    <x v="7"/>
    <n v="7.6"/>
  </r>
  <r>
    <n v="114"/>
    <n v="15100000"/>
    <s v="Firestarter "/>
    <s v="English"/>
    <x v="8"/>
    <n v="15000000"/>
    <x v="29"/>
    <n v="6"/>
  </r>
  <r>
    <n v="97"/>
    <n v="14938570"/>
    <s v="Killing Them Softly "/>
    <s v="English"/>
    <x v="8"/>
    <n v="15000000"/>
    <x v="10"/>
    <n v="6.2"/>
  </r>
  <r>
    <n v="122"/>
    <n v="17237244"/>
    <s v="A Most Wanted Man "/>
    <s v="English"/>
    <x v="9"/>
    <n v="15000000"/>
    <x v="16"/>
    <n v="6.8"/>
  </r>
  <r>
    <n v="87"/>
    <n v="14249005"/>
    <s v="Freddy Got Fingered "/>
    <s v="English"/>
    <x v="8"/>
    <n v="15000000"/>
    <x v="8"/>
    <n v="4.5"/>
  </r>
  <r>
    <n v="85"/>
    <n v="12701880"/>
    <s v="The Pirates Who Don't Do Anything: A VeggieTales Movie "/>
    <s v="English"/>
    <x v="8"/>
    <n v="15000000"/>
    <x v="7"/>
    <n v="5.7"/>
  </r>
  <r>
    <n v="101"/>
    <n v="12801190"/>
    <s v="Highlander: Endgame "/>
    <s v="English"/>
    <x v="8"/>
    <n v="15000000"/>
    <x v="21"/>
    <n v="4.5999999999999996"/>
  </r>
  <r>
    <n v="121"/>
    <n v="12549485"/>
    <s v="Idlewild "/>
    <s v="English"/>
    <x v="8"/>
    <n v="15000000"/>
    <x v="0"/>
    <n v="6.2"/>
  </r>
  <r>
    <n v="107"/>
    <n v="13766014"/>
    <s v="One Day "/>
    <s v="English"/>
    <x v="8"/>
    <n v="15000000"/>
    <x v="15"/>
    <n v="7"/>
  </r>
  <r>
    <n v="111"/>
    <n v="13034417"/>
    <s v="Whip It "/>
    <s v="English"/>
    <x v="8"/>
    <n v="15000000"/>
    <x v="13"/>
    <n v="6.9"/>
  </r>
  <r>
    <n v="97"/>
    <n v="12212417"/>
    <s v="Confidence "/>
    <s v="English"/>
    <x v="8"/>
    <n v="15000000"/>
    <x v="18"/>
    <n v="6.7"/>
  </r>
  <r>
    <n v="97"/>
    <n v="11614236"/>
    <s v="The Muse "/>
    <s v="English"/>
    <x v="8"/>
    <n v="15000000"/>
    <x v="5"/>
    <n v="5.6"/>
  </r>
  <r>
    <n v="124"/>
    <n v="10763469"/>
    <s v="New York Stories "/>
    <s v="English"/>
    <x v="8"/>
    <n v="15000000"/>
    <x v="28"/>
    <n v="6.4"/>
  </r>
  <r>
    <n v="76"/>
    <n v="11144518"/>
    <s v="Barney's Great Adventure "/>
    <s v="English"/>
    <x v="11"/>
    <n v="15000000"/>
    <x v="6"/>
    <n v="2.8"/>
  </r>
  <r>
    <n v="107"/>
    <n v="15608545"/>
    <s v="The Man with the Iron Fists "/>
    <s v="English"/>
    <x v="8"/>
    <n v="15000000"/>
    <x v="10"/>
    <n v="5.4"/>
  </r>
  <r>
    <n v="91"/>
    <n v="10443316"/>
    <s v="Home Fries "/>
    <s v="English"/>
    <x v="8"/>
    <n v="15000000"/>
    <x v="6"/>
    <n v="5"/>
  </r>
  <r>
    <n v="96"/>
    <n v="10494147"/>
    <s v="Here on Earth "/>
    <s v="English"/>
    <x v="8"/>
    <n v="15000000"/>
    <x v="21"/>
    <n v="5.0999999999999996"/>
  </r>
  <r>
    <n v="142"/>
    <n v="9929000"/>
    <s v="Brazil "/>
    <s v="English"/>
    <x v="9"/>
    <n v="15000000"/>
    <x v="33"/>
    <n v="8"/>
  </r>
  <r>
    <n v="103"/>
    <n v="10411980"/>
    <s v="Raise Your Voice "/>
    <s v="English"/>
    <x v="8"/>
    <n v="15000000"/>
    <x v="3"/>
    <n v="5.9"/>
  </r>
  <r>
    <n v="117"/>
    <n v="17439163"/>
    <s v="The Big Lebowski "/>
    <s v="English"/>
    <x v="8"/>
    <n v="15000000"/>
    <x v="6"/>
    <n v="8.1999999999999993"/>
  </r>
  <r>
    <n v="116"/>
    <n v="9396487"/>
    <s v="Black Snake Moan "/>
    <s v="English"/>
    <x v="8"/>
    <n v="15000000"/>
    <x v="0"/>
    <n v="7"/>
  </r>
  <r>
    <n v="118"/>
    <n v="9059588"/>
    <s v="Dark Blue "/>
    <s v="English"/>
    <x v="8"/>
    <n v="15000000"/>
    <x v="20"/>
    <n v="6.6"/>
  </r>
  <r>
    <n v="94"/>
    <n v="8735529"/>
    <s v="Whatever It Takes "/>
    <s v="English"/>
    <x v="8"/>
    <n v="15000000"/>
    <x v="21"/>
    <n v="5.5"/>
  </r>
  <r>
    <n v="97"/>
    <n v="8378141"/>
    <s v="The Importance of Being Earnest "/>
    <s v="English"/>
    <x v="9"/>
    <n v="15000000"/>
    <x v="20"/>
    <n v="6.9"/>
  </r>
  <r>
    <n v="91"/>
    <n v="8080116"/>
    <s v="Hoot "/>
    <s v="English"/>
    <x v="8"/>
    <n v="15000000"/>
    <x v="0"/>
    <n v="5.6"/>
  </r>
  <r>
    <n v="107"/>
    <n v="7757130"/>
    <s v="In Bruges "/>
    <s v="English"/>
    <x v="9"/>
    <n v="15000000"/>
    <x v="7"/>
    <n v="8"/>
  </r>
  <r>
    <n v="95"/>
    <n v="9123834"/>
    <s v="Peeples "/>
    <s v="English"/>
    <x v="8"/>
    <n v="15000000"/>
    <x v="17"/>
    <n v="5.3"/>
  </r>
  <r>
    <n v="102"/>
    <n v="6409206"/>
    <s v="The Rocker "/>
    <s v="English"/>
    <x v="8"/>
    <n v="15000000"/>
    <x v="7"/>
    <n v="6.2"/>
  </r>
  <r>
    <n v="88"/>
    <n v="6373693"/>
    <s v="Post Grad "/>
    <s v="English"/>
    <x v="8"/>
    <n v="15000000"/>
    <x v="13"/>
    <n v="5.3"/>
  </r>
  <r>
    <n v="106"/>
    <n v="7556708"/>
    <s v="Promised Land "/>
    <s v="English"/>
    <x v="8"/>
    <n v="15000000"/>
    <x v="10"/>
    <n v="6.6"/>
  </r>
  <r>
    <n v="92"/>
    <n v="5306447"/>
    <s v="Whatever Works "/>
    <s v="English"/>
    <x v="8"/>
    <n v="15000000"/>
    <x v="13"/>
    <n v="7.2"/>
  </r>
  <r>
    <n v="105"/>
    <n v="5217498"/>
    <s v="The In Crowd "/>
    <s v="English"/>
    <x v="8"/>
    <n v="15000000"/>
    <x v="21"/>
    <n v="4.5999999999999996"/>
  </r>
  <r>
    <n v="107"/>
    <n v="5023275"/>
    <s v="Three Burials "/>
    <s v="English"/>
    <x v="7"/>
    <n v="15000000"/>
    <x v="1"/>
    <n v="7.5"/>
  </r>
  <r>
    <n v="120"/>
    <n v="4956401"/>
    <s v="Jakob the Liar "/>
    <s v="English"/>
    <x v="7"/>
    <n v="15000000"/>
    <x v="5"/>
    <n v="6.5"/>
  </r>
  <r>
    <n v="103"/>
    <n v="4235837"/>
    <s v="Kiss Kiss Bang Bang "/>
    <s v="English"/>
    <x v="8"/>
    <n v="15000000"/>
    <x v="1"/>
    <n v="7.6"/>
  </r>
  <r>
    <n v="147"/>
    <n v="7219578"/>
    <s v="Mulholland Drive "/>
    <s v="English"/>
    <x v="7"/>
    <n v="15000000"/>
    <x v="8"/>
    <n v="8"/>
  </r>
  <r>
    <n v="103"/>
    <n v="2412045"/>
    <s v="Never Let Me Go "/>
    <s v="English"/>
    <x v="9"/>
    <n v="15000000"/>
    <x v="11"/>
    <n v="7.2"/>
  </r>
  <r>
    <n v="111"/>
    <n v="2203641"/>
    <s v="Transsiberian "/>
    <s v="English"/>
    <x v="4"/>
    <n v="15000000"/>
    <x v="7"/>
    <n v="6.7"/>
  </r>
  <r>
    <n v="98"/>
    <n v="1953732"/>
    <s v="The Clan of the Cave Bear "/>
    <s v="English"/>
    <x v="8"/>
    <n v="15000000"/>
    <x v="34"/>
    <n v="5.3"/>
  </r>
  <r>
    <n v="111"/>
    <n v="1954202"/>
    <s v="Crazy in Alabama "/>
    <s v="English"/>
    <x v="8"/>
    <n v="15000000"/>
    <x v="5"/>
    <n v="6.3"/>
  </r>
  <r>
    <n v="111"/>
    <n v="1294640"/>
    <s v="Funny Games "/>
    <s v="English"/>
    <x v="8"/>
    <n v="15000000"/>
    <x v="9"/>
    <n v="6.5"/>
  </r>
  <r>
    <n v="105"/>
    <n v="613556"/>
    <s v="The Assassin "/>
    <s v="Mandarin"/>
    <x v="31"/>
    <n v="15000000"/>
    <x v="12"/>
    <n v="6.4"/>
  </r>
  <r>
    <n v="98"/>
    <n v="353743"/>
    <s v="Buffalo Soldiers "/>
    <s v="English"/>
    <x v="9"/>
    <n v="15000000"/>
    <x v="8"/>
    <n v="6.9"/>
  </r>
  <r>
    <n v="103"/>
    <n v="73548"/>
    <s v="The Midnight Meat Train "/>
    <s v="English"/>
    <x v="8"/>
    <n v="15000000"/>
    <x v="7"/>
    <n v="6.1"/>
  </r>
  <r>
    <n v="90"/>
    <n v="28870"/>
    <s v="The Son of No One "/>
    <s v="English"/>
    <x v="8"/>
    <n v="15000000"/>
    <x v="15"/>
    <n v="5.0999999999999996"/>
  </r>
  <r>
    <n v="93"/>
    <n v="20380"/>
    <s v="The Good Night "/>
    <s v="English"/>
    <x v="8"/>
    <n v="15000000"/>
    <x v="9"/>
    <n v="5.9"/>
  </r>
  <r>
    <n v="120"/>
    <n v="141319195"/>
    <s v="Slumdog Millionaire "/>
    <s v="English"/>
    <x v="9"/>
    <n v="15000000"/>
    <x v="7"/>
    <n v="8"/>
  </r>
  <r>
    <n v="98"/>
    <n v="68856263"/>
    <s v="Cool Runnings "/>
    <s v="English"/>
    <x v="8"/>
    <n v="15000000"/>
    <x v="27"/>
    <n v="6.9"/>
  </r>
  <r>
    <n v="101"/>
    <n v="51527787"/>
    <s v="My Bloody Valentine "/>
    <s v="English"/>
    <x v="8"/>
    <n v="15000000"/>
    <x v="13"/>
    <n v="5.5"/>
  </r>
  <r>
    <n v="88"/>
    <n v="47811275"/>
    <s v="Big Fat Liar "/>
    <s v="English"/>
    <x v="8"/>
    <n v="15000000"/>
    <x v="20"/>
    <n v="5.4"/>
  </r>
  <r>
    <n v="115"/>
    <n v="183088"/>
    <s v="The Lucky Ones "/>
    <s v="English"/>
    <x v="8"/>
    <n v="15000000"/>
    <x v="7"/>
    <n v="7"/>
  </r>
  <r>
    <n v="110"/>
    <n v="14989761"/>
    <s v="Seven Psychopaths "/>
    <s v="English"/>
    <x v="9"/>
    <n v="15000000"/>
    <x v="10"/>
    <n v="7.2"/>
  </r>
  <r>
    <n v="108"/>
    <n v="25440971"/>
    <s v="Ex Machina "/>
    <s v="English"/>
    <x v="9"/>
    <n v="15000000"/>
    <x v="12"/>
    <n v="7.7"/>
  </r>
  <r>
    <n v="90"/>
    <n v="4360548"/>
    <s v="Solitary Man "/>
    <s v="English"/>
    <x v="8"/>
    <n v="15000000"/>
    <x v="13"/>
    <n v="6.4"/>
  </r>
  <r>
    <n v="108"/>
    <n v="1039869"/>
    <s v="Casino Jack "/>
    <s v="English"/>
    <x v="11"/>
    <n v="15000000"/>
    <x v="11"/>
    <n v="6.2"/>
  </r>
  <r>
    <n v="118"/>
    <n v="399879"/>
    <s v="Jindabyne "/>
    <s v="English"/>
    <x v="13"/>
    <n v="15000000"/>
    <x v="0"/>
    <n v="6.4"/>
  </r>
  <r>
    <n v="125"/>
    <n v="927107"/>
    <s v="Aimee &amp; Jaguar "/>
    <s v="German"/>
    <x v="12"/>
    <n v="15000000"/>
    <x v="5"/>
    <n v="7.3"/>
  </r>
  <r>
    <n v="104"/>
    <n v="71897215"/>
    <s v="10 Cloverfield Lane "/>
    <s v="English"/>
    <x v="8"/>
    <n v="15000000"/>
    <x v="14"/>
    <n v="7.3"/>
  </r>
  <r>
    <n v="108"/>
    <n v="13060843"/>
    <s v="25th Hour "/>
    <s v="English"/>
    <x v="8"/>
    <n v="15000000"/>
    <x v="20"/>
    <n v="7.7"/>
  </r>
  <r>
    <n v="119"/>
    <n v="33386128"/>
    <s v="Halloween II "/>
    <s v="English"/>
    <x v="8"/>
    <n v="15000000"/>
    <x v="13"/>
    <n v="4.9000000000000004"/>
  </r>
  <r>
    <n v="112"/>
    <n v="42919096"/>
    <s v="Snitch "/>
    <s v="English"/>
    <x v="8"/>
    <n v="15000000"/>
    <x v="17"/>
    <n v="6.5"/>
  </r>
  <r>
    <n v="114"/>
    <n v="32721635"/>
    <s v="The Last House on the Left "/>
    <s v="English"/>
    <x v="8"/>
    <n v="15000000"/>
    <x v="13"/>
    <n v="6.6"/>
  </r>
  <r>
    <n v="115"/>
    <n v="66009973"/>
    <s v="Magic Mike XXL "/>
    <s v="English"/>
    <x v="8"/>
    <n v="14800000"/>
    <x v="12"/>
    <n v="5.7"/>
  </r>
  <r>
    <n v="101"/>
    <n v="70906973"/>
    <s v="Groundhog Day "/>
    <s v="English"/>
    <x v="8"/>
    <n v="14600000"/>
    <x v="27"/>
    <n v="8.1"/>
  </r>
  <r>
    <n v="120"/>
    <n v="46338728"/>
    <s v="Romeo + Juliet "/>
    <s v="English"/>
    <x v="8"/>
    <n v="14500000"/>
    <x v="24"/>
    <n v="6.8"/>
  </r>
  <r>
    <n v="131"/>
    <n v="101157447"/>
    <s v="Unforgiven "/>
    <s v="English"/>
    <x v="8"/>
    <n v="14400000"/>
    <x v="26"/>
    <n v="8.3000000000000007"/>
  </r>
  <r>
    <n v="139"/>
    <n v="74205"/>
    <s v="Manderlay "/>
    <s v="English"/>
    <x v="18"/>
    <n v="14200000"/>
    <x v="1"/>
    <n v="7.4"/>
  </r>
  <r>
    <n v="92"/>
    <n v="49122319"/>
    <s v="The Possession "/>
    <s v="English"/>
    <x v="8"/>
    <n v="14000000"/>
    <x v="10"/>
    <n v="5.9"/>
  </r>
  <r>
    <n v="119"/>
    <n v="34700000"/>
    <s v="Dangerous Liaisons "/>
    <s v="English"/>
    <x v="8"/>
    <n v="14000000"/>
    <x v="4"/>
    <n v="7.7"/>
  </r>
  <r>
    <n v="105"/>
    <n v="63260"/>
    <s v="Renaissance "/>
    <s v="English"/>
    <x v="7"/>
    <n v="14000000"/>
    <x v="0"/>
    <n v="6.7"/>
  </r>
  <r>
    <n v="105"/>
    <n v="234760500"/>
    <s v="Beverly Hills Cop "/>
    <s v="English"/>
    <x v="8"/>
    <n v="14000000"/>
    <x v="29"/>
    <n v="7.3"/>
  </r>
  <r>
    <n v="114"/>
    <n v="91121452"/>
    <s v="The Imitation Game "/>
    <s v="English"/>
    <x v="9"/>
    <n v="14000000"/>
    <x v="16"/>
    <n v="8.1"/>
  </r>
  <r>
    <n v="106"/>
    <n v="32645546"/>
    <s v="Because of Winn-Dixie "/>
    <s v="English"/>
    <x v="8"/>
    <n v="14000000"/>
    <x v="1"/>
    <n v="6.4"/>
  </r>
  <r>
    <n v="97"/>
    <n v="21468807"/>
    <s v="Urban Legends: Final Cut "/>
    <s v="English"/>
    <x v="8"/>
    <n v="14000000"/>
    <x v="21"/>
    <n v="4.0999999999999996"/>
  </r>
  <r>
    <n v="119"/>
    <n v="156645693"/>
    <s v="Fatal Attraction "/>
    <s v="English"/>
    <x v="8"/>
    <n v="14000000"/>
    <x v="32"/>
    <n v="6.9"/>
  </r>
  <r>
    <n v="125"/>
    <n v="178406268"/>
    <s v="Pretty Woman "/>
    <s v="English"/>
    <x v="8"/>
    <n v="14000000"/>
    <x v="25"/>
    <n v="6.9"/>
  </r>
  <r>
    <n v="145"/>
    <n v="70001698"/>
    <s v="Born on the Fourth of July "/>
    <s v="English"/>
    <x v="8"/>
    <n v="14000000"/>
    <x v="28"/>
    <n v="7.2"/>
  </r>
  <r>
    <n v="92"/>
    <n v="49122319"/>
    <s v="The Possession "/>
    <s v="English"/>
    <x v="8"/>
    <n v="14000000"/>
    <x v="10"/>
    <n v="5.9"/>
  </r>
  <r>
    <n v="109"/>
    <n v="61356221"/>
    <s v="Stomp the Yard "/>
    <s v="English"/>
    <x v="8"/>
    <n v="14000000"/>
    <x v="9"/>
    <n v="5.2"/>
  </r>
  <r>
    <n v="123"/>
    <n v="46800000"/>
    <s v="The Spy Who Loved Me "/>
    <s v="English"/>
    <x v="9"/>
    <n v="14000000"/>
    <x v="40"/>
    <n v="7.1"/>
  </r>
  <r>
    <n v="99"/>
    <n v="38048637"/>
    <s v="Urban Legend "/>
    <s v="English"/>
    <x v="8"/>
    <n v="14000000"/>
    <x v="6"/>
    <n v="5.5"/>
  </r>
  <r>
    <n v="119"/>
    <n v="34700000"/>
    <s v="Dangerous Liaisons "/>
    <s v="English"/>
    <x v="8"/>
    <n v="14000000"/>
    <x v="4"/>
    <n v="7.7"/>
  </r>
  <r>
    <n v="107"/>
    <n v="34793160"/>
    <s v="White Fang "/>
    <s v="English"/>
    <x v="8"/>
    <n v="14000000"/>
    <x v="23"/>
    <n v="6.7"/>
  </r>
  <r>
    <n v="81"/>
    <n v="30628981"/>
    <s v="Superstar "/>
    <s v="English"/>
    <x v="8"/>
    <n v="14000000"/>
    <x v="5"/>
    <n v="5"/>
  </r>
  <r>
    <n v="82"/>
    <n v="25571351"/>
    <s v="Jonah: A VeggieTales Movie "/>
    <s v="English"/>
    <x v="8"/>
    <n v="14000000"/>
    <x v="20"/>
    <n v="6.6"/>
  </r>
  <r>
    <n v="109"/>
    <n v="27515786"/>
    <s v="Poetic Justice "/>
    <s v="English"/>
    <x v="8"/>
    <n v="14000000"/>
    <x v="27"/>
    <n v="5.9"/>
  </r>
  <r>
    <n v="95"/>
    <n v="25482931"/>
    <s v="All About the Benjamins "/>
    <s v="English"/>
    <x v="8"/>
    <n v="14000000"/>
    <x v="20"/>
    <n v="5.7"/>
  </r>
  <r>
    <n v="91"/>
    <n v="16298046"/>
    <s v="An American Haunting "/>
    <s v="English"/>
    <x v="9"/>
    <n v="14000000"/>
    <x v="1"/>
    <n v="5"/>
  </r>
  <r>
    <n v="90"/>
    <n v="15549702"/>
    <s v="My Boss's Daughter "/>
    <s v="English"/>
    <x v="8"/>
    <n v="14000000"/>
    <x v="18"/>
    <n v="4.5999999999999996"/>
  </r>
  <r>
    <n v="108"/>
    <n v="15483540"/>
    <s v="A Perfect Getaway "/>
    <s v="English"/>
    <x v="8"/>
    <n v="14000000"/>
    <x v="13"/>
    <n v="6.5"/>
  </r>
  <r>
    <n v="103"/>
    <n v="20246959"/>
    <s v="Our Family Wedding "/>
    <s v="English"/>
    <x v="8"/>
    <n v="14000000"/>
    <x v="11"/>
    <n v="4.9000000000000004"/>
  </r>
  <r>
    <n v="96"/>
    <n v="15062898"/>
    <s v="Dead Man on Campus "/>
    <s v="English"/>
    <x v="8"/>
    <n v="14000000"/>
    <x v="6"/>
    <n v="6"/>
  </r>
  <r>
    <n v="115"/>
    <n v="13640000"/>
    <s v="Crooklyn "/>
    <s v="English"/>
    <x v="8"/>
    <n v="14000000"/>
    <x v="22"/>
    <n v="6.9"/>
  </r>
  <r>
    <n v="112"/>
    <n v="11204499"/>
    <s v="Bobby "/>
    <s v="English"/>
    <x v="8"/>
    <n v="14000000"/>
    <x v="0"/>
    <n v="7"/>
  </r>
  <r>
    <n v="86"/>
    <n v="10397365"/>
    <s v="Head Over Heels "/>
    <s v="English"/>
    <x v="8"/>
    <n v="14000000"/>
    <x v="8"/>
    <n v="5.4"/>
  </r>
  <r>
    <n v="86"/>
    <n v="9402410"/>
    <s v="Fun Size "/>
    <s v="English"/>
    <x v="8"/>
    <n v="14000000"/>
    <x v="10"/>
    <n v="5.4"/>
  </r>
  <r>
    <n v="107"/>
    <n v="4741987"/>
    <s v="A Walk on the Moon "/>
    <s v="English"/>
    <x v="8"/>
    <n v="14000000"/>
    <x v="5"/>
    <n v="6.6"/>
  </r>
  <r>
    <n v="98"/>
    <n v="4291965"/>
    <s v="Catch a Fire "/>
    <s v="English"/>
    <x v="7"/>
    <n v="14000000"/>
    <x v="0"/>
    <n v="6.7"/>
  </r>
  <r>
    <n v="84"/>
    <n v="3100650"/>
    <s v="Soul Survivors "/>
    <s v="English"/>
    <x v="8"/>
    <n v="14000000"/>
    <x v="8"/>
    <n v="3.9"/>
  </r>
  <r>
    <n v="139"/>
    <n v="2474000"/>
    <s v="Jefferson in Paris "/>
    <s v="English"/>
    <x v="7"/>
    <n v="14000000"/>
    <x v="19"/>
    <n v="5.7"/>
  </r>
  <r>
    <n v="127"/>
    <n v="1000000"/>
    <s v="Caravans "/>
    <s v="English"/>
    <x v="32"/>
    <n v="14000000"/>
    <x v="30"/>
    <n v="6.5"/>
  </r>
  <r>
    <n v="186"/>
    <n v="46495"/>
    <s v="Margaret "/>
    <s v="English"/>
    <x v="8"/>
    <n v="14000000"/>
    <x v="15"/>
    <n v="6.5"/>
  </r>
  <r>
    <n v="90"/>
    <n v="1752214"/>
    <s v="Flipped "/>
    <s v="English"/>
    <x v="8"/>
    <n v="14000000"/>
    <x v="11"/>
    <n v="7.7"/>
  </r>
  <r>
    <n v="134"/>
    <n v="83025853"/>
    <s v="Brokeback Mountain "/>
    <s v="English"/>
    <x v="8"/>
    <n v="14000000"/>
    <x v="1"/>
    <n v="7.7"/>
  </r>
  <r>
    <n v="99"/>
    <n v="12282677"/>
    <s v="Hot Tub Time Machine 2 "/>
    <s v="English"/>
    <x v="8"/>
    <n v="14000000"/>
    <x v="12"/>
    <n v="5.0999999999999996"/>
  </r>
  <r>
    <n v="135"/>
    <n v="16929123"/>
    <s v="Crazy/Beautiful "/>
    <s v="English"/>
    <x v="8"/>
    <n v="14000000"/>
    <x v="8"/>
    <n v="6.5"/>
  </r>
  <r>
    <n v="293"/>
    <n v="11433134"/>
    <s v="Das Boot "/>
    <s v="German"/>
    <x v="33"/>
    <n v="14000000"/>
    <x v="39"/>
    <n v="8.4"/>
  </r>
  <r>
    <n v="97"/>
    <n v="18535191"/>
    <s v="An Ideal Husband "/>
    <s v="English"/>
    <x v="9"/>
    <n v="14000000"/>
    <x v="5"/>
    <n v="6.9"/>
  </r>
  <r>
    <n v="118"/>
    <n v="800000"/>
    <s v="Sphinx "/>
    <s v="English"/>
    <x v="8"/>
    <n v="14000000"/>
    <x v="39"/>
    <n v="5.2"/>
  </r>
  <r>
    <n v="103"/>
    <n v="75078"/>
    <s v="An Everlasting Piece "/>
    <s v="English"/>
    <x v="8"/>
    <n v="14000000"/>
    <x v="21"/>
    <n v="6.3"/>
  </r>
  <r>
    <n v="106"/>
    <n v="115504"/>
    <s v="The Other End of the Line "/>
    <s v="English"/>
    <x v="9"/>
    <n v="14000000"/>
    <x v="7"/>
    <n v="6.2"/>
  </r>
  <r>
    <n v="119"/>
    <n v="52293982"/>
    <s v="The Color of Money "/>
    <s v="English"/>
    <x v="8"/>
    <n v="13800000"/>
    <x v="34"/>
    <n v="7"/>
  </r>
  <r>
    <n v="110"/>
    <n v="13823741"/>
    <s v="The Duchess "/>
    <s v="English"/>
    <x v="9"/>
    <n v="13500000"/>
    <x v="7"/>
    <n v="6.9"/>
  </r>
  <r>
    <n v="131"/>
    <n v="85433"/>
    <s v="The Best Offer "/>
    <s v="English"/>
    <x v="16"/>
    <n v="13500000"/>
    <x v="17"/>
    <n v="7.8"/>
  </r>
  <r>
    <n v="112"/>
    <n v="37623143"/>
    <s v="Pan's Labyrinth "/>
    <s v="Spanish"/>
    <x v="4"/>
    <n v="13500000"/>
    <x v="0"/>
    <n v="8.1999999999999993"/>
  </r>
  <r>
    <n v="107"/>
    <n v="15854988"/>
    <s v="Far from Heaven "/>
    <s v="English"/>
    <x v="8"/>
    <n v="13500000"/>
    <x v="20"/>
    <n v="7.4"/>
  </r>
  <r>
    <n v="124"/>
    <n v="7060876"/>
    <s v="Quills "/>
    <s v="English"/>
    <x v="9"/>
    <n v="13500000"/>
    <x v="21"/>
    <n v="7.4"/>
  </r>
  <r>
    <n v="178"/>
    <n v="5501940"/>
    <s v="Downfall "/>
    <s v="German"/>
    <x v="12"/>
    <n v="13500000"/>
    <x v="3"/>
    <n v="8.3000000000000007"/>
  </r>
  <r>
    <n v="129"/>
    <n v="186354"/>
    <s v="Stonewall "/>
    <s v="English"/>
    <x v="8"/>
    <n v="13500000"/>
    <x v="12"/>
    <n v="4.5"/>
  </r>
  <r>
    <n v="100"/>
    <n v="163591"/>
    <s v="The Last Godfather "/>
    <s v="English"/>
    <x v="0"/>
    <n v="13400000"/>
    <x v="11"/>
    <n v="3.6"/>
  </r>
  <r>
    <n v="84"/>
    <n v="52543632"/>
    <s v="No Good Deed "/>
    <s v="English"/>
    <x v="8"/>
    <n v="13200000"/>
    <x v="16"/>
    <n v="5.6"/>
  </r>
  <r>
    <n v="98"/>
    <n v="15361537"/>
    <s v="Half Past Dead "/>
    <s v="English"/>
    <x v="12"/>
    <n v="13000000"/>
    <x v="20"/>
    <n v="4.5999999999999996"/>
  </r>
  <r>
    <n v="113"/>
    <n v="51697449"/>
    <s v="I Can Do Bad All by Myself "/>
    <s v="English"/>
    <x v="8"/>
    <n v="13000000"/>
    <x v="13"/>
    <n v="4.0999999999999996"/>
  </r>
  <r>
    <n v="112"/>
    <n v="6615578"/>
    <s v="The Last Station "/>
    <s v="English"/>
    <x v="12"/>
    <n v="13000000"/>
    <x v="13"/>
    <n v="7"/>
  </r>
  <r>
    <n v="161"/>
    <n v="336467"/>
    <s v="Enter the Void "/>
    <s v="English"/>
    <x v="7"/>
    <n v="13000000"/>
    <x v="13"/>
    <n v="7.3"/>
  </r>
  <r>
    <n v="105"/>
    <n v="29959436"/>
    <s v="The Iron Lady "/>
    <s v="English"/>
    <x v="9"/>
    <n v="13000000"/>
    <x v="15"/>
    <n v="6.4"/>
  </r>
  <r>
    <n v="121"/>
    <n v="123922370"/>
    <s v="Good Morning, Vietnam "/>
    <s v="English"/>
    <x v="8"/>
    <n v="13000000"/>
    <x v="32"/>
    <n v="7.3"/>
  </r>
  <r>
    <n v="115"/>
    <n v="73000942"/>
    <s v="Justin Bieber: Never Say Never "/>
    <s v="English"/>
    <x v="8"/>
    <n v="13000000"/>
    <x v="15"/>
    <n v="1.6"/>
  </r>
  <r>
    <n v="108"/>
    <n v="106952327"/>
    <s v="Black Swan "/>
    <s v="English"/>
    <x v="8"/>
    <n v="13000000"/>
    <x v="11"/>
    <n v="8"/>
  </r>
  <r>
    <n v="220"/>
    <n v="57300000"/>
    <s v="The Godfather: Part II "/>
    <s v="English"/>
    <x v="8"/>
    <n v="13000000"/>
    <x v="45"/>
    <n v="9"/>
  </r>
  <r>
    <n v="112"/>
    <n v="91038276"/>
    <s v="Save the Last Dance "/>
    <s v="English"/>
    <x v="8"/>
    <n v="13000000"/>
    <x v="8"/>
    <n v="6.1"/>
  </r>
  <r>
    <n v="109"/>
    <n v="61693523"/>
    <s v="Miracles from Heaven "/>
    <s v="English"/>
    <x v="8"/>
    <n v="13000000"/>
    <x v="14"/>
    <n v="6.8"/>
  </r>
  <r>
    <n v="83"/>
    <n v="46729374"/>
    <s v="Dude, Where's My Car? "/>
    <s v="English"/>
    <x v="8"/>
    <n v="13000000"/>
    <x v="21"/>
    <n v="5.5"/>
  </r>
  <r>
    <n v="107"/>
    <n v="44726644"/>
    <s v="Young Guns "/>
    <s v="English"/>
    <x v="8"/>
    <n v="13000000"/>
    <x v="4"/>
    <n v="6.8"/>
  </r>
  <r>
    <n v="102"/>
    <n v="44134898"/>
    <s v="St. Vincent "/>
    <s v="English"/>
    <x v="8"/>
    <n v="13000000"/>
    <x v="16"/>
    <n v="7.3"/>
  </r>
  <r>
    <n v="92"/>
    <n v="28972187"/>
    <s v="The New Guy "/>
    <s v="English"/>
    <x v="8"/>
    <n v="13000000"/>
    <x v="20"/>
    <n v="5.9"/>
  </r>
  <r>
    <n v="120"/>
    <n v="23947"/>
    <s v="The Butterfly Effect "/>
    <s v="English"/>
    <x v="8"/>
    <n v="13000000"/>
    <x v="3"/>
    <n v="7.7"/>
  </r>
  <r>
    <n v="89"/>
    <n v="60008303"/>
    <s v="Snow Day "/>
    <s v="English"/>
    <x v="8"/>
    <n v="13000000"/>
    <x v="21"/>
    <n v="4.9000000000000004"/>
  </r>
  <r>
    <n v="117"/>
    <n v="49121934"/>
    <s v="This Christmas "/>
    <s v="English"/>
    <x v="8"/>
    <n v="13000000"/>
    <x v="9"/>
    <n v="6.1"/>
  </r>
  <r>
    <n v="91"/>
    <n v="27052167"/>
    <s v="The Big Hit "/>
    <s v="English"/>
    <x v="8"/>
    <n v="13000000"/>
    <x v="6"/>
    <n v="6.1"/>
  </r>
  <r>
    <n v="100"/>
    <n v="26539321"/>
    <s v="Harriet the Spy "/>
    <s v="English"/>
    <x v="8"/>
    <n v="13000000"/>
    <x v="24"/>
    <n v="5.9"/>
  </r>
  <r>
    <n v="72"/>
    <n v="28501605"/>
    <s v="Child's Play 2 "/>
    <s v="English"/>
    <x v="8"/>
    <n v="13000000"/>
    <x v="25"/>
    <n v="5.7"/>
  </r>
  <r>
    <n v="112"/>
    <n v="22858926"/>
    <s v="Being John Malkovich "/>
    <s v="English"/>
    <x v="8"/>
    <n v="13000000"/>
    <x v="5"/>
    <n v="7.8"/>
  </r>
  <r>
    <n v="91"/>
    <n v="38916903"/>
    <s v="Earth to Echo "/>
    <s v="English"/>
    <x v="8"/>
    <n v="13000000"/>
    <x v="16"/>
    <n v="5.8"/>
  </r>
  <r>
    <n v="104"/>
    <n v="10996440"/>
    <s v="The Astronaut Farmer "/>
    <s v="English"/>
    <x v="8"/>
    <n v="13000000"/>
    <x v="0"/>
    <n v="6.3"/>
  </r>
  <r>
    <n v="118"/>
    <n v="14677654"/>
    <s v="Room "/>
    <s v="English"/>
    <x v="23"/>
    <n v="13000000"/>
    <x v="12"/>
    <n v="8.3000000000000007"/>
  </r>
  <r>
    <n v="82"/>
    <n v="9975684"/>
    <s v="Dirty Work "/>
    <s v="English"/>
    <x v="11"/>
    <n v="13000000"/>
    <x v="6"/>
    <n v="6.4"/>
  </r>
  <r>
    <n v="95"/>
    <n v="7881335"/>
    <s v="Serial Mom "/>
    <s v="English"/>
    <x v="8"/>
    <n v="13000000"/>
    <x v="22"/>
    <n v="6.7"/>
  </r>
  <r>
    <n v="94"/>
    <n v="6241697"/>
    <s v="Dick "/>
    <s v="English"/>
    <x v="7"/>
    <n v="13000000"/>
    <x v="5"/>
    <n v="6.1"/>
  </r>
  <r>
    <n v="99"/>
    <n v="5871603"/>
    <s v="Light It Up "/>
    <s v="English"/>
    <x v="8"/>
    <n v="13000000"/>
    <x v="5"/>
    <n v="6"/>
  </r>
  <r>
    <n v="121"/>
    <n v="16574731"/>
    <s v="54 "/>
    <s v="English"/>
    <x v="8"/>
    <n v="13000000"/>
    <x v="6"/>
    <n v="5.8"/>
  </r>
  <r>
    <n v="84"/>
    <n v="5002310"/>
    <s v="Bubble Boy "/>
    <s v="English"/>
    <x v="8"/>
    <n v="13000000"/>
    <x v="8"/>
    <n v="5.6"/>
  </r>
  <r>
    <n v="93"/>
    <n v="4919896"/>
    <s v="Birthday Girl "/>
    <s v="English"/>
    <x v="9"/>
    <n v="13000000"/>
    <x v="8"/>
    <n v="6.1"/>
  </r>
  <r>
    <n v="93"/>
    <n v="25675765"/>
    <s v="21 &amp; Over "/>
    <s v="English"/>
    <x v="8"/>
    <n v="13000000"/>
    <x v="17"/>
    <n v="5.9"/>
  </r>
  <r>
    <n v="120"/>
    <n v="4857376"/>
    <s v="Paris, je t'aime "/>
    <s v="French"/>
    <x v="7"/>
    <n v="13000000"/>
    <x v="0"/>
    <n v="7.3"/>
  </r>
  <r>
    <n v="112"/>
    <n v="3169424"/>
    <s v="Resurrecting the Champ "/>
    <s v="English"/>
    <x v="8"/>
    <n v="13000000"/>
    <x v="9"/>
    <n v="6.8"/>
  </r>
  <r>
    <n v="107"/>
    <n v="18004225"/>
    <s v="Admission "/>
    <s v="English"/>
    <x v="8"/>
    <n v="13000000"/>
    <x v="17"/>
    <n v="5.7"/>
  </r>
  <r>
    <n v="91"/>
    <n v="2104000"/>
    <s v="Faithful "/>
    <s v="English"/>
    <x v="8"/>
    <n v="13000000"/>
    <x v="24"/>
    <n v="5.9"/>
  </r>
  <r>
    <n v="125"/>
    <n v="1172769"/>
    <s v="Find Me Guilty "/>
    <s v="English"/>
    <x v="12"/>
    <n v="13000000"/>
    <x v="0"/>
    <n v="7.1"/>
  </r>
  <r>
    <n v="102"/>
    <n v="17738570"/>
    <s v="The Perks of Being a Wallflower "/>
    <s v="English"/>
    <x v="8"/>
    <n v="13000000"/>
    <x v="10"/>
    <n v="8"/>
  </r>
  <r>
    <n v="118"/>
    <n v="1150403"/>
    <s v="Infamous "/>
    <s v="English"/>
    <x v="8"/>
    <n v="13000000"/>
    <x v="0"/>
    <n v="7.1"/>
  </r>
  <r>
    <n v="88"/>
    <n v="1024175"/>
    <s v="Attack the Block "/>
    <s v="English"/>
    <x v="9"/>
    <n v="13000000"/>
    <x v="15"/>
    <n v="6.6"/>
  </r>
  <r>
    <n v="127"/>
    <n v="301305"/>
    <s v="In the Land of Blood and Honey "/>
    <s v="Bosnian"/>
    <x v="8"/>
    <n v="13000000"/>
    <x v="15"/>
    <n v="4.3"/>
  </r>
  <r>
    <n v="94"/>
    <n v="51872378"/>
    <s v="The Call "/>
    <s v="English"/>
    <x v="8"/>
    <n v="13000000"/>
    <x v="17"/>
    <n v="6.7"/>
  </r>
  <r>
    <n v="90"/>
    <n v="28399192"/>
    <s v="The Crocodile Hunter: Collision Course "/>
    <s v="English"/>
    <x v="13"/>
    <n v="13000000"/>
    <x v="20"/>
    <n v="5.4"/>
  </r>
  <r>
    <n v="102"/>
    <n v="2035566"/>
    <s v="I Love You Phillip Morris "/>
    <s v="English"/>
    <x v="7"/>
    <n v="13000000"/>
    <x v="13"/>
    <n v="6.6"/>
  </r>
  <r>
    <n v="121"/>
    <n v="12281500"/>
    <s v="True Romance "/>
    <s v="English"/>
    <x v="8"/>
    <n v="13000000"/>
    <x v="27"/>
    <n v="8"/>
  </r>
  <r>
    <n v="109"/>
    <n v="214966"/>
    <s v="The Killer Inside Me "/>
    <s v="English"/>
    <x v="8"/>
    <n v="13000000"/>
    <x v="11"/>
    <n v="6.1"/>
  </r>
  <r>
    <n v="92"/>
    <n v="21088568"/>
    <s v="Tales from the Crypt: Demon Knight "/>
    <s v="English"/>
    <x v="8"/>
    <n v="13000000"/>
    <x v="19"/>
    <n v="6.7"/>
  </r>
  <r>
    <n v="81"/>
    <n v="46563158"/>
    <s v="Phone Booth "/>
    <s v="English"/>
    <x v="8"/>
    <n v="13000000"/>
    <x v="20"/>
    <n v="7.1"/>
  </r>
  <r>
    <n v="88"/>
    <n v="11501093"/>
    <s v="Army of Darkness "/>
    <s v="English"/>
    <x v="8"/>
    <n v="13000000"/>
    <x v="26"/>
    <n v="7.6"/>
  </r>
  <r>
    <n v="125"/>
    <n v="21000000"/>
    <s v="The Man with the Golden Gun "/>
    <s v="English"/>
    <x v="9"/>
    <n v="13000000"/>
    <x v="45"/>
    <n v="6.8"/>
  </r>
  <r>
    <n v="94"/>
    <m/>
    <s v="Super Hybrid "/>
    <s v="English"/>
    <x v="8"/>
    <n v="13000000"/>
    <x v="11"/>
    <n v="3.9"/>
  </r>
  <r>
    <n v="140"/>
    <n v="4157491"/>
    <s v="Dancer in the Dark "/>
    <s v="English"/>
    <x v="18"/>
    <n v="12800000"/>
    <x v="21"/>
    <n v="8"/>
  </r>
  <r>
    <n v="148"/>
    <n v="1110186"/>
    <s v="Tae Guk Gi: The Brotherhood of War "/>
    <s v="Korean"/>
    <x v="0"/>
    <n v="12800000"/>
    <x v="3"/>
    <n v="8.1"/>
  </r>
  <r>
    <n v="84"/>
    <n v="15417771"/>
    <s v="Wrong Turn "/>
    <s v="English"/>
    <x v="8"/>
    <n v="12600000"/>
    <x v="18"/>
    <n v="6.1"/>
  </r>
  <r>
    <n v="101"/>
    <n v="40962534"/>
    <s v="The Ides of March "/>
    <s v="English"/>
    <x v="8"/>
    <n v="12500000"/>
    <x v="15"/>
    <n v="7.1"/>
  </r>
  <r>
    <n v="100"/>
    <n v="48637684"/>
    <s v="About Last Night "/>
    <s v="English"/>
    <x v="8"/>
    <n v="12500000"/>
    <x v="16"/>
    <n v="6.1"/>
  </r>
  <r>
    <n v="117"/>
    <n v="21078145"/>
    <s v="Antwone Fisher "/>
    <s v="English"/>
    <x v="8"/>
    <n v="12500000"/>
    <x v="20"/>
    <n v="7.3"/>
  </r>
  <r>
    <n v="109"/>
    <n v="14060950"/>
    <s v="The Emperor's Club "/>
    <s v="English"/>
    <x v="8"/>
    <n v="12500000"/>
    <x v="20"/>
    <n v="6.9"/>
  </r>
  <r>
    <n v="100"/>
    <n v="10725228"/>
    <s v="Glengarry Glen Ross "/>
    <s v="English"/>
    <x v="8"/>
    <n v="12500000"/>
    <x v="26"/>
    <n v="7.8"/>
  </r>
  <r>
    <n v="94"/>
    <n v="9030581"/>
    <s v="The Boy in the Striped Pajamas "/>
    <s v="English"/>
    <x v="9"/>
    <n v="12500000"/>
    <x v="7"/>
    <n v="7.8"/>
  </r>
  <r>
    <n v="99"/>
    <n v="1227324"/>
    <s v="The Funeral "/>
    <s v="English"/>
    <x v="8"/>
    <n v="12500000"/>
    <x v="24"/>
    <n v="6.6"/>
  </r>
  <r>
    <n v="69"/>
    <n v="48092846"/>
    <s v="The Land Before Time "/>
    <s v="English"/>
    <x v="8"/>
    <n v="12500000"/>
    <x v="4"/>
    <n v="7.3"/>
  </r>
  <r>
    <n v="118"/>
    <n v="1089445"/>
    <s v="The Perfect Game "/>
    <s v="English"/>
    <x v="11"/>
    <n v="12500000"/>
    <x v="13"/>
    <n v="7"/>
  </r>
  <r>
    <n v="107"/>
    <n v="36200000"/>
    <s v="Mad Max Beyond Thunderdome "/>
    <s v="English"/>
    <x v="13"/>
    <n v="12305523"/>
    <x v="33"/>
    <n v="6.2"/>
  </r>
  <r>
    <n v="88"/>
    <n v="17016190"/>
    <s v="Seed of Chucky "/>
    <s v="English"/>
    <x v="34"/>
    <n v="12000000"/>
    <x v="3"/>
    <n v="4.9000000000000004"/>
  </r>
  <r>
    <n v="83"/>
    <n v="7001720"/>
    <s v="An American Carol "/>
    <s v="English"/>
    <x v="8"/>
    <n v="12000000"/>
    <x v="7"/>
    <n v="4.3"/>
  </r>
  <r>
    <n v="144"/>
    <n v="2222647"/>
    <s v="The White Ribbon "/>
    <s v="German"/>
    <x v="12"/>
    <n v="12000000"/>
    <x v="13"/>
    <n v="7.8"/>
  </r>
  <r>
    <n v="126"/>
    <n v="71502303"/>
    <s v="Sideways "/>
    <s v="English"/>
    <x v="8"/>
    <n v="12000000"/>
    <x v="3"/>
    <n v="7.5"/>
  </r>
  <r>
    <n v="84"/>
    <n v="1197786"/>
    <s v="District B13 "/>
    <s v="French"/>
    <x v="7"/>
    <n v="12000000"/>
    <x v="3"/>
    <n v="7.2"/>
  </r>
  <r>
    <n v="117"/>
    <n v="14348123"/>
    <s v="Tea with Mussolini "/>
    <s v="English"/>
    <x v="16"/>
    <n v="12000000"/>
    <x v="5"/>
    <n v="6.9"/>
  </r>
  <r>
    <n v="97"/>
    <n v="56631572"/>
    <s v="Clueless "/>
    <s v="English"/>
    <x v="8"/>
    <n v="12000000"/>
    <x v="19"/>
    <n v="6.8"/>
  </r>
  <r>
    <n v="106"/>
    <n v="5949693"/>
    <s v="Lars and the Real Girl "/>
    <s v="English"/>
    <x v="8"/>
    <n v="12000000"/>
    <x v="9"/>
    <n v="7.4"/>
  </r>
  <r>
    <n v="122"/>
    <n v="91547205"/>
    <s v="Think Like a Man "/>
    <s v="English"/>
    <x v="8"/>
    <n v="12000000"/>
    <x v="10"/>
    <n v="6.6"/>
  </r>
  <r>
    <n v="102"/>
    <n v="75074950"/>
    <s v="Barbershop "/>
    <s v="English"/>
    <x v="8"/>
    <n v="12000000"/>
    <x v="20"/>
    <n v="6.3"/>
  </r>
  <r>
    <n v="78"/>
    <n v="72217000"/>
    <s v="Ace Ventura: Pet Detective "/>
    <s v="English"/>
    <x v="8"/>
    <n v="12000000"/>
    <x v="22"/>
    <n v="6.9"/>
  </r>
  <r>
    <n v="114"/>
    <n v="79568000"/>
    <s v="WarGames "/>
    <s v="English"/>
    <x v="8"/>
    <n v="12000000"/>
    <x v="35"/>
    <n v="7.1"/>
  </r>
  <r>
    <n v="112"/>
    <n v="65500000"/>
    <s v="Witness "/>
    <s v="English"/>
    <x v="8"/>
    <n v="12000000"/>
    <x v="33"/>
    <n v="7.4"/>
  </r>
  <r>
    <n v="110"/>
    <n v="70011073"/>
    <s v="Act of Valor "/>
    <s v="English"/>
    <x v="8"/>
    <n v="12000000"/>
    <x v="10"/>
    <n v="6.5"/>
  </r>
  <r>
    <n v="104"/>
    <n v="65269010"/>
    <s v="Step Up "/>
    <s v="English"/>
    <x v="8"/>
    <n v="12000000"/>
    <x v="0"/>
    <n v="6.5"/>
  </r>
  <r>
    <n v="81"/>
    <n v="63071133"/>
    <s v="Beavis and Butt-Head Do America "/>
    <s v="English"/>
    <x v="8"/>
    <n v="12000000"/>
    <x v="24"/>
    <n v="6.8"/>
  </r>
  <r>
    <n v="154"/>
    <n v="39647595"/>
    <s v="Jackie Brown "/>
    <s v="English"/>
    <x v="8"/>
    <n v="12000000"/>
    <x v="2"/>
    <n v="7.5"/>
  </r>
  <r>
    <n v="102"/>
    <n v="38087366"/>
    <s v="Harold &amp; Kumar Escape from Guantanamo Bay "/>
    <s v="English"/>
    <x v="8"/>
    <n v="12000000"/>
    <x v="7"/>
    <n v="6.6"/>
  </r>
  <r>
    <n v="89"/>
    <n v="64572496"/>
    <s v="Chronicle "/>
    <s v="English"/>
    <x v="8"/>
    <n v="12000000"/>
    <x v="10"/>
    <n v="7.1"/>
  </r>
  <r>
    <n v="132"/>
    <n v="30400000"/>
    <s v="Yentl "/>
    <s v="English"/>
    <x v="9"/>
    <n v="12000000"/>
    <x v="35"/>
    <n v="6.6"/>
  </r>
  <r>
    <n v="93"/>
    <n v="37188667"/>
    <s v="Crossroads "/>
    <s v="English"/>
    <x v="8"/>
    <n v="12000000"/>
    <x v="20"/>
    <n v="3.3"/>
  </r>
  <r>
    <n v="93"/>
    <n v="54724272"/>
    <s v="Project X "/>
    <s v="English"/>
    <x v="8"/>
    <n v="12000000"/>
    <x v="10"/>
    <n v="6.7"/>
  </r>
  <r>
    <n v="96"/>
    <n v="31597131"/>
    <s v="One Hour Photo "/>
    <s v="English"/>
    <x v="8"/>
    <n v="12000000"/>
    <x v="20"/>
    <n v="6.8"/>
  </r>
  <r>
    <n v="89"/>
    <n v="31691811"/>
    <s v="Quarantine "/>
    <s v="English"/>
    <x v="8"/>
    <n v="12000000"/>
    <x v="7"/>
    <n v="6"/>
  </r>
  <r>
    <n v="92"/>
    <n v="31397498"/>
    <s v="The Eye "/>
    <s v="English"/>
    <x v="8"/>
    <n v="12000000"/>
    <x v="7"/>
    <n v="5.4"/>
  </r>
  <r>
    <n v="97"/>
    <n v="31179516"/>
    <s v="Johnson Family Vacation "/>
    <s v="English"/>
    <x v="8"/>
    <n v="12000000"/>
    <x v="3"/>
    <n v="4.3"/>
  </r>
  <r>
    <n v="93"/>
    <n v="31155435"/>
    <s v="How High "/>
    <s v="English"/>
    <x v="8"/>
    <n v="12000000"/>
    <x v="8"/>
    <n v="6.2"/>
  </r>
  <r>
    <n v="89"/>
    <n v="27281507"/>
    <s v="The Muppet Christmas Carol "/>
    <s v="English"/>
    <x v="8"/>
    <n v="12000000"/>
    <x v="26"/>
    <n v="7.7"/>
  </r>
  <r>
    <n v="123"/>
    <n v="25776062"/>
    <s v="Frida "/>
    <s v="English"/>
    <x v="8"/>
    <n v="12000000"/>
    <x v="20"/>
    <n v="7.4"/>
  </r>
  <r>
    <n v="93"/>
    <n v="25240988"/>
    <s v="Katy Perry: Part of Me "/>
    <s v="English"/>
    <x v="8"/>
    <n v="12000000"/>
    <x v="10"/>
    <n v="5.9"/>
  </r>
  <r>
    <n v="133"/>
    <n v="124868837"/>
    <s v="The Fault in Our Stars "/>
    <s v="English"/>
    <x v="8"/>
    <n v="12000000"/>
    <x v="16"/>
    <n v="7.8"/>
  </r>
  <r>
    <n v="121"/>
    <n v="22905674"/>
    <s v="Rounders "/>
    <s v="English"/>
    <x v="8"/>
    <n v="12000000"/>
    <x v="6"/>
    <n v="7.4"/>
  </r>
  <r>
    <n v="102"/>
    <n v="25277561"/>
    <s v="Top Five "/>
    <s v="English"/>
    <x v="8"/>
    <n v="12000000"/>
    <x v="16"/>
    <n v="6.5"/>
  </r>
  <r>
    <n v="99"/>
    <n v="21133087"/>
    <s v="Stir of Echoes "/>
    <s v="English"/>
    <x v="8"/>
    <n v="12000000"/>
    <x v="5"/>
    <n v="7"/>
  </r>
  <r>
    <n v="98"/>
    <n v="37707719"/>
    <s v="Philomena "/>
    <s v="English"/>
    <x v="9"/>
    <n v="12000000"/>
    <x v="17"/>
    <n v="7.6"/>
  </r>
  <r>
    <n v="104"/>
    <n v="18595716"/>
    <s v="Aquamarine "/>
    <s v="English"/>
    <x v="8"/>
    <n v="12000000"/>
    <x v="0"/>
    <n v="5.3"/>
  </r>
  <r>
    <n v="109"/>
    <n v="31990064"/>
    <s v="Paper Towns "/>
    <s v="English"/>
    <x v="8"/>
    <n v="12000000"/>
    <x v="12"/>
    <n v="6.4"/>
  </r>
  <r>
    <n v="115"/>
    <n v="17613460"/>
    <s v="Nebraska "/>
    <s v="English"/>
    <x v="8"/>
    <n v="12000000"/>
    <x v="17"/>
    <n v="7.8"/>
  </r>
  <r>
    <n v="91"/>
    <n v="17292381"/>
    <s v="Max Keeble's Big Move "/>
    <s v="English"/>
    <x v="8"/>
    <n v="12000000"/>
    <x v="8"/>
    <n v="5.3"/>
  </r>
  <r>
    <n v="94"/>
    <n v="16300302"/>
    <s v="Young Adult "/>
    <s v="English"/>
    <x v="8"/>
    <n v="12000000"/>
    <x v="15"/>
    <n v="6.3"/>
  </r>
  <r>
    <n v="93"/>
    <n v="27829874"/>
    <s v="Crank "/>
    <s v="English"/>
    <x v="8"/>
    <n v="12000000"/>
    <x v="0"/>
    <n v="7"/>
  </r>
  <r>
    <n v="100"/>
    <n v="12902790"/>
    <s v="Living Out Loud "/>
    <s v="English"/>
    <x v="8"/>
    <n v="12000000"/>
    <x v="6"/>
    <n v="6.6"/>
  </r>
  <r>
    <n v="93"/>
    <n v="10198766"/>
    <s v="Sorority Boys "/>
    <s v="English"/>
    <x v="8"/>
    <n v="12000000"/>
    <x v="20"/>
    <n v="5.4"/>
  </r>
  <r>
    <n v="123"/>
    <n v="15294553"/>
    <s v="About Time "/>
    <s v="English"/>
    <x v="9"/>
    <n v="12000000"/>
    <x v="17"/>
    <n v="7.8"/>
  </r>
  <r>
    <n v="107"/>
    <n v="7918283"/>
    <s v="Arbitrage "/>
    <s v="English"/>
    <x v="8"/>
    <n v="12000000"/>
    <x v="10"/>
    <n v="6.6"/>
  </r>
  <r>
    <n v="106"/>
    <n v="22331028"/>
    <s v="Project Almanac "/>
    <s v="English"/>
    <x v="8"/>
    <n v="12000000"/>
    <x v="12"/>
    <n v="6.4"/>
  </r>
  <r>
    <n v="109"/>
    <n v="8134217"/>
    <s v="Cadillac Records "/>
    <s v="English"/>
    <x v="8"/>
    <n v="12000000"/>
    <x v="7"/>
    <n v="7"/>
  </r>
  <r>
    <n v="86"/>
    <n v="5542025"/>
    <s v="For Your Consideration "/>
    <s v="English"/>
    <x v="8"/>
    <n v="12000000"/>
    <x v="0"/>
    <n v="6.3"/>
  </r>
  <r>
    <n v="113"/>
    <n v="5032496"/>
    <s v="Celebrity "/>
    <s v="English"/>
    <x v="8"/>
    <n v="12000000"/>
    <x v="6"/>
    <n v="6.3"/>
  </r>
  <r>
    <n v="122"/>
    <n v="6754898"/>
    <s v="Running with Scissors "/>
    <s v="English"/>
    <x v="8"/>
    <n v="12000000"/>
    <x v="0"/>
    <n v="6.2"/>
  </r>
  <r>
    <n v="90"/>
    <n v="4922166"/>
    <s v="From Justin to Kelly "/>
    <s v="English"/>
    <x v="8"/>
    <n v="12000000"/>
    <x v="18"/>
    <n v="2.1"/>
  </r>
  <r>
    <n v="108"/>
    <n v="4903000"/>
    <s v="Girl 6 "/>
    <s v="English"/>
    <x v="8"/>
    <n v="12000000"/>
    <x v="24"/>
    <n v="5"/>
  </r>
  <r>
    <n v="113"/>
    <n v="4717455"/>
    <s v="In the Cut "/>
    <s v="English"/>
    <x v="13"/>
    <n v="12000000"/>
    <x v="18"/>
    <n v="5.3"/>
  </r>
  <r>
    <n v="110"/>
    <n v="3148482"/>
    <s v="Two Lovers "/>
    <s v="English"/>
    <x v="8"/>
    <n v="12000000"/>
    <x v="7"/>
    <n v="7.1"/>
  </r>
  <r>
    <n v="109"/>
    <n v="2326407"/>
    <s v="Last Orders "/>
    <s v="English"/>
    <x v="9"/>
    <n v="12000000"/>
    <x v="8"/>
    <n v="7"/>
  </r>
  <r>
    <n v="101"/>
    <n v="2060953"/>
    <s v="Ravenous "/>
    <s v="English"/>
    <x v="14"/>
    <n v="12000000"/>
    <x v="5"/>
    <n v="7.1"/>
  </r>
  <r>
    <n v="97"/>
    <n v="3950294"/>
    <s v="Charlie Bartlett "/>
    <s v="English"/>
    <x v="8"/>
    <n v="12000000"/>
    <x v="9"/>
    <n v="7"/>
  </r>
  <r>
    <n v="104"/>
    <n v="1779284"/>
    <s v="The Dangerous Lives of Altar Boys "/>
    <s v="English"/>
    <x v="8"/>
    <n v="12000000"/>
    <x v="20"/>
    <n v="7.1"/>
  </r>
  <r>
    <n v="99"/>
    <n v="1702277"/>
    <s v="Stoker "/>
    <s v="English"/>
    <x v="9"/>
    <n v="12000000"/>
    <x v="17"/>
    <n v="6.8"/>
  </r>
  <r>
    <n v="129"/>
    <n v="261481"/>
    <s v="2046 "/>
    <s v="Cantonese"/>
    <x v="15"/>
    <n v="12000000"/>
    <x v="3"/>
    <n v="7.5"/>
  </r>
  <r>
    <n v="91"/>
    <n v="1506998"/>
    <s v="Married Life "/>
    <s v="English"/>
    <x v="8"/>
    <n v="12000000"/>
    <x v="9"/>
    <n v="6.3"/>
  </r>
  <r>
    <n v="100"/>
    <n v="860002"/>
    <s v="Duma "/>
    <s v="English"/>
    <x v="8"/>
    <n v="12000000"/>
    <x v="1"/>
    <n v="7.3"/>
  </r>
  <r>
    <n v="111"/>
    <n v="548934"/>
    <s v="Ondine "/>
    <s v="English"/>
    <x v="23"/>
    <n v="12000000"/>
    <x v="13"/>
    <n v="6.8"/>
  </r>
  <r>
    <n v="86"/>
    <n v="333976"/>
    <s v="Welcome to Collinwood "/>
    <s v="English"/>
    <x v="8"/>
    <n v="12000000"/>
    <x v="20"/>
    <n v="6.4"/>
  </r>
  <r>
    <n v="107"/>
    <n v="141853"/>
    <s v="Critical Care "/>
    <s v="English"/>
    <x v="13"/>
    <n v="12000000"/>
    <x v="2"/>
    <n v="6"/>
  </r>
  <r>
    <n v="120"/>
    <n v="214202"/>
    <s v="Trade "/>
    <s v="English"/>
    <x v="12"/>
    <n v="12000000"/>
    <x v="9"/>
    <n v="7.5"/>
  </r>
  <r>
    <n v="110"/>
    <n v="175370"/>
    <s v="Breakfast of Champions "/>
    <s v="English"/>
    <x v="8"/>
    <n v="12000000"/>
    <x v="5"/>
    <n v="4.5999999999999996"/>
  </r>
  <r>
    <n v="132"/>
    <n v="119922"/>
    <s v="City of Life and Death "/>
    <s v="Mandarin"/>
    <x v="5"/>
    <n v="12000000"/>
    <x v="13"/>
    <n v="7.7"/>
  </r>
  <r>
    <n v="111"/>
    <n v="14616"/>
    <s v="10 Days in a Madhouse "/>
    <s v="English"/>
    <x v="8"/>
    <n v="12000000"/>
    <x v="12"/>
    <n v="7.5"/>
  </r>
  <r>
    <n v="99"/>
    <n v="91443253"/>
    <s v="Heaven Is for Real "/>
    <s v="English"/>
    <x v="8"/>
    <n v="12000000"/>
    <x v="16"/>
    <n v="5.8"/>
  </r>
  <r>
    <n v="91"/>
    <n v="21370057"/>
    <s v="Raising Cain "/>
    <s v="English"/>
    <x v="8"/>
    <n v="12000000"/>
    <x v="26"/>
    <n v="6"/>
  </r>
  <r>
    <n v="100"/>
    <n v="4884663"/>
    <s v="Invaders from Mars "/>
    <s v="English"/>
    <x v="8"/>
    <n v="12000000"/>
    <x v="34"/>
    <n v="5.5"/>
  </r>
  <r>
    <n v="161"/>
    <n v="56715371"/>
    <s v="2001: A Space Odyssey "/>
    <s v="English"/>
    <x v="9"/>
    <n v="12000000"/>
    <x v="46"/>
    <n v="8.3000000000000007"/>
  </r>
  <r>
    <n v="92"/>
    <n v="38624000"/>
    <s v="Happy Gilmore "/>
    <s v="English"/>
    <x v="8"/>
    <n v="12000000"/>
    <x v="24"/>
    <n v="7"/>
  </r>
  <r>
    <n v="103"/>
    <n v="28435406"/>
    <s v="Employee of the Month "/>
    <s v="English"/>
    <x v="8"/>
    <n v="12000000"/>
    <x v="0"/>
    <n v="5.5"/>
  </r>
  <r>
    <n v="128"/>
    <n v="4018695"/>
    <s v="My Name Is Khan "/>
    <s v="Hindi"/>
    <x v="3"/>
    <n v="12000000"/>
    <x v="11"/>
    <n v="8"/>
  </r>
  <r>
    <n v="95"/>
    <n v="65804"/>
    <s v="Deadfall "/>
    <s v="English"/>
    <x v="8"/>
    <n v="12000000"/>
    <x v="10"/>
    <n v="6.3"/>
  </r>
  <r>
    <n v="93"/>
    <n v="37188667"/>
    <s v="Crossroads "/>
    <s v="English"/>
    <x v="8"/>
    <n v="12000000"/>
    <x v="20"/>
    <n v="3.3"/>
  </r>
  <r>
    <n v="134"/>
    <n v="48856"/>
    <s v="Madadayo "/>
    <s v="Japanese"/>
    <x v="2"/>
    <n v="11900000"/>
    <x v="27"/>
    <n v="7.5"/>
  </r>
  <r>
    <n v="134"/>
    <n v="22954968"/>
    <s v="The Remains of the Day "/>
    <s v="English"/>
    <x v="9"/>
    <n v="11500000"/>
    <x v="27"/>
    <n v="7.9"/>
  </r>
  <r>
    <n v="103"/>
    <n v="57469179"/>
    <s v="Pet Sematary "/>
    <s v="English"/>
    <x v="8"/>
    <n v="11500000"/>
    <x v="28"/>
    <n v="6.6"/>
  </r>
  <r>
    <n v="109"/>
    <n v="35537564"/>
    <s v="Dirty Grandpa "/>
    <s v="English"/>
    <x v="8"/>
    <n v="11500000"/>
    <x v="14"/>
    <n v="6"/>
  </r>
  <r>
    <n v="100"/>
    <n v="3275585"/>
    <s v="Romeo Is Bleeding "/>
    <s v="English"/>
    <x v="9"/>
    <n v="11500000"/>
    <x v="27"/>
    <n v="6.6"/>
  </r>
  <r>
    <n v="86"/>
    <n v="13751"/>
    <s v="Opal Dream "/>
    <s v="English"/>
    <x v="13"/>
    <n v="11400000"/>
    <x v="0"/>
    <n v="6.6"/>
  </r>
  <r>
    <n v="121"/>
    <n v="229311"/>
    <s v="One Man's Hero "/>
    <s v="English"/>
    <x v="4"/>
    <n v="11350000"/>
    <x v="5"/>
    <n v="6.2"/>
  </r>
  <r>
    <n v="92"/>
    <n v="34334256"/>
    <s v="Texas Chainsaw 3D "/>
    <s v="English"/>
    <x v="8"/>
    <n v="11000000"/>
    <x v="17"/>
    <n v="4.8"/>
  </r>
  <r>
    <n v="102"/>
    <n v="167780960"/>
    <s v="3 Men and a Baby "/>
    <s v="English"/>
    <x v="8"/>
    <n v="11000000"/>
    <x v="32"/>
    <n v="5.9"/>
  </r>
  <r>
    <n v="85"/>
    <n v="12610731"/>
    <s v="Jason X "/>
    <s v="English"/>
    <x v="8"/>
    <n v="11000000"/>
    <x v="8"/>
    <n v="4.4000000000000004"/>
  </r>
  <r>
    <n v="96"/>
    <n v="3074838"/>
    <s v="Chloe "/>
    <s v="English"/>
    <x v="8"/>
    <n v="11000000"/>
    <x v="13"/>
    <n v="6.3"/>
  </r>
  <r>
    <n v="95"/>
    <n v="101736215"/>
    <s v="American Pie "/>
    <s v="English"/>
    <x v="8"/>
    <n v="11000000"/>
    <x v="5"/>
    <n v="7"/>
  </r>
  <r>
    <n v="116"/>
    <n v="78900000"/>
    <s v="Star Trek II: The Wrath of Khan "/>
    <s v="English"/>
    <x v="8"/>
    <n v="11000000"/>
    <x v="37"/>
    <n v="7.7"/>
  </r>
  <r>
    <n v="106"/>
    <n v="148170000"/>
    <s v="Gremlins "/>
    <s v="English"/>
    <x v="8"/>
    <n v="11000000"/>
    <x v="29"/>
    <n v="7.2"/>
  </r>
  <r>
    <n v="125"/>
    <n v="460935665"/>
    <s v="Star Wars: Episode IV - A New Hope "/>
    <s v="English"/>
    <x v="8"/>
    <n v="11000000"/>
    <x v="40"/>
    <n v="8.6999999999999993"/>
  </r>
  <r>
    <n v="200"/>
    <n v="111722000"/>
    <s v="Doctor Zhivago "/>
    <s v="English"/>
    <x v="8"/>
    <n v="11000000"/>
    <x v="42"/>
    <n v="8"/>
  </r>
  <r>
    <n v="112"/>
    <n v="90556401"/>
    <s v="High School Musical 3: Senior Year "/>
    <s v="English"/>
    <x v="8"/>
    <n v="11000000"/>
    <x v="7"/>
    <n v="4.5"/>
  </r>
  <r>
    <n v="120"/>
    <n v="52929168"/>
    <s v="My Cousin Vinny "/>
    <s v="English"/>
    <x v="8"/>
    <n v="11000000"/>
    <x v="26"/>
    <n v="7.5"/>
  </r>
  <r>
    <n v="107"/>
    <n v="50461335"/>
    <s v="If I Stay "/>
    <s v="English"/>
    <x v="8"/>
    <n v="11000000"/>
    <x v="16"/>
    <n v="6.8"/>
  </r>
  <r>
    <n v="107"/>
    <n v="49797148"/>
    <s v="Major League "/>
    <s v="English"/>
    <x v="8"/>
    <n v="11000000"/>
    <x v="28"/>
    <n v="7.2"/>
  </r>
  <r>
    <n v="101"/>
    <n v="41227069"/>
    <s v="A Walk to Remember "/>
    <s v="English"/>
    <x v="8"/>
    <n v="11000000"/>
    <x v="20"/>
    <n v="7.4"/>
  </r>
  <r>
    <n v="122"/>
    <n v="39025000"/>
    <s v="Dead Man Walking "/>
    <s v="English"/>
    <x v="9"/>
    <n v="11000000"/>
    <x v="19"/>
    <n v="7.6"/>
  </r>
  <r>
    <n v="92"/>
    <n v="27669413"/>
    <s v="Saw VI "/>
    <s v="English"/>
    <x v="11"/>
    <n v="11000000"/>
    <x v="13"/>
    <n v="6"/>
  </r>
  <r>
    <n v="110"/>
    <n v="37766350"/>
    <s v="The Secret Life of Bees "/>
    <s v="English"/>
    <x v="8"/>
    <n v="11000000"/>
    <x v="7"/>
    <n v="7.3"/>
  </r>
  <r>
    <n v="86"/>
    <n v="23978402"/>
    <s v="Corky Romano "/>
    <s v="English"/>
    <x v="8"/>
    <n v="11000000"/>
    <x v="8"/>
    <n v="4.5999999999999996"/>
  </r>
  <r>
    <n v="111"/>
    <n v="38317535"/>
    <s v="Brooklyn "/>
    <s v="English"/>
    <x v="9"/>
    <n v="11000000"/>
    <x v="12"/>
    <n v="7.5"/>
  </r>
  <r>
    <n v="89"/>
    <n v="13903262"/>
    <s v="Out Cold "/>
    <s v="English"/>
    <x v="8"/>
    <n v="11000000"/>
    <x v="8"/>
    <n v="6.3"/>
  </r>
  <r>
    <n v="84"/>
    <n v="13592872"/>
    <s v="The Ladies Man "/>
    <s v="English"/>
    <x v="8"/>
    <n v="11000000"/>
    <x v="21"/>
    <n v="5.0999999999999996"/>
  </r>
  <r>
    <n v="98"/>
    <n v="18381787"/>
    <s v="Quartet "/>
    <s v="English"/>
    <x v="9"/>
    <n v="11000000"/>
    <x v="10"/>
    <n v="6.8"/>
  </r>
  <r>
    <n v="95"/>
    <n v="13558739"/>
    <s v="Tomcats "/>
    <s v="English"/>
    <x v="8"/>
    <n v="11000000"/>
    <x v="8"/>
    <n v="5.3"/>
  </r>
  <r>
    <n v="100"/>
    <n v="13103828"/>
    <s v="Frailty "/>
    <s v="English"/>
    <x v="8"/>
    <n v="11000000"/>
    <x v="8"/>
    <n v="7.3"/>
  </r>
  <r>
    <n v="109"/>
    <n v="33305037"/>
    <s v="Woman in Gold "/>
    <s v="English"/>
    <x v="9"/>
    <n v="11000000"/>
    <x v="12"/>
    <n v="7.3"/>
  </r>
  <r>
    <n v="118"/>
    <n v="10214647"/>
    <s v="Kinsey "/>
    <s v="English"/>
    <x v="8"/>
    <n v="11000000"/>
    <x v="3"/>
    <n v="7.1"/>
  </r>
  <r>
    <n v="86"/>
    <n v="4814244"/>
    <s v="Slackers "/>
    <s v="English"/>
    <x v="11"/>
    <n v="11000000"/>
    <x v="20"/>
    <n v="5.3"/>
  </r>
  <r>
    <n v="118"/>
    <n v="9170214"/>
    <s v="What's Eating Gilbert Grape "/>
    <s v="English"/>
    <x v="8"/>
    <n v="11000000"/>
    <x v="27"/>
    <n v="7.8"/>
  </r>
  <r>
    <n v="125"/>
    <n v="3753806"/>
    <s v="Vera Drake "/>
    <s v="English"/>
    <x v="9"/>
    <n v="11000000"/>
    <x v="3"/>
    <n v="7.7"/>
  </r>
  <r>
    <n v="94"/>
    <n v="3034181"/>
    <s v="The Guru "/>
    <s v="English"/>
    <x v="9"/>
    <n v="11000000"/>
    <x v="20"/>
    <n v="5.4"/>
  </r>
  <r>
    <n v="113"/>
    <n v="2832826"/>
    <s v="The Perez Family "/>
    <s v="English"/>
    <x v="8"/>
    <n v="11000000"/>
    <x v="19"/>
    <n v="6.2"/>
  </r>
  <r>
    <n v="104"/>
    <n v="13214255"/>
    <s v="Inside Llewyn Davis "/>
    <s v="English"/>
    <x v="8"/>
    <n v="11000000"/>
    <x v="17"/>
    <n v="7.4"/>
  </r>
  <r>
    <n v="102"/>
    <n v="2807854"/>
    <s v="Return to the Blue Lagoon "/>
    <s v="English"/>
    <x v="8"/>
    <n v="11000000"/>
    <x v="23"/>
    <n v="5.0999999999999996"/>
  </r>
  <r>
    <n v="104"/>
    <n v="352786"/>
    <s v="Copying Beethoven "/>
    <s v="English"/>
    <x v="8"/>
    <n v="11000000"/>
    <x v="0"/>
    <n v="6.8"/>
  </r>
  <r>
    <n v="96"/>
    <n v="16667084"/>
    <s v="Tremors "/>
    <s v="English"/>
    <x v="8"/>
    <n v="11000000"/>
    <x v="25"/>
    <n v="7.1"/>
  </r>
  <r>
    <n v="98"/>
    <n v="1987762"/>
    <s v="Killer Joe "/>
    <s v="English"/>
    <x v="8"/>
    <n v="11000000"/>
    <x v="15"/>
    <n v="6.7"/>
  </r>
  <r>
    <n v="116"/>
    <n v="78900000"/>
    <s v="Alien "/>
    <s v="English"/>
    <x v="9"/>
    <n v="11000000"/>
    <x v="36"/>
    <n v="8.5"/>
  </r>
  <r>
    <n v="96"/>
    <n v="32131483"/>
    <s v="Darkness Falls "/>
    <s v="English"/>
    <x v="8"/>
    <n v="11000000"/>
    <x v="18"/>
    <n v="4.9000000000000004"/>
  </r>
  <r>
    <n v="145"/>
    <n v="5669081"/>
    <s v="For Greater Glory: The True Story of Cristiada "/>
    <s v="Spanish"/>
    <x v="28"/>
    <n v="10818775"/>
    <x v="10"/>
    <n v="6.6"/>
  </r>
  <r>
    <n v="95"/>
    <n v="56729973"/>
    <s v="Saw V "/>
    <s v="English"/>
    <x v="8"/>
    <n v="10800000"/>
    <x v="7"/>
    <n v="5.8"/>
  </r>
  <r>
    <n v="120"/>
    <n v="76600000"/>
    <s v="Poltergeist "/>
    <s v="English"/>
    <x v="8"/>
    <n v="10700000"/>
    <x v="37"/>
    <n v="7.4"/>
  </r>
  <r>
    <n v="120"/>
    <n v="76600000"/>
    <s v="Poltergeist "/>
    <s v="English"/>
    <x v="8"/>
    <n v="10700000"/>
    <x v="37"/>
    <n v="7.4"/>
  </r>
  <r>
    <n v="103"/>
    <n v="22160085"/>
    <s v="Darkness "/>
    <s v="English"/>
    <x v="8"/>
    <n v="10600000"/>
    <x v="20"/>
    <n v="5.4"/>
  </r>
  <r>
    <n v="105"/>
    <n v="26589953"/>
    <s v="Machete "/>
    <s v="English"/>
    <x v="8"/>
    <n v="10500000"/>
    <x v="11"/>
    <n v="6.7"/>
  </r>
  <r>
    <n v="97"/>
    <n v="38201895"/>
    <s v="Cruel Intentions "/>
    <s v="English"/>
    <x v="8"/>
    <n v="10500000"/>
    <x v="5"/>
    <n v="6.9"/>
  </r>
  <r>
    <n v="120"/>
    <n v="434949459"/>
    <s v="E.T. the Extra-Terrestrial "/>
    <s v="English"/>
    <x v="8"/>
    <n v="10500000"/>
    <x v="37"/>
    <n v="7.9"/>
  </r>
  <r>
    <n v="98"/>
    <n v="14114488"/>
    <s v="Poltergeist III "/>
    <s v="English"/>
    <x v="8"/>
    <n v="10500000"/>
    <x v="4"/>
    <n v="4.5"/>
  </r>
  <r>
    <n v="110"/>
    <n v="10200000"/>
    <s v="The Spanish Prisoner "/>
    <s v="English"/>
    <x v="8"/>
    <n v="10000000"/>
    <x v="2"/>
    <n v="7.3"/>
  </r>
  <r>
    <n v="109"/>
    <n v="47536959"/>
    <s v="Precious "/>
    <s v="English"/>
    <x v="8"/>
    <n v="10000000"/>
    <x v="13"/>
    <n v="7.3"/>
  </r>
  <r>
    <n v="118"/>
    <n v="4280577"/>
    <s v="Goal! The Dream Begins "/>
    <s v="English"/>
    <x v="8"/>
    <n v="10000000"/>
    <x v="1"/>
    <n v="6.8"/>
  </r>
  <r>
    <n v="154"/>
    <n v="6201757"/>
    <s v="Topsy-Turvy "/>
    <s v="English"/>
    <x v="9"/>
    <n v="10000000"/>
    <x v="5"/>
    <n v="7.4"/>
  </r>
  <r>
    <n v="122"/>
    <n v="531009"/>
    <s v="By the Sea "/>
    <s v="English"/>
    <x v="8"/>
    <n v="10000000"/>
    <x v="12"/>
    <n v="5.3"/>
  </r>
  <r>
    <n v="109"/>
    <n v="69800000"/>
    <s v="Private Benjamin "/>
    <s v="English"/>
    <x v="8"/>
    <n v="10000000"/>
    <x v="31"/>
    <n v="6.1"/>
  </r>
  <r>
    <n v="120"/>
    <n v="44886089"/>
    <s v="Cop Land "/>
    <s v="English"/>
    <x v="8"/>
    <n v="10000000"/>
    <x v="2"/>
    <n v="6.9"/>
  </r>
  <r>
    <n v="111"/>
    <n v="7691700"/>
    <s v="Sarah's Key "/>
    <s v="French"/>
    <x v="7"/>
    <n v="10000000"/>
    <x v="11"/>
    <n v="7.5"/>
  </r>
  <r>
    <n v="125"/>
    <n v="2086345"/>
    <s v="The Sea Inside "/>
    <s v="Spanish"/>
    <x v="4"/>
    <n v="10000000"/>
    <x v="3"/>
    <n v="8.1"/>
  </r>
  <r>
    <n v="81"/>
    <n v="6982680"/>
    <s v="Screwed "/>
    <s v="English"/>
    <x v="8"/>
    <n v="10000000"/>
    <x v="21"/>
    <n v="5.7"/>
  </r>
  <r>
    <n v="114"/>
    <n v="447750"/>
    <s v="Brother "/>
    <s v="English"/>
    <x v="8"/>
    <n v="10000000"/>
    <x v="21"/>
    <n v="7.2"/>
  </r>
  <r>
    <n v="97"/>
    <n v="11043445"/>
    <s v="In the Land of Women "/>
    <s v="English"/>
    <x v="8"/>
    <n v="10000000"/>
    <x v="9"/>
    <n v="6.5"/>
  </r>
  <r>
    <n v="126"/>
    <n v="138339411"/>
    <s v="Good Will Hunting "/>
    <s v="English"/>
    <x v="8"/>
    <n v="10000000"/>
    <x v="2"/>
    <n v="8.3000000000000007"/>
  </r>
  <r>
    <n v="121"/>
    <n v="80150343"/>
    <s v="Saw III "/>
    <s v="English"/>
    <x v="8"/>
    <n v="10000000"/>
    <x v="0"/>
    <n v="6.2"/>
  </r>
  <r>
    <n v="117"/>
    <n v="85300000"/>
    <s v="Stripes "/>
    <s v="English"/>
    <x v="8"/>
    <n v="10000000"/>
    <x v="39"/>
    <n v="6.9"/>
  </r>
  <r>
    <n v="98"/>
    <n v="68353550"/>
    <s v="Bring It On "/>
    <s v="English"/>
    <x v="8"/>
    <n v="10000000"/>
    <x v="21"/>
    <n v="5.9"/>
  </r>
  <r>
    <n v="109"/>
    <n v="78845130"/>
    <s v="The Purge: Election Year "/>
    <s v="English"/>
    <x v="7"/>
    <n v="10000000"/>
    <x v="14"/>
    <n v="6.1"/>
  </r>
  <r>
    <n v="95"/>
    <n v="63319509"/>
    <s v="She's All That "/>
    <s v="English"/>
    <x v="8"/>
    <n v="10000000"/>
    <x v="5"/>
    <n v="5.8"/>
  </r>
  <r>
    <n v="109"/>
    <n v="47536959"/>
    <s v="Precious "/>
    <s v="English"/>
    <x v="8"/>
    <n v="10000000"/>
    <x v="13"/>
    <n v="7.3"/>
  </r>
  <r>
    <n v="96"/>
    <n v="63270259"/>
    <s v="Saw IV "/>
    <s v="English"/>
    <x v="8"/>
    <n v="10000000"/>
    <x v="9"/>
    <n v="5.9"/>
  </r>
  <r>
    <n v="101"/>
    <n v="55865715"/>
    <s v="White Noise "/>
    <s v="English"/>
    <x v="9"/>
    <n v="10000000"/>
    <x v="1"/>
    <n v="5.5"/>
  </r>
  <r>
    <n v="100"/>
    <n v="50752337"/>
    <s v="The Mighty Ducks "/>
    <s v="English"/>
    <x v="8"/>
    <n v="10000000"/>
    <x v="26"/>
    <n v="6.4"/>
  </r>
  <r>
    <n v="98"/>
    <n v="110175871"/>
    <s v="The Grudge "/>
    <s v="English"/>
    <x v="8"/>
    <n v="10000000"/>
    <x v="3"/>
    <n v="5.9"/>
  </r>
  <r>
    <n v="90"/>
    <n v="37470017"/>
    <s v="Jeepers Creepers "/>
    <s v="English"/>
    <x v="12"/>
    <n v="10000000"/>
    <x v="8"/>
    <n v="6.1"/>
  </r>
  <r>
    <n v="90"/>
    <n v="40485039"/>
    <s v="Bill &amp; Ted's Excellent Adventure "/>
    <s v="English"/>
    <x v="8"/>
    <n v="10000000"/>
    <x v="28"/>
    <n v="6.9"/>
  </r>
  <r>
    <n v="153"/>
    <n v="16800000"/>
    <s v="Oliver! "/>
    <s v="English"/>
    <x v="9"/>
    <n v="10000000"/>
    <x v="46"/>
    <n v="7.5"/>
  </r>
  <r>
    <n v="124"/>
    <n v="46377022"/>
    <s v="The Best Exotic Marigold Hotel "/>
    <s v="English"/>
    <x v="9"/>
    <n v="10000000"/>
    <x v="15"/>
    <n v="7.3"/>
  </r>
  <r>
    <n v="97"/>
    <n v="35794166"/>
    <s v="The Boy "/>
    <s v="English"/>
    <x v="8"/>
    <n v="10000000"/>
    <x v="14"/>
    <n v="6"/>
  </r>
  <r>
    <n v="80"/>
    <n v="33583175"/>
    <s v="Devil "/>
    <s v="English"/>
    <x v="8"/>
    <n v="10000000"/>
    <x v="11"/>
    <n v="6.3"/>
  </r>
  <r>
    <n v="97"/>
    <n v="52200504"/>
    <s v="Insidious: Chapter 3 "/>
    <s v="English"/>
    <x v="11"/>
    <n v="10000000"/>
    <x v="12"/>
    <n v="6.1"/>
  </r>
  <r>
    <n v="109"/>
    <n v="33000000"/>
    <s v="The Last Dragon "/>
    <s v="English"/>
    <x v="8"/>
    <n v="10000000"/>
    <x v="33"/>
    <n v="6.9"/>
  </r>
  <r>
    <n v="140"/>
    <n v="32101000"/>
    <s v="The Lawnmower Man "/>
    <s v="English"/>
    <x v="9"/>
    <n v="10000000"/>
    <x v="26"/>
    <n v="5.4"/>
  </r>
  <r>
    <n v="130"/>
    <n v="30651422"/>
    <s v="Dogma "/>
    <s v="English"/>
    <x v="8"/>
    <n v="10000000"/>
    <x v="5"/>
    <n v="7.4"/>
  </r>
  <r>
    <n v="98"/>
    <n v="30306281"/>
    <s v="The Banger Sisters "/>
    <s v="English"/>
    <x v="8"/>
    <n v="10000000"/>
    <x v="20"/>
    <n v="5.6"/>
  </r>
  <r>
    <n v="101"/>
    <n v="29500000"/>
    <s v="Twilight Zone: The Movie "/>
    <s v="English"/>
    <x v="8"/>
    <n v="10000000"/>
    <x v="35"/>
    <n v="6.5"/>
  </r>
  <r>
    <n v="100"/>
    <n v="29392418"/>
    <s v="A Low Down Dirty Shame "/>
    <s v="English"/>
    <x v="8"/>
    <n v="10000000"/>
    <x v="22"/>
    <n v="5.8"/>
  </r>
  <r>
    <n v="100"/>
    <n v="25339117"/>
    <s v="Can't Hardly Wait "/>
    <s v="English"/>
    <x v="8"/>
    <n v="10000000"/>
    <x v="6"/>
    <n v="6.5"/>
  </r>
  <r>
    <n v="114"/>
    <n v="25600000"/>
    <s v="The Outsiders "/>
    <s v="English"/>
    <x v="8"/>
    <n v="10000000"/>
    <x v="35"/>
    <n v="7.2"/>
  </r>
  <r>
    <n v="97"/>
    <n v="27736779"/>
    <s v="Sinister 2 "/>
    <s v="English"/>
    <x v="8"/>
    <n v="10000000"/>
    <x v="12"/>
    <n v="5.2"/>
  </r>
  <r>
    <n v="96"/>
    <n v="20384136"/>
    <s v="Valentine "/>
    <s v="English"/>
    <x v="8"/>
    <n v="10000000"/>
    <x v="8"/>
    <n v="4.7"/>
  </r>
  <r>
    <n v="98"/>
    <n v="25464480"/>
    <s v="The Fourth Kind "/>
    <s v="English"/>
    <x v="8"/>
    <n v="10000000"/>
    <x v="13"/>
    <n v="5.9"/>
  </r>
  <r>
    <n v="105"/>
    <n v="20338609"/>
    <s v="A Prairie Home Companion "/>
    <s v="English"/>
    <x v="8"/>
    <n v="10000000"/>
    <x v="0"/>
    <n v="6.8"/>
  </r>
  <r>
    <n v="123"/>
    <n v="18272447"/>
    <s v="Sugar Hill "/>
    <s v="English"/>
    <x v="8"/>
    <n v="10000000"/>
    <x v="27"/>
    <n v="5.9"/>
  </r>
  <r>
    <n v="97"/>
    <n v="21371425"/>
    <s v="Skyline "/>
    <s v="English"/>
    <x v="8"/>
    <n v="10000000"/>
    <x v="11"/>
    <n v="4.4000000000000004"/>
  </r>
  <r>
    <n v="122"/>
    <n v="33071558"/>
    <s v="The Second Best Exotic Marigold Hotel "/>
    <s v="English"/>
    <x v="9"/>
    <n v="10000000"/>
    <x v="12"/>
    <n v="6.6"/>
  </r>
  <r>
    <n v="101"/>
    <n v="17655201"/>
    <s v="Kit Kittredge: An American Girl "/>
    <s v="English"/>
    <x v="8"/>
    <n v="10000000"/>
    <x v="7"/>
    <n v="6.7"/>
  </r>
  <r>
    <n v="129"/>
    <n v="16153600"/>
    <s v="Mo' Better Blues "/>
    <s v="English"/>
    <x v="8"/>
    <n v="10000000"/>
    <x v="25"/>
    <n v="6.5"/>
  </r>
  <r>
    <n v="81"/>
    <n v="16033556"/>
    <s v="Kung Pow: Enter the Fist "/>
    <s v="English"/>
    <x v="8"/>
    <n v="10000000"/>
    <x v="20"/>
    <n v="6.2"/>
  </r>
  <r>
    <n v="130"/>
    <n v="21589307"/>
    <s v="Mud "/>
    <s v="English"/>
    <x v="8"/>
    <n v="10000000"/>
    <x v="10"/>
    <n v="7.4"/>
  </r>
  <r>
    <n v="84"/>
    <n v="20339754"/>
    <s v="Reno 911!: Miami "/>
    <s v="English"/>
    <x v="8"/>
    <n v="10000000"/>
    <x v="9"/>
    <n v="5.9"/>
  </r>
  <r>
    <n v="106"/>
    <n v="28873374"/>
    <s v="One Direction: This Is Us "/>
    <s v="English"/>
    <x v="8"/>
    <n v="10000000"/>
    <x v="17"/>
    <n v="4.0999999999999996"/>
  </r>
  <r>
    <n v="96"/>
    <n v="12570442"/>
    <s v="The Matador "/>
    <s v="English"/>
    <x v="8"/>
    <n v="10000000"/>
    <x v="1"/>
    <n v="6.8"/>
  </r>
  <r>
    <n v="104"/>
    <n v="12514138"/>
    <s v="Love Jones "/>
    <s v="English"/>
    <x v="8"/>
    <n v="10000000"/>
    <x v="2"/>
    <n v="7.4"/>
  </r>
  <r>
    <n v="108"/>
    <n v="11703287"/>
    <s v="End of the Spear "/>
    <s v="English"/>
    <x v="8"/>
    <n v="10000000"/>
    <x v="1"/>
    <n v="7"/>
  </r>
  <r>
    <n v="89"/>
    <n v="10824921"/>
    <s v="Office Space "/>
    <s v="English"/>
    <x v="8"/>
    <n v="10000000"/>
    <x v="5"/>
    <n v="7.8"/>
  </r>
  <r>
    <n v="97"/>
    <n v="10561238"/>
    <s v="Drop Dead Gorgeous "/>
    <s v="English"/>
    <x v="12"/>
    <n v="10000000"/>
    <x v="5"/>
    <n v="6.5"/>
  </r>
  <r>
    <n v="106"/>
    <n v="14479776"/>
    <s v="Big Eyes "/>
    <s v="English"/>
    <x v="8"/>
    <n v="10000000"/>
    <x v="16"/>
    <n v="7"/>
  </r>
  <r>
    <n v="100"/>
    <n v="9801782"/>
    <s v="Very Bad Things "/>
    <s v="English"/>
    <x v="8"/>
    <n v="10000000"/>
    <x v="6"/>
    <n v="6.3"/>
  </r>
  <r>
    <n v="89"/>
    <n v="8070311"/>
    <s v="Sleepover "/>
    <s v="English"/>
    <x v="8"/>
    <n v="10000000"/>
    <x v="3"/>
    <n v="5.3"/>
  </r>
  <r>
    <n v="95"/>
    <n v="8460995"/>
    <s v="MacGruber "/>
    <s v="English"/>
    <x v="8"/>
    <n v="10000000"/>
    <x v="11"/>
    <n v="5.5"/>
  </r>
  <r>
    <n v="97"/>
    <n v="8111360"/>
    <s v="Dirty Pretty Things "/>
    <s v="English"/>
    <x v="9"/>
    <n v="10000000"/>
    <x v="20"/>
    <n v="7.4"/>
  </r>
  <r>
    <n v="95"/>
    <n v="7563670"/>
    <s v="Over Her Dead Body "/>
    <s v="English"/>
    <x v="8"/>
    <n v="10000000"/>
    <x v="7"/>
    <n v="5.2"/>
  </r>
  <r>
    <n v="101"/>
    <n v="6619173"/>
    <s v="Seeking a Friend for the End of the World "/>
    <s v="English"/>
    <x v="8"/>
    <n v="10000000"/>
    <x v="10"/>
    <n v="6.7"/>
  </r>
  <r>
    <n v="82"/>
    <n v="6842058"/>
    <s v="The Collection "/>
    <s v="English"/>
    <x v="8"/>
    <n v="10000000"/>
    <x v="10"/>
    <n v="6.1"/>
  </r>
  <r>
    <n v="74"/>
    <n v="6491350"/>
    <s v="Teacher's Pet "/>
    <s v="English"/>
    <x v="8"/>
    <n v="10000000"/>
    <x v="3"/>
    <n v="5.8"/>
  </r>
  <r>
    <n v="130"/>
    <n v="9473382"/>
    <s v="The Red Violin "/>
    <s v="French"/>
    <x v="11"/>
    <n v="10000000"/>
    <x v="6"/>
    <n v="7.7"/>
  </r>
  <r>
    <n v="112"/>
    <n v="6197866"/>
    <s v="The Straight Story "/>
    <s v="English"/>
    <x v="7"/>
    <n v="10000000"/>
    <x v="5"/>
    <n v="8"/>
  </r>
  <r>
    <n v="96"/>
    <n v="6044618"/>
    <s v="Deuces Wild "/>
    <s v="English"/>
    <x v="8"/>
    <n v="10000000"/>
    <x v="20"/>
    <n v="5.6"/>
  </r>
  <r>
    <n v="89"/>
    <n v="7764027"/>
    <s v="Bad Words "/>
    <s v="English"/>
    <x v="8"/>
    <n v="10000000"/>
    <x v="17"/>
    <n v="6.7"/>
  </r>
  <r>
    <n v="120"/>
    <n v="5484375"/>
    <s v="Rescue Dawn "/>
    <s v="English"/>
    <x v="8"/>
    <n v="10000000"/>
    <x v="0"/>
    <n v="7.3"/>
  </r>
  <r>
    <n v="83"/>
    <n v="4244155"/>
    <s v="Jeff, Who Lives at Home "/>
    <s v="English"/>
    <x v="8"/>
    <n v="10000000"/>
    <x v="15"/>
    <n v="6.5"/>
  </r>
  <r>
    <n v="120"/>
    <n v="5004648"/>
    <s v="I Am Love "/>
    <s v="Italian"/>
    <x v="16"/>
    <n v="10000000"/>
    <x v="13"/>
    <n v="7"/>
  </r>
  <r>
    <n v="111"/>
    <n v="3333823"/>
    <s v="Atlas Shrugged II: The Strike "/>
    <s v="English"/>
    <x v="8"/>
    <n v="10000000"/>
    <x v="10"/>
    <n v="5.5"/>
  </r>
  <r>
    <n v="135"/>
    <n v="3041803"/>
    <s v="The House of Mirth "/>
    <s v="English"/>
    <x v="9"/>
    <n v="10000000"/>
    <x v="21"/>
    <n v="7.1"/>
  </r>
  <r>
    <n v="92"/>
    <n v="3060858"/>
    <s v="Malone "/>
    <s v="English"/>
    <x v="8"/>
    <n v="10000000"/>
    <x v="32"/>
    <n v="5.6"/>
  </r>
  <r>
    <n v="120"/>
    <n v="1055654"/>
    <s v="Peaceful Warrior "/>
    <s v="English"/>
    <x v="12"/>
    <n v="10000000"/>
    <x v="0"/>
    <n v="7.3"/>
  </r>
  <r>
    <n v="97"/>
    <n v="2331318"/>
    <s v="Bucky Larson: Born to Be a Star "/>
    <s v="English"/>
    <x v="8"/>
    <n v="10000000"/>
    <x v="15"/>
    <n v="3.3"/>
  </r>
  <r>
    <n v="135"/>
    <n v="2185266"/>
    <s v="Bamboozled "/>
    <s v="English"/>
    <x v="8"/>
    <n v="10000000"/>
    <x v="21"/>
    <n v="6.5"/>
  </r>
  <r>
    <n v="93"/>
    <n v="26583369"/>
    <s v="The Forest "/>
    <s v="English"/>
    <x v="8"/>
    <n v="10000000"/>
    <x v="14"/>
    <n v="4.8"/>
  </r>
  <r>
    <n v="97"/>
    <n v="7574066"/>
    <s v="While We're Young "/>
    <s v="English"/>
    <x v="8"/>
    <n v="10000000"/>
    <x v="16"/>
    <n v="6.3"/>
  </r>
  <r>
    <n v="98"/>
    <n v="1754319"/>
    <s v="A Better Life "/>
    <s v="English"/>
    <x v="8"/>
    <n v="10000000"/>
    <x v="15"/>
    <n v="7.2"/>
  </r>
  <r>
    <n v="101"/>
    <n v="1631839"/>
    <s v="Gun Shy "/>
    <s v="English"/>
    <x v="8"/>
    <n v="10000000"/>
    <x v="21"/>
    <n v="5.7"/>
  </r>
  <r>
    <n v="132"/>
    <n v="1309849"/>
    <s v="Nicholas Nickleby "/>
    <s v="English"/>
    <x v="9"/>
    <n v="10000000"/>
    <x v="20"/>
    <n v="7.2"/>
  </r>
  <r>
    <n v="106"/>
    <n v="1939441"/>
    <s v="The Iceman "/>
    <s v="English"/>
    <x v="8"/>
    <n v="10000000"/>
    <x v="10"/>
    <n v="6.9"/>
  </r>
  <r>
    <n v="87"/>
    <n v="1276984"/>
    <s v="Cecil B. DeMented "/>
    <s v="English"/>
    <x v="7"/>
    <n v="10000000"/>
    <x v="21"/>
    <n v="6.2"/>
  </r>
  <r>
    <n v="104"/>
    <n v="1011054"/>
    <s v="Owning Mahowny "/>
    <s v="English"/>
    <x v="11"/>
    <n v="10000000"/>
    <x v="18"/>
    <n v="7.2"/>
  </r>
  <r>
    <n v="93"/>
    <n v="900926"/>
    <s v="The Brothers Solomon "/>
    <s v="English"/>
    <x v="8"/>
    <n v="10000000"/>
    <x v="9"/>
    <n v="5.3"/>
  </r>
  <r>
    <n v="95"/>
    <n v="866778"/>
    <s v="My Blueberry Nights "/>
    <s v="English"/>
    <x v="15"/>
    <n v="10000000"/>
    <x v="9"/>
    <n v="6.7"/>
  </r>
  <r>
    <n v="89"/>
    <n v="598645"/>
    <s v="Swept Away "/>
    <s v="English"/>
    <x v="9"/>
    <n v="10000000"/>
    <x v="20"/>
    <n v="3.6"/>
  </r>
  <r>
    <n v="107"/>
    <n v="578527"/>
    <s v="War, Inc. "/>
    <s v="English"/>
    <x v="8"/>
    <n v="10000000"/>
    <x v="7"/>
    <n v="5.7"/>
  </r>
  <r>
    <n v="85"/>
    <n v="488872"/>
    <s v="Shaolin Soccer "/>
    <s v="Cantonese"/>
    <x v="15"/>
    <n v="10000000"/>
    <x v="8"/>
    <n v="7.3"/>
  </r>
  <r>
    <n v="93"/>
    <n v="365734"/>
    <s v="The Brown Bunny "/>
    <s v="English"/>
    <x v="8"/>
    <n v="10000000"/>
    <x v="18"/>
    <n v="5"/>
  </r>
  <r>
    <n v="86"/>
    <n v="226792"/>
    <s v="High Heels and Low Lifes "/>
    <s v="English"/>
    <x v="9"/>
    <n v="10000000"/>
    <x v="8"/>
    <n v="6.2"/>
  </r>
  <r>
    <n v="82"/>
    <n v="131617"/>
    <s v="Edmond "/>
    <s v="English"/>
    <x v="8"/>
    <n v="10000000"/>
    <x v="1"/>
    <n v="6.3"/>
  </r>
  <r>
    <n v="86"/>
    <n v="15447"/>
    <s v="An Alan Smithee Film: Burn Hollywood Burn "/>
    <s v="English"/>
    <x v="8"/>
    <n v="10000000"/>
    <x v="2"/>
    <n v="3.5"/>
  </r>
  <r>
    <n v="91"/>
    <n v="19348"/>
    <s v="The Open Road "/>
    <s v="English"/>
    <x v="8"/>
    <n v="10000000"/>
    <x v="13"/>
    <n v="5.5"/>
  </r>
  <r>
    <n v="93"/>
    <n v="5561"/>
    <s v="Blonde Ambition "/>
    <s v="English"/>
    <x v="8"/>
    <n v="10000000"/>
    <x v="9"/>
    <n v="3.9"/>
  </r>
  <r>
    <n v="104"/>
    <n v="3607"/>
    <s v="The Oxford Murders "/>
    <s v="English"/>
    <x v="4"/>
    <n v="10000000"/>
    <x v="7"/>
    <n v="6.1"/>
  </r>
  <r>
    <n v="81"/>
    <n v="11835"/>
    <s v="Of Horses and Men "/>
    <s v="Icelandic"/>
    <x v="35"/>
    <n v="10000000"/>
    <x v="17"/>
    <n v="6.9"/>
  </r>
  <r>
    <n v="135"/>
    <n v="128486"/>
    <s v="The Good, the Bad, the Weird "/>
    <s v="Korean"/>
    <x v="0"/>
    <n v="10000000"/>
    <x v="7"/>
    <n v="7.3"/>
  </r>
  <r>
    <n v="106"/>
    <n v="3571735"/>
    <s v="The Runaways "/>
    <s v="English"/>
    <x v="8"/>
    <n v="10000000"/>
    <x v="11"/>
    <n v="6.6"/>
  </r>
  <r>
    <n v="129"/>
    <n v="3205244"/>
    <s v="Another Year "/>
    <s v="English"/>
    <x v="9"/>
    <n v="10000000"/>
    <x v="11"/>
    <n v="7.3"/>
  </r>
  <r>
    <n v="90"/>
    <n v="882290"/>
    <s v="The Blood of Heroes "/>
    <s v="English"/>
    <x v="13"/>
    <n v="10000000"/>
    <x v="28"/>
    <n v="6.5"/>
  </r>
  <r>
    <n v="94"/>
    <n v="17544812"/>
    <s v="Hostel: Part II "/>
    <s v="English"/>
    <x v="8"/>
    <n v="10000000"/>
    <x v="9"/>
    <n v="5.4"/>
  </r>
  <r>
    <n v="95"/>
    <n v="306715"/>
    <s v="Chairman of the Board "/>
    <s v="English"/>
    <x v="8"/>
    <n v="10000000"/>
    <x v="6"/>
    <n v="2.2999999999999998"/>
  </r>
  <r>
    <n v="98"/>
    <n v="449558"/>
    <s v="The Damned United "/>
    <s v="English"/>
    <x v="9"/>
    <n v="10000000"/>
    <x v="13"/>
    <n v="7.6"/>
  </r>
  <r>
    <n v="94"/>
    <n v="56437947"/>
    <s v="The Queen "/>
    <s v="English"/>
    <x v="9"/>
    <n v="9800000"/>
    <x v="0"/>
    <n v="7.3"/>
  </r>
  <r>
    <n v="80"/>
    <n v="71442"/>
    <s v="Ernest &amp; Celestine "/>
    <s v="French"/>
    <x v="7"/>
    <n v="9600000"/>
    <x v="10"/>
    <n v="7.9"/>
  </r>
  <r>
    <n v="144"/>
    <n v="2483955"/>
    <s v="The Lost City "/>
    <s v="English"/>
    <x v="8"/>
    <n v="9600000"/>
    <x v="1"/>
    <n v="6.7"/>
  </r>
  <r>
    <n v="98"/>
    <n v="57176582"/>
    <s v="Next Friday "/>
    <s v="English"/>
    <x v="8"/>
    <n v="9500000"/>
    <x v="21"/>
    <n v="6.1"/>
  </r>
  <r>
    <n v="117"/>
    <n v="43100000"/>
    <s v="You Only Live Twice "/>
    <s v="English"/>
    <x v="9"/>
    <n v="9500000"/>
    <x v="47"/>
    <n v="6.9"/>
  </r>
  <r>
    <n v="106"/>
    <n v="58214"/>
    <s v="Trust "/>
    <s v="English"/>
    <x v="8"/>
    <n v="9500000"/>
    <x v="11"/>
    <n v="7"/>
  </r>
  <r>
    <n v="80"/>
    <n v="7002255"/>
    <s v="The Triplets of Belleville "/>
    <s v="French"/>
    <x v="7"/>
    <n v="9500000"/>
    <x v="18"/>
    <n v="7.8"/>
  </r>
  <r>
    <n v="197"/>
    <n v="46300000"/>
    <s v="It's a Mad, Mad, Mad, Mad World "/>
    <s v="English"/>
    <x v="8"/>
    <n v="9400000"/>
    <x v="38"/>
    <n v="7.6"/>
  </r>
  <r>
    <n v="172"/>
    <n v="2835886"/>
    <s v="The Great Beauty "/>
    <s v="Italian"/>
    <x v="16"/>
    <n v="9200000"/>
    <x v="17"/>
    <n v="7.7"/>
  </r>
  <r>
    <n v="87"/>
    <n v="8579684"/>
    <s v="Death at a Funeral "/>
    <s v="English"/>
    <x v="8"/>
    <n v="9000000"/>
    <x v="9"/>
    <n v="7.4"/>
  </r>
  <r>
    <n v="75"/>
    <n v="23078294"/>
    <s v="Stay Alive "/>
    <s v="English"/>
    <x v="8"/>
    <n v="9000000"/>
    <x v="0"/>
    <n v="5.0999999999999996"/>
  </r>
  <r>
    <n v="87"/>
    <n v="8579684"/>
    <s v="Death at a Funeral "/>
    <s v="English"/>
    <x v="8"/>
    <n v="9000000"/>
    <x v="9"/>
    <n v="7.4"/>
  </r>
  <r>
    <n v="118"/>
    <n v="18761993"/>
    <s v="The Upside of Anger "/>
    <s v="English"/>
    <x v="8"/>
    <n v="9000000"/>
    <x v="1"/>
    <n v="6.9"/>
  </r>
  <r>
    <n v="90"/>
    <n v="31487293"/>
    <s v="Nick and Norah's Infinite Playlist "/>
    <s v="English"/>
    <x v="8"/>
    <n v="9000000"/>
    <x v="7"/>
    <n v="6.7"/>
  </r>
  <r>
    <n v="93"/>
    <n v="17096053"/>
    <s v="Rushmore "/>
    <s v="English"/>
    <x v="8"/>
    <n v="9000000"/>
    <x v="6"/>
    <n v="7.7"/>
  </r>
  <r>
    <n v="121"/>
    <n v="21569041"/>
    <s v="Black or White "/>
    <s v="English"/>
    <x v="8"/>
    <n v="9000000"/>
    <x v="16"/>
    <n v="6.6"/>
  </r>
  <r>
    <n v="89"/>
    <n v="3193102"/>
    <s v="The Limey "/>
    <s v="English"/>
    <x v="8"/>
    <n v="9000000"/>
    <x v="5"/>
    <n v="7.1"/>
  </r>
  <r>
    <n v="181"/>
    <n v="50000000"/>
    <s v="Fiddler on the Roof "/>
    <s v="English"/>
    <x v="8"/>
    <n v="9000000"/>
    <x v="48"/>
    <n v="8"/>
  </r>
  <r>
    <n v="130"/>
    <n v="63600000"/>
    <s v="Thunderball "/>
    <s v="English"/>
    <x v="9"/>
    <n v="9000000"/>
    <x v="42"/>
    <n v="7"/>
  </r>
  <r>
    <n v="123"/>
    <n v="36049108"/>
    <s v="Set It Off "/>
    <s v="English"/>
    <x v="8"/>
    <n v="9000000"/>
    <x v="24"/>
    <n v="6.8"/>
  </r>
  <r>
    <n v="120"/>
    <n v="34074895"/>
    <s v="The Best Man "/>
    <s v="English"/>
    <x v="8"/>
    <n v="9000000"/>
    <x v="5"/>
    <n v="6.7"/>
  </r>
  <r>
    <n v="87"/>
    <n v="33244684"/>
    <s v="Child's Play "/>
    <s v="English"/>
    <x v="8"/>
    <n v="9000000"/>
    <x v="4"/>
    <n v="6.5"/>
  </r>
  <r>
    <n v="123"/>
    <n v="24530513"/>
    <s v="Sicko "/>
    <s v="English"/>
    <x v="8"/>
    <n v="9000000"/>
    <x v="9"/>
    <n v="8"/>
  </r>
  <r>
    <n v="103"/>
    <n v="71519230"/>
    <s v="The Purge: Anarchy "/>
    <s v="English"/>
    <x v="8"/>
    <n v="9000000"/>
    <x v="16"/>
    <n v="6.5"/>
  </r>
  <r>
    <n v="91"/>
    <n v="20035310"/>
    <s v="Down to You "/>
    <s v="English"/>
    <x v="8"/>
    <n v="9000000"/>
    <x v="21"/>
    <n v="4.9000000000000004"/>
  </r>
  <r>
    <n v="88"/>
    <n v="18225165"/>
    <s v="Harold &amp; Kumar Go to White Castle "/>
    <s v="English"/>
    <x v="8"/>
    <n v="9000000"/>
    <x v="3"/>
    <n v="7.1"/>
  </r>
  <r>
    <n v="94"/>
    <n v="16235293"/>
    <s v="Black Christmas "/>
    <s v="English"/>
    <x v="8"/>
    <n v="9000000"/>
    <x v="0"/>
    <n v="4.5"/>
  </r>
  <r>
    <n v="137"/>
    <n v="10161099"/>
    <s v="Henry V "/>
    <s v="English"/>
    <x v="9"/>
    <n v="9000000"/>
    <x v="28"/>
    <n v="7.7"/>
  </r>
  <r>
    <n v="99"/>
    <n v="4681503"/>
    <s v="Igby Goes Down "/>
    <s v="English"/>
    <x v="8"/>
    <n v="9000000"/>
    <x v="20"/>
    <n v="7"/>
  </r>
  <r>
    <n v="95"/>
    <n v="2955039"/>
    <s v="Gracie "/>
    <s v="English"/>
    <x v="8"/>
    <n v="9000000"/>
    <x v="9"/>
    <n v="6.2"/>
  </r>
  <r>
    <n v="103"/>
    <n v="1530535"/>
    <s v="Trust the Man "/>
    <s v="English"/>
    <x v="8"/>
    <n v="9000000"/>
    <x v="1"/>
    <n v="5.7"/>
  </r>
  <r>
    <n v="92"/>
    <n v="4881867"/>
    <s v="Hamlet 2 "/>
    <s v="English"/>
    <x v="8"/>
    <n v="9000000"/>
    <x v="7"/>
    <n v="6.4"/>
  </r>
  <r>
    <n v="84"/>
    <n v="11860839"/>
    <s v="Glee: The 3D Concert Movie "/>
    <s v="English"/>
    <x v="8"/>
    <n v="9000000"/>
    <x v="15"/>
    <n v="5.4"/>
  </r>
  <r>
    <n v="120"/>
    <n v="349618"/>
    <s v="Two Evil Eyes "/>
    <s v="English"/>
    <x v="16"/>
    <n v="9000000"/>
    <x v="25"/>
    <n v="6.1"/>
  </r>
  <r>
    <n v="121"/>
    <n v="112935"/>
    <s v="All or Nothing "/>
    <s v="English"/>
    <x v="9"/>
    <n v="9000000"/>
    <x v="20"/>
    <n v="7.6"/>
  </r>
  <r>
    <n v="97"/>
    <n v="883887"/>
    <s v="Princess Kaiulani "/>
    <s v="English"/>
    <x v="8"/>
    <n v="9000000"/>
    <x v="13"/>
    <n v="6.2"/>
  </r>
  <r>
    <n v="97"/>
    <n v="1046166"/>
    <s v="Undiscovered "/>
    <s v="English"/>
    <x v="12"/>
    <n v="9000000"/>
    <x v="1"/>
    <n v="4.2"/>
  </r>
  <r>
    <n v="96"/>
    <n v="162"/>
    <s v="Skin Trade "/>
    <s v="English"/>
    <x v="6"/>
    <n v="9000000"/>
    <x v="16"/>
    <n v="5.7"/>
  </r>
  <r>
    <n v="106"/>
    <n v="6262942"/>
    <s v="All Is Lost "/>
    <s v="English"/>
    <x v="8"/>
    <n v="9000000"/>
    <x v="17"/>
    <n v="6.9"/>
  </r>
  <r>
    <n v="119"/>
    <n v="25000000"/>
    <s v="Logan's Run "/>
    <s v="English"/>
    <x v="8"/>
    <n v="9000000"/>
    <x v="49"/>
    <n v="6.8"/>
  </r>
  <r>
    <n v="107"/>
    <n v="1000000"/>
    <s v="March or Die "/>
    <s v="English"/>
    <x v="9"/>
    <n v="9000000"/>
    <x v="40"/>
    <n v="6.3"/>
  </r>
  <r>
    <n v="99"/>
    <n v="11883495"/>
    <s v="Sliding Doors "/>
    <s v="English"/>
    <x v="9"/>
    <n v="9000000"/>
    <x v="6"/>
    <n v="6.8"/>
  </r>
  <r>
    <n v="96"/>
    <n v="27445"/>
    <s v="Salvation Boulevard "/>
    <s v="English"/>
    <x v="8"/>
    <n v="9000000"/>
    <x v="15"/>
    <n v="5.3"/>
  </r>
  <r>
    <n v="113"/>
    <n v="25530884"/>
    <s v="Memento "/>
    <s v="English"/>
    <x v="8"/>
    <n v="9000000"/>
    <x v="21"/>
    <n v="8.5"/>
  </r>
  <r>
    <n v="127"/>
    <n v="225377"/>
    <s v="Amour "/>
    <s v="French"/>
    <x v="7"/>
    <n v="8900000"/>
    <x v="10"/>
    <n v="7.9"/>
  </r>
  <r>
    <n v="93"/>
    <n v="174635000"/>
    <s v="Crocodile Dundee "/>
    <s v="English"/>
    <x v="13"/>
    <n v="8800000"/>
    <x v="34"/>
    <n v="6.5"/>
  </r>
  <r>
    <n v="100"/>
    <n v="5480996"/>
    <s v="A Scanner Darkly "/>
    <s v="English"/>
    <x v="8"/>
    <n v="8700000"/>
    <x v="0"/>
    <n v="7.1"/>
  </r>
  <r>
    <n v="84"/>
    <n v="14373825"/>
    <s v="Awake "/>
    <s v="English"/>
    <x v="8"/>
    <n v="8600000"/>
    <x v="9"/>
    <n v="6.5"/>
  </r>
  <r>
    <n v="119"/>
    <n v="4992159"/>
    <s v="Club Dread "/>
    <s v="English"/>
    <x v="8"/>
    <n v="8550000"/>
    <x v="3"/>
    <n v="5.6"/>
  </r>
  <r>
    <n v="93"/>
    <n v="15171475"/>
    <s v="Thinner "/>
    <s v="English"/>
    <x v="8"/>
    <n v="8500000"/>
    <x v="24"/>
    <n v="5.7"/>
  </r>
  <r>
    <n v="85"/>
    <n v="28563926"/>
    <s v="Swimfan "/>
    <s v="English"/>
    <x v="8"/>
    <n v="8500000"/>
    <x v="20"/>
    <n v="5"/>
  </r>
  <r>
    <n v="119"/>
    <n v="6047856"/>
    <s v="The Way of the Gun "/>
    <s v="English"/>
    <x v="8"/>
    <n v="8500000"/>
    <x v="21"/>
    <n v="6.7"/>
  </r>
  <r>
    <n v="125"/>
    <n v="29200000"/>
    <s v="The Rose "/>
    <s v="English"/>
    <x v="8"/>
    <n v="8500000"/>
    <x v="36"/>
    <n v="6.9"/>
  </r>
  <r>
    <n v="96"/>
    <n v="21564616"/>
    <s v="Baggage Claim "/>
    <s v="English"/>
    <x v="8"/>
    <n v="8500000"/>
    <x v="17"/>
    <n v="5"/>
  </r>
  <r>
    <n v="101"/>
    <n v="34017854"/>
    <s v="The DUFF "/>
    <s v="English"/>
    <x v="8"/>
    <n v="8500000"/>
    <x v="12"/>
    <n v="6.5"/>
  </r>
  <r>
    <n v="119"/>
    <n v="4440055"/>
    <s v="Bright Star "/>
    <s v="English"/>
    <x v="9"/>
    <n v="8500000"/>
    <x v="13"/>
    <n v="7"/>
  </r>
  <r>
    <n v="150"/>
    <n v="140244"/>
    <s v="Repo! The Genetic Opera "/>
    <s v="English"/>
    <x v="8"/>
    <n v="8500000"/>
    <x v="7"/>
    <n v="6.7"/>
  </r>
  <r>
    <n v="117"/>
    <n v="32279955"/>
    <s v="Nightcrawler "/>
    <s v="English"/>
    <x v="8"/>
    <n v="8500000"/>
    <x v="16"/>
    <n v="7.9"/>
  </r>
  <r>
    <n v="93"/>
    <n v="34872293"/>
    <s v="Freddy's Dead: The Final Nightmare "/>
    <s v="English"/>
    <x v="8"/>
    <n v="8500000"/>
    <x v="23"/>
    <n v="4.9000000000000004"/>
  </r>
  <r>
    <n v="95"/>
    <n v="131175"/>
    <s v="Maggie "/>
    <s v="English"/>
    <x v="8"/>
    <n v="8500000"/>
    <x v="12"/>
    <n v="5.6"/>
  </r>
  <r>
    <n v="91"/>
    <n v="1712111"/>
    <s v="The Vatican Tapes "/>
    <s v="English"/>
    <x v="8"/>
    <n v="8495000"/>
    <x v="12"/>
    <n v="4.5"/>
  </r>
  <r>
    <n v="103"/>
    <n v="5725"/>
    <s v="Anatomy "/>
    <s v="German"/>
    <x v="12"/>
    <n v="8400000"/>
    <x v="21"/>
    <n v="6.1"/>
  </r>
  <r>
    <n v="107"/>
    <n v="80000000"/>
    <s v="Footloose "/>
    <s v="English"/>
    <x v="8"/>
    <n v="8200000"/>
    <x v="29"/>
    <n v="6.5"/>
  </r>
  <r>
    <n v="150"/>
    <n v="3958500"/>
    <s v="Mr. Turner "/>
    <s v="English"/>
    <x v="9"/>
    <n v="8200000"/>
    <x v="16"/>
    <n v="6.8"/>
  </r>
  <r>
    <n v="84"/>
    <n v="27979400"/>
    <s v="Loaded Weapon 1 "/>
    <s v="English"/>
    <x v="8"/>
    <n v="8200000"/>
    <x v="27"/>
    <n v="6.1"/>
  </r>
  <r>
    <n v="107"/>
    <n v="80000000"/>
    <s v="Footloose "/>
    <s v="English"/>
    <x v="8"/>
    <n v="8200000"/>
    <x v="29"/>
    <n v="6.5"/>
  </r>
  <r>
    <n v="174"/>
    <n v="163214286"/>
    <s v="The Sound of Music "/>
    <s v="English"/>
    <x v="8"/>
    <n v="8200000"/>
    <x v="42"/>
    <n v="8"/>
  </r>
  <r>
    <n v="126"/>
    <n v="90800000"/>
    <s v="The Karate Kid "/>
    <s v="English"/>
    <x v="8"/>
    <n v="8000000"/>
    <x v="29"/>
    <n v="7.2"/>
  </r>
  <r>
    <n v="93"/>
    <n v="17427926"/>
    <s v="The Ruins "/>
    <s v="English"/>
    <x v="8"/>
    <n v="8000000"/>
    <x v="7"/>
    <n v="5.9"/>
  </r>
  <r>
    <n v="121"/>
    <n v="23618786"/>
    <s v="Hot Fuzz "/>
    <s v="English"/>
    <x v="9"/>
    <n v="8000000"/>
    <x v="9"/>
    <n v="7.9"/>
  </r>
  <r>
    <n v="132"/>
    <n v="204565000"/>
    <s v="The Exorcist "/>
    <s v="English"/>
    <x v="8"/>
    <n v="8000000"/>
    <x v="50"/>
    <n v="8"/>
  </r>
  <r>
    <n v="130"/>
    <n v="260000000"/>
    <s v="Jaws "/>
    <s v="English"/>
    <x v="8"/>
    <n v="8000000"/>
    <x v="51"/>
    <n v="8"/>
  </r>
  <r>
    <n v="95"/>
    <n v="6739141"/>
    <s v="Fortress "/>
    <s v="English"/>
    <x v="13"/>
    <n v="8000000"/>
    <x v="26"/>
    <n v="5.9"/>
  </r>
  <r>
    <n v="90"/>
    <n v="303439"/>
    <s v="The Life Before Her Eyes "/>
    <s v="English"/>
    <x v="8"/>
    <n v="8000000"/>
    <x v="9"/>
    <n v="6.4"/>
  </r>
  <r>
    <n v="98"/>
    <n v="1641788"/>
    <s v="Spider "/>
    <s v="English"/>
    <x v="11"/>
    <n v="8000000"/>
    <x v="20"/>
    <n v="6.8"/>
  </r>
  <r>
    <n v="90"/>
    <n v="100503"/>
    <s v="The Good Guy "/>
    <s v="English"/>
    <x v="8"/>
    <n v="8000000"/>
    <x v="13"/>
    <n v="5.9"/>
  </r>
  <r>
    <n v="120"/>
    <n v="16938179"/>
    <s v="Boiler Room "/>
    <s v="English"/>
    <x v="8"/>
    <n v="8000000"/>
    <x v="21"/>
    <n v="7"/>
  </r>
  <r>
    <n v="79"/>
    <n v="4350774"/>
    <s v="PCU "/>
    <s v="English"/>
    <x v="8"/>
    <n v="8000000"/>
    <x v="22"/>
    <n v="6.5"/>
  </r>
  <r>
    <n v="103"/>
    <n v="14879556"/>
    <s v="Election "/>
    <s v="English"/>
    <x v="8"/>
    <n v="8000000"/>
    <x v="5"/>
    <n v="7.3"/>
  </r>
  <r>
    <n v="126"/>
    <n v="1997807"/>
    <s v="Limbo "/>
    <s v="English"/>
    <x v="8"/>
    <n v="8000000"/>
    <x v="5"/>
    <n v="7.1"/>
  </r>
  <r>
    <n v="126"/>
    <n v="90800000"/>
    <s v="The Karate Kid "/>
    <s v="English"/>
    <x v="8"/>
    <n v="8000000"/>
    <x v="29"/>
    <n v="7.2"/>
  </r>
  <r>
    <n v="178"/>
    <n v="107930000"/>
    <s v="Pulp Fiction "/>
    <s v="English"/>
    <x v="8"/>
    <n v="8000000"/>
    <x v="22"/>
    <n v="8.9"/>
  </r>
  <r>
    <n v="111"/>
    <n v="69800000"/>
    <s v="Splash "/>
    <s v="English"/>
    <x v="8"/>
    <n v="8000000"/>
    <x v="29"/>
    <n v="6.2"/>
  </r>
  <r>
    <n v="101"/>
    <n v="59889948"/>
    <s v="Little Miss Sunshine "/>
    <s v="English"/>
    <x v="8"/>
    <n v="8000000"/>
    <x v="0"/>
    <n v="7.9"/>
  </r>
  <r>
    <n v="89"/>
    <n v="52287414"/>
    <s v="Stand by Me "/>
    <s v="English"/>
    <x v="8"/>
    <n v="8000000"/>
    <x v="34"/>
    <n v="8.1"/>
  </r>
  <r>
    <n v="113"/>
    <n v="45063889"/>
    <s v="28 Days Later... "/>
    <s v="English"/>
    <x v="9"/>
    <n v="8000000"/>
    <x v="20"/>
    <n v="7.6"/>
  </r>
  <r>
    <n v="95"/>
    <n v="40066497"/>
    <s v="You Got Served "/>
    <s v="English"/>
    <x v="8"/>
    <n v="8000000"/>
    <x v="3"/>
    <n v="3.5"/>
  </r>
  <r>
    <n v="112"/>
    <n v="36500000"/>
    <s v="Escape from Alcatraz "/>
    <s v="English"/>
    <x v="8"/>
    <n v="8000000"/>
    <x v="36"/>
    <n v="7.6"/>
  </r>
  <r>
    <n v="109"/>
    <n v="27362712"/>
    <s v="Brown Sugar "/>
    <s v="English"/>
    <x v="8"/>
    <n v="8000000"/>
    <x v="20"/>
    <n v="6.5"/>
  </r>
  <r>
    <n v="108"/>
    <n v="34746109"/>
    <s v="A Thin Line Between Love and Hate "/>
    <s v="English"/>
    <x v="8"/>
    <n v="8000000"/>
    <x v="24"/>
    <n v="5.6"/>
  </r>
  <r>
    <n v="100"/>
    <n v="34963967"/>
    <s v="50/50 "/>
    <s v="English"/>
    <x v="8"/>
    <n v="8000000"/>
    <x v="15"/>
    <n v="7.7"/>
  </r>
  <r>
    <n v="90"/>
    <n v="25926543"/>
    <s v="Shutter "/>
    <s v="English"/>
    <x v="8"/>
    <n v="8000000"/>
    <x v="7"/>
    <n v="5.2"/>
  </r>
  <r>
    <n v="94"/>
    <n v="26049082"/>
    <s v="That Awkward Moment "/>
    <s v="English"/>
    <x v="8"/>
    <n v="8000000"/>
    <x v="16"/>
    <n v="6.1"/>
  </r>
  <r>
    <n v="111"/>
    <n v="22551000"/>
    <s v="Much Ado About Nothing "/>
    <s v="English"/>
    <x v="9"/>
    <n v="8000000"/>
    <x v="27"/>
    <n v="7.4"/>
  </r>
  <r>
    <n v="107"/>
    <n v="18090181"/>
    <s v="New Nightmare "/>
    <s v="English"/>
    <x v="8"/>
    <n v="8000000"/>
    <x v="22"/>
    <n v="6.4"/>
  </r>
  <r>
    <n v="91"/>
    <n v="17843379"/>
    <s v="Drive Me Crazy "/>
    <s v="English"/>
    <x v="8"/>
    <n v="8000000"/>
    <x v="5"/>
    <n v="5.7"/>
  </r>
  <r>
    <n v="82"/>
    <n v="17278980"/>
    <s v="Half Baked "/>
    <s v="English"/>
    <x v="8"/>
    <n v="8000000"/>
    <x v="6"/>
    <n v="6.7"/>
  </r>
  <r>
    <n v="97"/>
    <n v="16699684"/>
    <s v="New in Town "/>
    <s v="English"/>
    <x v="8"/>
    <n v="8000000"/>
    <x v="13"/>
    <n v="5.6"/>
  </r>
  <r>
    <n v="138"/>
    <n v="10269307"/>
    <s v="The Boondock Saints II: All Saints Day "/>
    <s v="English"/>
    <x v="8"/>
    <n v="8000000"/>
    <x v="13"/>
    <n v="6.3"/>
  </r>
  <r>
    <n v="93"/>
    <n v="17536788"/>
    <s v="Enough Said "/>
    <s v="English"/>
    <x v="8"/>
    <n v="8000000"/>
    <x v="17"/>
    <n v="7.1"/>
  </r>
  <r>
    <n v="92"/>
    <n v="58401464"/>
    <s v="Easy A "/>
    <s v="English"/>
    <x v="8"/>
    <n v="8000000"/>
    <x v="11"/>
    <n v="7.1"/>
  </r>
  <r>
    <n v="92"/>
    <n v="8279017"/>
    <s v="Shadow of the Vampire "/>
    <s v="English"/>
    <x v="9"/>
    <n v="8000000"/>
    <x v="21"/>
    <n v="6.9"/>
  </r>
  <r>
    <n v="104"/>
    <n v="10106233"/>
    <s v="Prom "/>
    <s v="English"/>
    <x v="8"/>
    <n v="8000000"/>
    <x v="15"/>
    <n v="5.4"/>
  </r>
  <r>
    <n v="89"/>
    <n v="4692814"/>
    <s v="Held Up "/>
    <s v="English"/>
    <x v="8"/>
    <n v="8000000"/>
    <x v="5"/>
    <n v="5.0999999999999996"/>
  </r>
  <r>
    <n v="92"/>
    <n v="5018450"/>
    <s v="Woman on Top "/>
    <s v="English"/>
    <x v="8"/>
    <n v="8000000"/>
    <x v="21"/>
    <n v="5.3"/>
  </r>
  <r>
    <n v="90"/>
    <n v="3442820"/>
    <s v="Anomalisa "/>
    <s v="English"/>
    <x v="8"/>
    <n v="8000000"/>
    <x v="12"/>
    <n v="7.3"/>
  </r>
  <r>
    <n v="111"/>
    <n v="3076425"/>
    <s v="8 Women "/>
    <s v="French"/>
    <x v="7"/>
    <n v="8000000"/>
    <x v="20"/>
    <n v="7.1"/>
  </r>
  <r>
    <n v="79"/>
    <n v="2275557"/>
    <s v="Showdown in Little Tokyo "/>
    <s v="English"/>
    <x v="8"/>
    <n v="8000000"/>
    <x v="23"/>
    <n v="6"/>
  </r>
  <r>
    <n v="104"/>
    <n v="1789892"/>
    <s v="Clay Pigeons "/>
    <s v="English"/>
    <x v="12"/>
    <n v="8000000"/>
    <x v="6"/>
    <n v="6.6"/>
  </r>
  <r>
    <n v="101"/>
    <n v="6350058"/>
    <s v="It's Kind of a Funny Story "/>
    <s v="English"/>
    <x v="8"/>
    <n v="8000000"/>
    <x v="11"/>
    <n v="7.2"/>
  </r>
  <r>
    <n v="92"/>
    <n v="1071240"/>
    <s v="When Did You Last See Your Father? "/>
    <s v="English"/>
    <x v="9"/>
    <n v="8000000"/>
    <x v="9"/>
    <n v="6.9"/>
  </r>
  <r>
    <n v="106"/>
    <n v="532190"/>
    <s v="Prefontaine "/>
    <s v="English"/>
    <x v="8"/>
    <n v="8000000"/>
    <x v="2"/>
    <n v="6.8"/>
  </r>
  <r>
    <n v="104"/>
    <n v="16168741"/>
    <s v="Begin Again "/>
    <s v="English"/>
    <x v="8"/>
    <n v="8000000"/>
    <x v="17"/>
    <n v="7.4"/>
  </r>
  <r>
    <n v="108"/>
    <n v="568695"/>
    <s v="Down in the Valley "/>
    <s v="English"/>
    <x v="8"/>
    <n v="8000000"/>
    <x v="1"/>
    <n v="6.5"/>
  </r>
  <r>
    <n v="99"/>
    <n v="398420"/>
    <s v="Brooklyn Rules "/>
    <s v="English"/>
    <x v="8"/>
    <n v="8000000"/>
    <x v="9"/>
    <n v="6.4"/>
  </r>
  <r>
    <n v="109"/>
    <n v="336456"/>
    <s v="The Singing Detective "/>
    <s v="English"/>
    <x v="8"/>
    <n v="8000000"/>
    <x v="18"/>
    <n v="5.6"/>
  </r>
  <r>
    <n v="93"/>
    <n v="298110"/>
    <s v="Fido "/>
    <s v="English"/>
    <x v="11"/>
    <n v="8000000"/>
    <x v="0"/>
    <n v="6.8"/>
  </r>
  <r>
    <n v="99"/>
    <n v="127144"/>
    <s v="The Wendell Baker Story "/>
    <s v="English"/>
    <x v="8"/>
    <n v="8000000"/>
    <x v="1"/>
    <n v="5.5"/>
  </r>
  <r>
    <n v="98"/>
    <n v="117190"/>
    <s v="Wild Target "/>
    <s v="English"/>
    <x v="9"/>
    <n v="8000000"/>
    <x v="11"/>
    <n v="6.9"/>
  </r>
  <r>
    <n v="95"/>
    <n v="108662"/>
    <s v="Pathology "/>
    <s v="English"/>
    <x v="8"/>
    <n v="8000000"/>
    <x v="7"/>
    <n v="6"/>
  </r>
  <r>
    <n v="107"/>
    <n v="53481"/>
    <s v="10th &amp; Wolf "/>
    <s v="English"/>
    <x v="8"/>
    <n v="8000000"/>
    <x v="0"/>
    <n v="6.4"/>
  </r>
  <r>
    <n v="97"/>
    <n v="52961"/>
    <s v="Aloft "/>
    <s v="English"/>
    <x v="4"/>
    <n v="8000000"/>
    <x v="16"/>
    <n v="5.3"/>
  </r>
  <r>
    <n v="92"/>
    <n v="10814185"/>
    <s v="Extract "/>
    <s v="English"/>
    <x v="8"/>
    <n v="8000000"/>
    <x v="13"/>
    <n v="6.2"/>
  </r>
  <r>
    <n v="113"/>
    <n v="3014541"/>
    <s v="Albert Nobbs "/>
    <s v="English"/>
    <x v="9"/>
    <n v="8000000"/>
    <x v="15"/>
    <n v="6.7"/>
  </r>
  <r>
    <n v="89"/>
    <n v="22168359"/>
    <s v="A Nightmare on Elm Street 5: The Dream Child "/>
    <s v="English"/>
    <x v="8"/>
    <n v="8000000"/>
    <x v="28"/>
    <n v="5.0999999999999996"/>
  </r>
  <r>
    <n v="144"/>
    <n v="20400000"/>
    <s v="Duel in the Sun "/>
    <s v="English"/>
    <x v="8"/>
    <n v="8000000"/>
    <x v="52"/>
    <n v="6.9"/>
  </r>
  <r>
    <n v="91"/>
    <n v="12055108"/>
    <s v="Sunshine Cleaning "/>
    <s v="English"/>
    <x v="8"/>
    <n v="8000000"/>
    <x v="7"/>
    <n v="6.9"/>
  </r>
  <r>
    <n v="99"/>
    <n v="10572742"/>
    <s v="Not Easily Broken "/>
    <s v="English"/>
    <x v="8"/>
    <n v="8000000"/>
    <x v="13"/>
    <n v="6.1"/>
  </r>
  <r>
    <n v="96"/>
    <n v="3713002"/>
    <s v="The Real Cancun "/>
    <s v="English"/>
    <x v="8"/>
    <n v="8000000"/>
    <x v="18"/>
    <n v="2.7"/>
  </r>
  <r>
    <n v="80"/>
    <n v="77413017"/>
    <s v="March of the Penguins "/>
    <s v="French"/>
    <x v="7"/>
    <n v="8000000"/>
    <x v="1"/>
    <n v="7.6"/>
  </r>
  <r>
    <n v="116"/>
    <n v="22201636"/>
    <s v="Hustle &amp; Flow "/>
    <s v="English"/>
    <x v="8"/>
    <n v="8000000"/>
    <x v="1"/>
    <n v="7.4"/>
  </r>
  <r>
    <n v="98"/>
    <n v="16115878"/>
    <s v="The Prophecy "/>
    <s v="English"/>
    <x v="8"/>
    <n v="8000000"/>
    <x v="19"/>
    <n v="6.6"/>
  </r>
  <r>
    <n v="90"/>
    <n v="671240"/>
    <s v="Imagine Me &amp; You "/>
    <s v="English"/>
    <x v="9"/>
    <n v="7900000"/>
    <x v="1"/>
    <n v="6.9"/>
  </r>
  <r>
    <n v="101"/>
    <n v="6712241"/>
    <s v="American History X "/>
    <s v="English"/>
    <x v="8"/>
    <n v="7500000"/>
    <x v="6"/>
    <n v="8.6"/>
  </r>
  <r>
    <n v="99"/>
    <n v="106593296"/>
    <s v="Driving Miss Daisy "/>
    <s v="English"/>
    <x v="8"/>
    <n v="7500000"/>
    <x v="28"/>
    <n v="7.4"/>
  </r>
  <r>
    <n v="115"/>
    <n v="43490057"/>
    <s v="Soul Food "/>
    <s v="English"/>
    <x v="8"/>
    <n v="7500000"/>
    <x v="2"/>
    <n v="6.9"/>
  </r>
  <r>
    <n v="89"/>
    <n v="32333860"/>
    <s v="Rumble in the Bronx "/>
    <s v="Cantonese"/>
    <x v="15"/>
    <n v="7500000"/>
    <x v="19"/>
    <n v="6.7"/>
  </r>
  <r>
    <n v="109"/>
    <n v="5100000"/>
    <s v="The Hotel New Hampshire "/>
    <s v="English"/>
    <x v="9"/>
    <n v="7500000"/>
    <x v="29"/>
    <n v="6"/>
  </r>
  <r>
    <n v="105"/>
    <n v="10460089"/>
    <s v="Narc "/>
    <s v="English"/>
    <x v="8"/>
    <n v="7500000"/>
    <x v="20"/>
    <n v="7.2"/>
  </r>
  <r>
    <n v="102"/>
    <n v="4239767"/>
    <s v="Men with Brooms "/>
    <s v="English"/>
    <x v="11"/>
    <n v="7500000"/>
    <x v="20"/>
    <n v="6"/>
  </r>
  <r>
    <n v="97"/>
    <n v="4131640"/>
    <s v="Witless Protection "/>
    <s v="English"/>
    <x v="8"/>
    <n v="7500000"/>
    <x v="7"/>
    <n v="3.1"/>
  </r>
  <r>
    <n v="93"/>
    <n v="197148"/>
    <s v="Code 46 "/>
    <s v="English"/>
    <x v="9"/>
    <n v="7500000"/>
    <x v="18"/>
    <n v="6.3"/>
  </r>
  <r>
    <n v="100"/>
    <n v="12610552"/>
    <s v="The Omega Code "/>
    <s v="English"/>
    <x v="8"/>
    <n v="7500000"/>
    <x v="5"/>
    <n v="3.5"/>
  </r>
  <r>
    <n v="96"/>
    <n v="143492840"/>
    <s v="Juno "/>
    <s v="English"/>
    <x v="8"/>
    <n v="7500000"/>
    <x v="9"/>
    <n v="7.5"/>
  </r>
  <r>
    <n v="95"/>
    <n v="32391374"/>
    <s v="500 Days of Summer "/>
    <s v="English"/>
    <x v="8"/>
    <n v="7500000"/>
    <x v="13"/>
    <n v="7.7"/>
  </r>
  <r>
    <n v="93"/>
    <n v="31501218"/>
    <s v="Good Night, and Good Luck. "/>
    <s v="English"/>
    <x v="8"/>
    <n v="7500000"/>
    <x v="1"/>
    <n v="7.5"/>
  </r>
  <r>
    <n v="100"/>
    <n v="9176553"/>
    <s v="Get Low "/>
    <s v="English"/>
    <x v="8"/>
    <n v="7500000"/>
    <x v="13"/>
    <n v="7.1"/>
  </r>
  <r>
    <n v="96"/>
    <n v="143492840"/>
    <s v="Juno "/>
    <s v="English"/>
    <x v="8"/>
    <n v="7500000"/>
    <x v="9"/>
    <n v="7.5"/>
  </r>
  <r>
    <n v="130"/>
    <n v="3029870"/>
    <s v="Melancholia "/>
    <s v="English"/>
    <x v="18"/>
    <n v="7400000"/>
    <x v="15"/>
    <n v="7.1"/>
  </r>
  <r>
    <n v="89"/>
    <n v="4443403"/>
    <s v="Persepolis "/>
    <s v="French"/>
    <x v="7"/>
    <n v="7300000"/>
    <x v="9"/>
    <n v="8"/>
  </r>
  <r>
    <n v="97"/>
    <n v="1818681"/>
    <s v="Harry Brown "/>
    <s v="English"/>
    <x v="9"/>
    <n v="7300000"/>
    <x v="13"/>
    <n v="7.2"/>
  </r>
  <r>
    <n v="176"/>
    <n v="3047539"/>
    <s v="Jab Tak Hai Jaan "/>
    <s v="Hindi"/>
    <x v="3"/>
    <n v="7217600"/>
    <x v="10"/>
    <n v="6.9"/>
  </r>
  <r>
    <n v="113"/>
    <n v="1094798"/>
    <s v="Made in Dagenham "/>
    <s v="English"/>
    <x v="9"/>
    <n v="7200000"/>
    <x v="11"/>
    <n v="7.2"/>
  </r>
  <r>
    <n v="120"/>
    <n v="43800000"/>
    <s v="Diamonds Are Forever "/>
    <s v="English"/>
    <x v="9"/>
    <n v="7200000"/>
    <x v="48"/>
    <n v="6.7"/>
  </r>
  <r>
    <n v="109"/>
    <n v="40983001"/>
    <s v="End of Watch "/>
    <s v="English"/>
    <x v="8"/>
    <n v="7000000"/>
    <x v="10"/>
    <n v="7.7"/>
  </r>
  <r>
    <n v="115"/>
    <n v="529766"/>
    <s v="Things to Do in Denver When You're Dead "/>
    <s v="English"/>
    <x v="8"/>
    <n v="7000000"/>
    <x v="19"/>
    <n v="6.8"/>
  </r>
  <r>
    <n v="99"/>
    <n v="49369900"/>
    <s v="A Nightmare on Elm Street 4: The Dream Master "/>
    <s v="English"/>
    <x v="8"/>
    <n v="7000000"/>
    <x v="4"/>
    <n v="5.7"/>
  </r>
  <r>
    <n v="98"/>
    <n v="23838"/>
    <s v="The Last Days on Mars "/>
    <s v="English"/>
    <x v="9"/>
    <n v="7000000"/>
    <x v="17"/>
    <n v="5.5"/>
  </r>
  <r>
    <n v="112"/>
    <n v="39462438"/>
    <s v="Crazy Heart "/>
    <s v="English"/>
    <x v="8"/>
    <n v="7000000"/>
    <x v="13"/>
    <n v="7.3"/>
  </r>
  <r>
    <n v="142"/>
    <n v="22800000"/>
    <s v="On Her Majesty's Secret Service "/>
    <s v="English"/>
    <x v="9"/>
    <n v="7000000"/>
    <x v="53"/>
    <n v="6.8"/>
  </r>
  <r>
    <n v="102"/>
    <n v="15047419"/>
    <s v="American Psycho "/>
    <s v="English"/>
    <x v="8"/>
    <n v="7000000"/>
    <x v="21"/>
    <n v="7.6"/>
  </r>
  <r>
    <n v="118"/>
    <n v="1330827"/>
    <s v="The Neon Demon "/>
    <s v="English"/>
    <x v="7"/>
    <n v="7000000"/>
    <x v="14"/>
    <n v="7"/>
  </r>
  <r>
    <n v="121"/>
    <n v="40158000"/>
    <s v="The Piano "/>
    <s v="English"/>
    <x v="10"/>
    <n v="7000000"/>
    <x v="27"/>
    <n v="7.6"/>
  </r>
  <r>
    <n v="110"/>
    <n v="113709992"/>
    <s v="Magic Mike "/>
    <s v="English"/>
    <x v="8"/>
    <n v="7000000"/>
    <x v="10"/>
    <n v="6.1"/>
  </r>
  <r>
    <n v="121"/>
    <n v="35400000"/>
    <s v="Live and Let Die "/>
    <s v="English"/>
    <x v="9"/>
    <n v="7000000"/>
    <x v="50"/>
    <n v="6.8"/>
  </r>
  <r>
    <n v="110"/>
    <n v="28747570"/>
    <s v="Capote "/>
    <s v="English"/>
    <x v="11"/>
    <n v="7000000"/>
    <x v="1"/>
    <n v="7.4"/>
  </r>
  <r>
    <n v="104"/>
    <n v="25625110"/>
    <s v="Desperado "/>
    <s v="English"/>
    <x v="8"/>
    <n v="7000000"/>
    <x v="19"/>
    <n v="7.2"/>
  </r>
  <r>
    <n v="96"/>
    <n v="20257000"/>
    <s v="Action Jackson "/>
    <s v="English"/>
    <x v="8"/>
    <n v="7000000"/>
    <x v="4"/>
    <n v="5.2"/>
  </r>
  <r>
    <n v="89"/>
    <n v="15818967"/>
    <s v="Devil's Due "/>
    <s v="English"/>
    <x v="8"/>
    <n v="7000000"/>
    <x v="16"/>
    <n v="4"/>
  </r>
  <r>
    <n v="92"/>
    <n v="14891000"/>
    <s v="Flirting with Disaster "/>
    <s v="English"/>
    <x v="8"/>
    <n v="7000000"/>
    <x v="24"/>
    <n v="6.8"/>
  </r>
  <r>
    <n v="109"/>
    <n v="16901126"/>
    <s v="The Devil's Rejects "/>
    <s v="English"/>
    <x v="8"/>
    <n v="7000000"/>
    <x v="1"/>
    <n v="6.9"/>
  </r>
  <r>
    <n v="103"/>
    <n v="17474107"/>
    <s v="Dope "/>
    <s v="English"/>
    <x v="8"/>
    <n v="7000000"/>
    <x v="12"/>
    <n v="7.3"/>
  </r>
  <r>
    <n v="95"/>
    <n v="14003141"/>
    <s v="In Too Deep "/>
    <s v="English"/>
    <x v="8"/>
    <n v="7000000"/>
    <x v="5"/>
    <n v="6.1"/>
  </r>
  <r>
    <n v="105"/>
    <n v="12583510"/>
    <s v="House of 1000 Corpses "/>
    <s v="English"/>
    <x v="8"/>
    <n v="7000000"/>
    <x v="18"/>
    <n v="6"/>
  </r>
  <r>
    <n v="106"/>
    <n v="9190525"/>
    <s v="A Serious Man "/>
    <s v="English"/>
    <x v="8"/>
    <n v="7000000"/>
    <x v="13"/>
    <n v="7"/>
  </r>
  <r>
    <n v="103"/>
    <n v="9094451"/>
    <s v="Warlock "/>
    <s v="English"/>
    <x v="8"/>
    <n v="7000000"/>
    <x v="28"/>
    <n v="6.2"/>
  </r>
  <r>
    <n v="99"/>
    <n v="9166863"/>
    <s v="A Single Man "/>
    <s v="English"/>
    <x v="8"/>
    <n v="7000000"/>
    <x v="13"/>
    <n v="7.6"/>
  </r>
  <r>
    <n v="164"/>
    <n v="8373585"/>
    <s v="The Last Temptation of Christ "/>
    <s v="English"/>
    <x v="8"/>
    <n v="7000000"/>
    <x v="4"/>
    <n v="7.6"/>
  </r>
  <r>
    <n v="96"/>
    <n v="7292175"/>
    <s v="Outside Providence "/>
    <s v="English"/>
    <x v="8"/>
    <n v="7000000"/>
    <x v="5"/>
    <n v="6.4"/>
  </r>
  <r>
    <n v="122"/>
    <n v="6601079"/>
    <s v="Bride &amp; Prejudice "/>
    <s v="English"/>
    <x v="9"/>
    <n v="7000000"/>
    <x v="3"/>
    <n v="6.2"/>
  </r>
  <r>
    <n v="93"/>
    <n v="5694308"/>
    <s v="Who's Your Caddy? "/>
    <s v="English"/>
    <x v="8"/>
    <n v="7000000"/>
    <x v="9"/>
    <n v="2"/>
  </r>
  <r>
    <n v="96"/>
    <n v="5430822"/>
    <s v="Split Second "/>
    <s v="English"/>
    <x v="9"/>
    <n v="7000000"/>
    <x v="26"/>
    <n v="6.2"/>
  </r>
  <r>
    <n v="113"/>
    <n v="4720371"/>
    <s v="The Other Side of Heaven "/>
    <s v="English"/>
    <x v="8"/>
    <n v="7000000"/>
    <x v="8"/>
    <n v="6.5"/>
  </r>
  <r>
    <n v="192"/>
    <n v="2921738"/>
    <s v="Veer-Zaara "/>
    <s v="Hindi"/>
    <x v="3"/>
    <n v="7000000"/>
    <x v="3"/>
    <n v="7.9"/>
  </r>
  <r>
    <n v="99"/>
    <n v="2344847"/>
    <s v="Redbelt "/>
    <s v="English"/>
    <x v="8"/>
    <n v="7000000"/>
    <x v="7"/>
    <n v="6.8"/>
  </r>
  <r>
    <n v="91"/>
    <n v="7455447"/>
    <s v="Cyrus "/>
    <s v="English"/>
    <x v="8"/>
    <n v="7000000"/>
    <x v="11"/>
    <n v="6.3"/>
  </r>
  <r>
    <n v="100"/>
    <n v="2148212"/>
    <s v="A Dog of Flanders "/>
    <s v="English"/>
    <x v="8"/>
    <n v="7000000"/>
    <x v="5"/>
    <n v="6.3"/>
  </r>
  <r>
    <n v="105"/>
    <n v="2062066"/>
    <s v="Auto Focus "/>
    <s v="English"/>
    <x v="8"/>
    <n v="7000000"/>
    <x v="20"/>
    <n v="6.6"/>
  </r>
  <r>
    <n v="99"/>
    <n v="1654367"/>
    <s v="Factory Girl "/>
    <s v="English"/>
    <x v="8"/>
    <n v="7000000"/>
    <x v="0"/>
    <n v="6.4"/>
  </r>
  <r>
    <n v="112"/>
    <n v="1738692"/>
    <s v="We Need to Talk About Kevin "/>
    <s v="English"/>
    <x v="9"/>
    <n v="7000000"/>
    <x v="15"/>
    <n v="7.5"/>
  </r>
  <r>
    <n v="99"/>
    <n v="1889522"/>
    <s v="The Mighty Macs "/>
    <s v="English"/>
    <x v="8"/>
    <n v="7000000"/>
    <x v="13"/>
    <n v="6.5"/>
  </r>
  <r>
    <n v="97"/>
    <n v="1768416"/>
    <s v="Somewhere "/>
    <s v="English"/>
    <x v="8"/>
    <n v="7000000"/>
    <x v="11"/>
    <n v="6.3"/>
  </r>
  <r>
    <n v="106"/>
    <n v="382946"/>
    <s v="Hesher "/>
    <s v="English"/>
    <x v="8"/>
    <n v="7000000"/>
    <x v="11"/>
    <n v="7.1"/>
  </r>
  <r>
    <n v="96"/>
    <n v="196067"/>
    <s v="The Heart of Me "/>
    <s v="English"/>
    <x v="9"/>
    <n v="7000000"/>
    <x v="20"/>
    <n v="6.7"/>
  </r>
  <r>
    <n v="103"/>
    <n v="532988"/>
    <s v="Freeheld "/>
    <s v="English"/>
    <x v="8"/>
    <n v="7000000"/>
    <x v="12"/>
    <n v="6.5"/>
  </r>
  <r>
    <n v="108"/>
    <n v="453079"/>
    <s v="The Extra Man "/>
    <s v="English"/>
    <x v="8"/>
    <n v="7000000"/>
    <x v="11"/>
    <n v="5.9"/>
  </r>
  <r>
    <n v="118"/>
    <n v="46451"/>
    <s v="Ca$h "/>
    <s v="English"/>
    <x v="8"/>
    <n v="7000000"/>
    <x v="11"/>
    <n v="6"/>
  </r>
  <r>
    <n v="97"/>
    <n v="233103"/>
    <s v="Wah-Wah "/>
    <s v="English"/>
    <x v="9"/>
    <n v="7000000"/>
    <x v="1"/>
    <n v="6.9"/>
  </r>
  <r>
    <n v="141"/>
    <n v="6173485"/>
    <s v="Nowhere in Africa "/>
    <s v="English"/>
    <x v="12"/>
    <n v="7000000"/>
    <x v="8"/>
    <n v="7.7"/>
  </r>
  <r>
    <n v="111"/>
    <n v="6200756"/>
    <s v="Ghost World "/>
    <s v="English"/>
    <x v="8"/>
    <n v="7000000"/>
    <x v="8"/>
    <n v="7.4"/>
  </r>
  <r>
    <n v="91"/>
    <n v="1040879"/>
    <s v="Bottle Rocket "/>
    <s v="English"/>
    <x v="8"/>
    <n v="7000000"/>
    <x v="24"/>
    <n v="7.1"/>
  </r>
  <r>
    <n v="114"/>
    <n v="13876974"/>
    <s v="Monsoon Wedding "/>
    <s v="Hindi"/>
    <x v="3"/>
    <n v="7000000"/>
    <x v="8"/>
    <n v="7.4"/>
  </r>
  <r>
    <n v="115"/>
    <n v="41400000"/>
    <s v="Pale Rider "/>
    <s v="English"/>
    <x v="8"/>
    <n v="6900000"/>
    <x v="33"/>
    <n v="7.3"/>
  </r>
  <r>
    <n v="102"/>
    <n v="7993039"/>
    <s v="Dazed and Confused "/>
    <s v="English"/>
    <x v="8"/>
    <n v="6900000"/>
    <x v="27"/>
    <n v="7.7"/>
  </r>
  <r>
    <n v="101"/>
    <n v="31607598"/>
    <s v="House at the End of the Street "/>
    <s v="English"/>
    <x v="11"/>
    <n v="6900000"/>
    <x v="10"/>
    <n v="5.6"/>
  </r>
  <r>
    <n v="108"/>
    <n v="49526"/>
    <s v="The Chumscrubber "/>
    <s v="English"/>
    <x v="8"/>
    <n v="6800000"/>
    <x v="1"/>
    <n v="7"/>
  </r>
  <r>
    <n v="101"/>
    <n v="10696"/>
    <s v="Shade "/>
    <s v="English"/>
    <x v="8"/>
    <n v="6800000"/>
    <x v="18"/>
    <n v="6.4"/>
  </r>
  <r>
    <n v="139"/>
    <n v="6857096"/>
    <s v="Incendies "/>
    <s v="French"/>
    <x v="11"/>
    <n v="6800000"/>
    <x v="11"/>
    <n v="8.1999999999999993"/>
  </r>
  <r>
    <n v="112"/>
    <n v="37295394"/>
    <s v="Jumping the Broom "/>
    <s v="English"/>
    <x v="8"/>
    <n v="6600000"/>
    <x v="15"/>
    <n v="5.7"/>
  </r>
  <r>
    <n v="143"/>
    <n v="82528097"/>
    <s v="Mr. Holland's Opus "/>
    <s v="English"/>
    <x v="8"/>
    <n v="6500000"/>
    <x v="19"/>
    <n v="7.3"/>
  </r>
  <r>
    <n v="115"/>
    <n v="54557348"/>
    <s v="Crash "/>
    <s v="English"/>
    <x v="12"/>
    <n v="6500000"/>
    <x v="3"/>
    <n v="7.9"/>
  </r>
  <r>
    <n v="85"/>
    <n v="70527"/>
    <s v="Eulogy "/>
    <s v="English"/>
    <x v="8"/>
    <n v="6500000"/>
    <x v="3"/>
    <n v="6.7"/>
  </r>
  <r>
    <n v="75"/>
    <n v="686383"/>
    <s v="The Secret of Kells "/>
    <s v="English"/>
    <x v="7"/>
    <n v="6500000"/>
    <x v="13"/>
    <n v="7.7"/>
  </r>
  <r>
    <n v="92"/>
    <n v="24792061"/>
    <s v="Thank You for Smoking "/>
    <s v="English"/>
    <x v="8"/>
    <n v="6500000"/>
    <x v="1"/>
    <n v="7.6"/>
  </r>
  <r>
    <n v="115"/>
    <n v="54557348"/>
    <s v="Crash "/>
    <s v="English"/>
    <x v="12"/>
    <n v="6500000"/>
    <x v="3"/>
    <n v="7.9"/>
  </r>
  <r>
    <n v="99"/>
    <n v="84263837"/>
    <s v="Annabelle "/>
    <s v="English"/>
    <x v="8"/>
    <n v="6500000"/>
    <x v="16"/>
    <n v="5.4"/>
  </r>
  <r>
    <n v="88"/>
    <n v="110029"/>
    <s v="Bran Nue Dae "/>
    <s v="English"/>
    <x v="13"/>
    <n v="6500000"/>
    <x v="13"/>
    <n v="6.3"/>
  </r>
  <r>
    <n v="108"/>
    <n v="54215416"/>
    <s v="La Bamba "/>
    <s v="English"/>
    <x v="8"/>
    <n v="6500000"/>
    <x v="32"/>
    <n v="6.8"/>
  </r>
  <r>
    <n v="104"/>
    <n v="31899000"/>
    <s v="Dressed to Kill "/>
    <s v="English"/>
    <x v="8"/>
    <n v="6500000"/>
    <x v="31"/>
    <n v="7.1"/>
  </r>
  <r>
    <n v="108"/>
    <n v="24103594"/>
    <s v="The Adventures of Huck Finn "/>
    <s v="English"/>
    <x v="8"/>
    <n v="6500000"/>
    <x v="27"/>
    <n v="6.2"/>
  </r>
  <r>
    <n v="102"/>
    <n v="16842303"/>
    <s v="Go "/>
    <s v="English"/>
    <x v="8"/>
    <n v="6500000"/>
    <x v="5"/>
    <n v="7.3"/>
  </r>
  <r>
    <n v="88"/>
    <n v="13367101"/>
    <s v="Friends with Money "/>
    <s v="English"/>
    <x v="8"/>
    <n v="6500000"/>
    <x v="0"/>
    <n v="5.9"/>
  </r>
  <r>
    <n v="91"/>
    <n v="10149779"/>
    <s v="Bats "/>
    <s v="English"/>
    <x v="8"/>
    <n v="6500000"/>
    <x v="5"/>
    <n v="3.6"/>
  </r>
  <r>
    <n v="101"/>
    <n v="4000304"/>
    <s v="Shame "/>
    <s v="English"/>
    <x v="9"/>
    <n v="6500000"/>
    <x v="15"/>
    <n v="7.3"/>
  </r>
  <r>
    <n v="100"/>
    <n v="2024854"/>
    <s v="The Work and the Glory II: American Zion "/>
    <s v="English"/>
    <x v="8"/>
    <n v="6500000"/>
    <x v="1"/>
    <n v="6.6"/>
  </r>
  <r>
    <n v="116"/>
    <n v="2268296"/>
    <s v="The East "/>
    <s v="English"/>
    <x v="9"/>
    <n v="6500000"/>
    <x v="17"/>
    <n v="6.9"/>
  </r>
  <r>
    <n v="97"/>
    <n v="1029017"/>
    <s v="A Home at the End of the World "/>
    <s v="English"/>
    <x v="8"/>
    <n v="6500000"/>
    <x v="3"/>
    <n v="6.8"/>
  </r>
  <r>
    <n v="106"/>
    <n v="64148"/>
    <s v="Aberdeen "/>
    <s v="English"/>
    <x v="9"/>
    <n v="6500000"/>
    <x v="21"/>
    <n v="7.3"/>
  </r>
  <r>
    <n v="105"/>
    <n v="66637"/>
    <s v="The Messenger "/>
    <s v="English"/>
    <x v="8"/>
    <n v="6500000"/>
    <x v="13"/>
    <n v="7.2"/>
  </r>
  <r>
    <n v="107"/>
    <n v="38400000"/>
    <s v="The Terminator "/>
    <s v="English"/>
    <x v="9"/>
    <n v="6500000"/>
    <x v="29"/>
    <n v="8.1"/>
  </r>
  <r>
    <n v="121"/>
    <n v="14545844"/>
    <s v="School Daze "/>
    <s v="English"/>
    <x v="8"/>
    <n v="6500000"/>
    <x v="4"/>
    <n v="5.8"/>
  </r>
  <r>
    <n v="94"/>
    <n v="4693919"/>
    <s v="College "/>
    <s v="English"/>
    <x v="8"/>
    <n v="6500000"/>
    <x v="7"/>
    <n v="4.5999999999999996"/>
  </r>
  <r>
    <n v="120"/>
    <n v="27545445"/>
    <s v="Do the Right Thing "/>
    <s v="English"/>
    <x v="8"/>
    <n v="6500000"/>
    <x v="28"/>
    <n v="7.9"/>
  </r>
  <r>
    <n v="99"/>
    <n v="14597405"/>
    <s v="My Week with Marilyn "/>
    <s v="English"/>
    <x v="9"/>
    <n v="6400000"/>
    <x v="15"/>
    <n v="7"/>
  </r>
  <r>
    <n v="83"/>
    <n v="126247"/>
    <s v="Police Academy: Mission to Moscow "/>
    <s v="English"/>
    <x v="8"/>
    <n v="6200000"/>
    <x v="22"/>
    <n v="3.3"/>
  </r>
  <r>
    <n v="145"/>
    <n v="26435"/>
    <s v="Metropolis "/>
    <s v="German"/>
    <x v="12"/>
    <n v="6000000"/>
    <x v="54"/>
    <n v="8.3000000000000007"/>
  </r>
  <r>
    <n v="90"/>
    <n v="22235901"/>
    <s v="Two Can Play That Game "/>
    <s v="English"/>
    <x v="8"/>
    <n v="6000000"/>
    <x v="8"/>
    <n v="6.1"/>
  </r>
  <r>
    <n v="104"/>
    <n v="30093107"/>
    <s v="Snatch "/>
    <s v="English"/>
    <x v="9"/>
    <n v="6000000"/>
    <x v="21"/>
    <n v="8.3000000000000007"/>
  </r>
  <r>
    <n v="107"/>
    <n v="63231524"/>
    <s v="Madea's Family Reunion "/>
    <s v="English"/>
    <x v="8"/>
    <n v="6000000"/>
    <x v="0"/>
    <n v="5"/>
  </r>
  <r>
    <n v="104"/>
    <n v="30093107"/>
    <s v="Snatch "/>
    <s v="English"/>
    <x v="9"/>
    <n v="6000000"/>
    <x v="21"/>
    <n v="8.3000000000000007"/>
  </r>
  <r>
    <n v="94"/>
    <n v="8828771"/>
    <s v="Movie 43 "/>
    <s v="English"/>
    <x v="8"/>
    <n v="6000000"/>
    <x v="17"/>
    <n v="4.3"/>
  </r>
  <r>
    <n v="104"/>
    <n v="2600000"/>
    <s v="Richard III "/>
    <s v="English"/>
    <x v="9"/>
    <n v="6000000"/>
    <x v="19"/>
    <n v="7.5"/>
  </r>
  <r>
    <n v="175"/>
    <n v="134821952"/>
    <s v="The Godfather "/>
    <s v="English"/>
    <x v="8"/>
    <n v="6000000"/>
    <x v="55"/>
    <n v="9.1999999999999993"/>
  </r>
  <r>
    <n v="94"/>
    <n v="6165429"/>
    <s v="Rabbit-Proof Fence "/>
    <s v="Aboriginal"/>
    <x v="13"/>
    <n v="6000000"/>
    <x v="20"/>
    <n v="7.5"/>
  </r>
  <r>
    <n v="112"/>
    <n v="57504069"/>
    <s v="Boyz n the Hood "/>
    <s v="English"/>
    <x v="8"/>
    <n v="6000000"/>
    <x v="23"/>
    <n v="7.8"/>
  </r>
  <r>
    <n v="123"/>
    <n v="2122561"/>
    <s v="Mallrats "/>
    <s v="English"/>
    <x v="8"/>
    <n v="6000000"/>
    <x v="19"/>
    <n v="7.2"/>
  </r>
  <r>
    <n v="110"/>
    <n v="181360000"/>
    <s v="Grease "/>
    <s v="English"/>
    <x v="8"/>
    <n v="6000000"/>
    <x v="30"/>
    <n v="7.2"/>
  </r>
  <r>
    <n v="120"/>
    <n v="137963328"/>
    <s v="Platoon "/>
    <s v="English"/>
    <x v="9"/>
    <n v="6000000"/>
    <x v="34"/>
    <n v="8.1"/>
  </r>
  <r>
    <n v="122"/>
    <n v="119078393"/>
    <s v="Fahrenheit 9/11 "/>
    <s v="English"/>
    <x v="8"/>
    <n v="6000000"/>
    <x v="3"/>
    <n v="7.5"/>
  </r>
  <r>
    <n v="110"/>
    <n v="102308900"/>
    <s v="Butch Cassidy and the Sundance Kid "/>
    <s v="English"/>
    <x v="8"/>
    <n v="6000000"/>
    <x v="53"/>
    <n v="8.1"/>
  </r>
  <r>
    <n v="139"/>
    <n v="102300000"/>
    <s v="Mary Poppins "/>
    <s v="English"/>
    <x v="8"/>
    <n v="6000000"/>
    <x v="43"/>
    <n v="7.8"/>
  </r>
  <r>
    <n v="124"/>
    <n v="54800000"/>
    <s v="Ordinary People "/>
    <s v="English"/>
    <x v="8"/>
    <n v="6000000"/>
    <x v="31"/>
    <n v="7.8"/>
  </r>
  <r>
    <n v="152"/>
    <n v="43650000"/>
    <s v="West Side Story "/>
    <s v="English"/>
    <x v="8"/>
    <n v="6000000"/>
    <x v="56"/>
    <n v="7.6"/>
  </r>
  <r>
    <n v="98"/>
    <n v="39800000"/>
    <s v="Caddyshack "/>
    <s v="English"/>
    <x v="8"/>
    <n v="6000000"/>
    <x v="31"/>
    <n v="7.4"/>
  </r>
  <r>
    <n v="106"/>
    <n v="27457409"/>
    <s v="The Brothers "/>
    <s v="English"/>
    <x v="8"/>
    <n v="6000000"/>
    <x v="8"/>
    <n v="6.3"/>
  </r>
  <r>
    <n v="106"/>
    <n v="25047631"/>
    <s v="The Wood "/>
    <s v="English"/>
    <x v="8"/>
    <n v="6000000"/>
    <x v="5"/>
    <n v="6.9"/>
  </r>
  <r>
    <n v="106"/>
    <n v="23272306"/>
    <s v="The Usual Suspects "/>
    <s v="English"/>
    <x v="8"/>
    <n v="6000000"/>
    <x v="19"/>
    <n v="8.6"/>
  </r>
  <r>
    <n v="94"/>
    <n v="21005329"/>
    <s v="Van Wilder: Party Liaison "/>
    <s v="English"/>
    <x v="12"/>
    <n v="6000000"/>
    <x v="20"/>
    <n v="6.4"/>
  </r>
  <r>
    <n v="109"/>
    <n v="26236603"/>
    <s v="The Wrestler "/>
    <s v="English"/>
    <x v="8"/>
    <n v="6000000"/>
    <x v="7"/>
    <n v="7.9"/>
  </r>
  <r>
    <n v="90"/>
    <n v="18621249"/>
    <s v="Best in Show "/>
    <s v="English"/>
    <x v="8"/>
    <n v="6000000"/>
    <x v="21"/>
    <n v="7.5"/>
  </r>
  <r>
    <n v="106"/>
    <n v="25244700"/>
    <s v="Escape from New York "/>
    <s v="English"/>
    <x v="9"/>
    <n v="6000000"/>
    <x v="39"/>
    <n v="7.2"/>
  </r>
  <r>
    <n v="89"/>
    <n v="13235267"/>
    <s v="Daddy Day Camp "/>
    <s v="English"/>
    <x v="8"/>
    <n v="6000000"/>
    <x v="9"/>
    <n v="2.9"/>
  </r>
  <r>
    <n v="104"/>
    <n v="12793213"/>
    <s v="Mystic Pizza "/>
    <s v="English"/>
    <x v="8"/>
    <n v="6000000"/>
    <x v="4"/>
    <n v="6.2"/>
  </r>
  <r>
    <n v="98"/>
    <n v="11797927"/>
    <s v="Tales from the Hood "/>
    <s v="English"/>
    <x v="8"/>
    <n v="6000000"/>
    <x v="19"/>
    <n v="6.1"/>
  </r>
  <r>
    <n v="121"/>
    <n v="17605861"/>
    <s v="The Last King of Scotland "/>
    <s v="English"/>
    <x v="9"/>
    <n v="6000000"/>
    <x v="0"/>
    <n v="7.7"/>
  </r>
  <r>
    <n v="42"/>
    <n v="7518876"/>
    <s v="Dolphins and Whales 3D: Tribes of the Ocean "/>
    <s v="English"/>
    <x v="9"/>
    <n v="6000000"/>
    <x v="7"/>
    <n v="6.5"/>
  </r>
  <r>
    <n v="122"/>
    <n v="8596914"/>
    <s v="Pollock "/>
    <s v="English"/>
    <x v="8"/>
    <n v="6000000"/>
    <x v="21"/>
    <n v="7"/>
  </r>
  <r>
    <n v="101"/>
    <n v="6851636"/>
    <s v="200 Cigarettes "/>
    <s v="English"/>
    <x v="8"/>
    <n v="6000000"/>
    <x v="5"/>
    <n v="5.9"/>
  </r>
  <r>
    <n v="102"/>
    <n v="11434867"/>
    <s v="The Words "/>
    <s v="English"/>
    <x v="8"/>
    <n v="6000000"/>
    <x v="10"/>
    <n v="7.1"/>
  </r>
  <r>
    <n v="84"/>
    <n v="5895238"/>
    <s v="Casa de mi Padre "/>
    <s v="Spanish"/>
    <x v="8"/>
    <n v="6000000"/>
    <x v="10"/>
    <n v="5.5"/>
  </r>
  <r>
    <n v="104"/>
    <n v="6670712"/>
    <s v="City Island "/>
    <s v="English"/>
    <x v="8"/>
    <n v="6000000"/>
    <x v="13"/>
    <n v="7.4"/>
  </r>
  <r>
    <n v="96"/>
    <n v="5359774"/>
    <s v="The Guard "/>
    <s v="English"/>
    <x v="23"/>
    <n v="6000000"/>
    <x v="15"/>
    <n v="7.3"/>
  </r>
  <r>
    <n v="90"/>
    <n v="4859475"/>
    <s v="The Virgin Suicides "/>
    <s v="English"/>
    <x v="8"/>
    <n v="6000000"/>
    <x v="5"/>
    <n v="7.2"/>
  </r>
  <r>
    <n v="90"/>
    <n v="4542775"/>
    <s v="Miss March "/>
    <s v="English"/>
    <x v="8"/>
    <n v="6000000"/>
    <x v="13"/>
    <n v="5.0999999999999996"/>
  </r>
  <r>
    <n v="106"/>
    <n v="3588432"/>
    <s v="Wish I Was Here "/>
    <s v="English"/>
    <x v="8"/>
    <n v="6000000"/>
    <x v="16"/>
    <n v="6.7"/>
  </r>
  <r>
    <n v="96"/>
    <n v="4394936"/>
    <s v="Simply Irresistible "/>
    <s v="English"/>
    <x v="12"/>
    <n v="6000000"/>
    <x v="5"/>
    <n v="5.3"/>
  </r>
  <r>
    <n v="95"/>
    <n v="3029081"/>
    <s v="Hedwig and the Angry Inch "/>
    <s v="English"/>
    <x v="8"/>
    <n v="6000000"/>
    <x v="8"/>
    <n v="7.8"/>
  </r>
  <r>
    <n v="99"/>
    <n v="3273588"/>
    <s v="Only the Strong "/>
    <s v="English"/>
    <x v="8"/>
    <n v="6000000"/>
    <x v="27"/>
    <n v="6.7"/>
  </r>
  <r>
    <n v="99"/>
    <n v="2207975"/>
    <s v="Shattered Glass "/>
    <s v="English"/>
    <x v="8"/>
    <n v="6000000"/>
    <x v="18"/>
    <n v="7.2"/>
  </r>
  <r>
    <n v="95"/>
    <n v="2025238"/>
    <s v="Novocaine "/>
    <s v="English"/>
    <x v="8"/>
    <n v="6000000"/>
    <x v="8"/>
    <n v="5.8"/>
  </r>
  <r>
    <n v="99"/>
    <n v="2077046"/>
    <s v="The Wackness "/>
    <s v="English"/>
    <x v="8"/>
    <n v="6000000"/>
    <x v="7"/>
    <n v="7"/>
  </r>
  <r>
    <n v="107"/>
    <n v="869325"/>
    <s v="Beastmaster 2: Through the Portal of Time "/>
    <s v="English"/>
    <x v="8"/>
    <n v="6000000"/>
    <x v="23"/>
    <n v="3.8"/>
  </r>
  <r>
    <n v="90"/>
    <n v="399611"/>
    <s v="The 5th Quarter "/>
    <s v="English"/>
    <x v="8"/>
    <n v="6000000"/>
    <x v="11"/>
    <n v="5.7"/>
  </r>
  <r>
    <n v="96"/>
    <n v="115862"/>
    <s v="The Greatest "/>
    <s v="English"/>
    <x v="8"/>
    <n v="6000000"/>
    <x v="13"/>
    <n v="6.7"/>
  </r>
  <r>
    <n v="104"/>
    <n v="1346503"/>
    <s v="Snow Flower and the Secret Fan "/>
    <s v="English"/>
    <x v="5"/>
    <n v="6000000"/>
    <x v="15"/>
    <n v="6.1"/>
  </r>
  <r>
    <n v="97"/>
    <n v="117560"/>
    <s v="Come Early Morning "/>
    <s v="English"/>
    <x v="8"/>
    <n v="6000000"/>
    <x v="0"/>
    <n v="6.2"/>
  </r>
  <r>
    <n v="107"/>
    <n v="54606"/>
    <s v="Lucky Break "/>
    <s v="English"/>
    <x v="9"/>
    <n v="6000000"/>
    <x v="8"/>
    <n v="6.2"/>
  </r>
  <r>
    <n v="85"/>
    <n v="36497"/>
    <s v="Surfer, Dude "/>
    <s v="English"/>
    <x v="8"/>
    <n v="6000000"/>
    <x v="7"/>
    <n v="4.7"/>
  </r>
  <r>
    <n v="98"/>
    <n v="795126"/>
    <s v="Saint Ralph "/>
    <s v="English"/>
    <x v="11"/>
    <n v="6000000"/>
    <x v="3"/>
    <n v="7.6"/>
  </r>
  <r>
    <n v="109"/>
    <n v="14821531"/>
    <s v="Eve's Bayou "/>
    <s v="English"/>
    <x v="8"/>
    <n v="6000000"/>
    <x v="2"/>
    <n v="7.3"/>
  </r>
  <r>
    <n v="112"/>
    <n v="3432342"/>
    <s v="The Barbarian Invasions "/>
    <s v="French"/>
    <x v="11"/>
    <n v="6000000"/>
    <x v="18"/>
    <n v="7.7"/>
  </r>
  <r>
    <n v="101"/>
    <n v="20772796"/>
    <s v="Whale Rider "/>
    <s v="English"/>
    <x v="10"/>
    <n v="6000000"/>
    <x v="20"/>
    <n v="7.6"/>
  </r>
  <r>
    <n v="82"/>
    <n v="9821335"/>
    <s v="3 Strikes "/>
    <s v="English"/>
    <x v="8"/>
    <n v="6000000"/>
    <x v="21"/>
    <n v="4"/>
  </r>
  <r>
    <n v="96"/>
    <n v="371081"/>
    <s v="House of D "/>
    <s v="English"/>
    <x v="8"/>
    <n v="6000000"/>
    <x v="3"/>
    <n v="7"/>
  </r>
  <r>
    <n v="100"/>
    <n v="7186670"/>
    <s v="The Green Inferno "/>
    <s v="English"/>
    <x v="8"/>
    <n v="6000000"/>
    <x v="17"/>
    <n v="5.4"/>
  </r>
  <r>
    <n v="89"/>
    <n v="12843"/>
    <s v="Maniac "/>
    <s v="English"/>
    <x v="7"/>
    <n v="6000000"/>
    <x v="10"/>
    <n v="6.1"/>
  </r>
  <r>
    <n v="141"/>
    <n v="3064356"/>
    <s v="Sunshine State "/>
    <s v="English"/>
    <x v="8"/>
    <n v="5600000"/>
    <x v="20"/>
    <n v="6.9"/>
  </r>
  <r>
    <n v="95"/>
    <n v="7009668"/>
    <s v="Crossover "/>
    <s v="English"/>
    <x v="8"/>
    <n v="5600000"/>
    <x v="0"/>
    <n v="2.1"/>
  </r>
  <r>
    <n v="85"/>
    <n v="27024"/>
    <s v="[Rec] 2 "/>
    <s v="Spanish"/>
    <x v="4"/>
    <n v="5600000"/>
    <x v="13"/>
    <n v="6.6"/>
  </r>
  <r>
    <n v="129"/>
    <n v="159600000"/>
    <s v="The Sting "/>
    <s v="English"/>
    <x v="8"/>
    <n v="5500000"/>
    <x v="50"/>
    <n v="8.3000000000000007"/>
  </r>
  <r>
    <n v="125"/>
    <n v="58800000"/>
    <s v="Chariots of Fire "/>
    <s v="English"/>
    <x v="9"/>
    <n v="5500000"/>
    <x v="39"/>
    <n v="7.2"/>
  </r>
  <r>
    <n v="116"/>
    <n v="50382128"/>
    <s v="Diary of a Mad Black Woman "/>
    <s v="English"/>
    <x v="8"/>
    <n v="5500000"/>
    <x v="1"/>
    <n v="5.6"/>
  </r>
  <r>
    <n v="105"/>
    <n v="35811509"/>
    <s v="Shine "/>
    <s v="English"/>
    <x v="13"/>
    <n v="5500000"/>
    <x v="24"/>
    <n v="7.7"/>
  </r>
  <r>
    <n v="91"/>
    <n v="1292119"/>
    <s v="Iris "/>
    <s v="English"/>
    <x v="9"/>
    <n v="5500000"/>
    <x v="8"/>
    <n v="7.1"/>
  </r>
  <r>
    <n v="97"/>
    <n v="3629758"/>
    <s v="The Chorus "/>
    <s v="French"/>
    <x v="7"/>
    <n v="5500000"/>
    <x v="3"/>
    <n v="7.9"/>
  </r>
  <r>
    <n v="99"/>
    <n v="56007"/>
    <s v="Harvard Man "/>
    <s v="English"/>
    <x v="8"/>
    <n v="5500000"/>
    <x v="8"/>
    <n v="4.9000000000000004"/>
  </r>
  <r>
    <n v="99"/>
    <n v="22770"/>
    <s v="R100 "/>
    <s v="Japanese"/>
    <x v="2"/>
    <n v="5500000"/>
    <x v="17"/>
    <n v="6.1"/>
  </r>
  <r>
    <n v="111"/>
    <n v="3895664"/>
    <s v="L'auberge espagnole "/>
    <s v="French"/>
    <x v="7"/>
    <n v="5300000"/>
    <x v="20"/>
    <n v="7.3"/>
  </r>
  <r>
    <n v="96"/>
    <n v="766487"/>
    <s v="The Ten "/>
    <s v="English"/>
    <x v="8"/>
    <n v="5250000"/>
    <x v="9"/>
    <n v="5"/>
  </r>
  <r>
    <n v="103"/>
    <n v="42365600"/>
    <s v="Time Bandits "/>
    <s v="English"/>
    <x v="9"/>
    <n v="5000000"/>
    <x v="39"/>
    <n v="7"/>
  </r>
  <r>
    <n v="95"/>
    <n v="16017403"/>
    <s v="O "/>
    <s v="English"/>
    <x v="8"/>
    <n v="5000000"/>
    <x v="8"/>
    <n v="6.2"/>
  </r>
  <r>
    <n v="108"/>
    <n v="43771291"/>
    <s v="The Gift "/>
    <s v="English"/>
    <x v="8"/>
    <n v="5000000"/>
    <x v="12"/>
    <n v="7.1"/>
  </r>
  <r>
    <n v="96"/>
    <n v="1474508"/>
    <s v="The Joneses "/>
    <s v="English"/>
    <x v="8"/>
    <n v="5000000"/>
    <x v="13"/>
    <n v="6.5"/>
  </r>
  <r>
    <n v="103"/>
    <n v="3093491"/>
    <s v="Rosewater "/>
    <s v="English"/>
    <x v="8"/>
    <n v="5000000"/>
    <x v="16"/>
    <n v="6.6"/>
  </r>
  <r>
    <n v="90"/>
    <n v="136432"/>
    <s v="Severance "/>
    <s v="English"/>
    <x v="9"/>
    <n v="5000000"/>
    <x v="0"/>
    <n v="6.6"/>
  </r>
  <r>
    <n v="90"/>
    <n v="92900"/>
    <s v="Motherhood "/>
    <s v="English"/>
    <x v="8"/>
    <n v="5000000"/>
    <x v="13"/>
    <n v="4.7"/>
  </r>
  <r>
    <n v="93"/>
    <n v="14015786"/>
    <s v="The Good Girl "/>
    <s v="English"/>
    <x v="8"/>
    <n v="5000000"/>
    <x v="20"/>
    <n v="6.5"/>
  </r>
  <r>
    <n v="95"/>
    <n v="34099640"/>
    <s v="My Dog Skip "/>
    <s v="English"/>
    <x v="8"/>
    <n v="5000000"/>
    <x v="21"/>
    <n v="7"/>
  </r>
  <r>
    <n v="125"/>
    <n v="223878"/>
    <s v="Remember Me, My Love "/>
    <s v="Italian"/>
    <x v="16"/>
    <n v="5000000"/>
    <x v="18"/>
    <n v="6.5"/>
  </r>
  <r>
    <n v="99"/>
    <n v="9203192"/>
    <s v="Bernie "/>
    <s v="English"/>
    <x v="8"/>
    <n v="5000000"/>
    <x v="15"/>
    <n v="6.8"/>
  </r>
  <r>
    <n v="92"/>
    <n v="6239558"/>
    <s v="Mambo Italiano "/>
    <s v="English"/>
    <x v="11"/>
    <n v="5000000"/>
    <x v="18"/>
    <n v="6.7"/>
  </r>
  <r>
    <n v="104"/>
    <n v="1056102"/>
    <s v="Wonderland "/>
    <s v="English"/>
    <x v="8"/>
    <n v="5000000"/>
    <x v="18"/>
    <n v="6.6"/>
  </r>
  <r>
    <n v="106"/>
    <n v="83574831"/>
    <s v="Insidious: Chapter 2 "/>
    <s v="English"/>
    <x v="8"/>
    <n v="5000000"/>
    <x v="17"/>
    <n v="6.6"/>
  </r>
  <r>
    <n v="87"/>
    <n v="64267897"/>
    <s v="Jackass: The Movie "/>
    <s v="English"/>
    <x v="8"/>
    <n v="5000000"/>
    <x v="20"/>
    <n v="6.6"/>
  </r>
  <r>
    <n v="94"/>
    <n v="104007828"/>
    <s v="Paranormal Activity 3 "/>
    <s v="English"/>
    <x v="8"/>
    <n v="5000000"/>
    <x v="15"/>
    <n v="5.8"/>
  </r>
  <r>
    <n v="89"/>
    <n v="50820940"/>
    <s v="Ouija "/>
    <s v="English"/>
    <x v="8"/>
    <n v="5000000"/>
    <x v="16"/>
    <n v="4.4000000000000004"/>
  </r>
  <r>
    <n v="108"/>
    <n v="43771291"/>
    <s v="The Gift "/>
    <s v="English"/>
    <x v="8"/>
    <n v="5000000"/>
    <x v="12"/>
    <n v="7.1"/>
  </r>
  <r>
    <n v="115"/>
    <n v="44456509"/>
    <s v="Instructions Not Included "/>
    <s v="Spanish"/>
    <x v="28"/>
    <n v="5000000"/>
    <x v="17"/>
    <n v="7.6"/>
  </r>
  <r>
    <n v="96"/>
    <n v="53884821"/>
    <s v="Paranormal Activity 4 "/>
    <s v="English"/>
    <x v="8"/>
    <n v="5000000"/>
    <x v="10"/>
    <n v="4.5999999999999996"/>
  </r>
  <r>
    <n v="135"/>
    <n v="36000000"/>
    <s v="The Robe "/>
    <s v="English"/>
    <x v="8"/>
    <n v="5000000"/>
    <x v="57"/>
    <n v="6.8"/>
  </r>
  <r>
    <n v="101"/>
    <n v="32453345"/>
    <s v="Paranormal Activity: The Marked Ones "/>
    <s v="English"/>
    <x v="8"/>
    <n v="5000000"/>
    <x v="16"/>
    <n v="5"/>
  </r>
  <r>
    <n v="117"/>
    <n v="27296514"/>
    <s v="Dallas Buyers Club "/>
    <s v="English"/>
    <x v="8"/>
    <n v="5000000"/>
    <x v="17"/>
    <n v="8"/>
  </r>
  <r>
    <n v="104"/>
    <n v="27689474"/>
    <s v="Oculus "/>
    <s v="English"/>
    <x v="8"/>
    <n v="5000000"/>
    <x v="17"/>
    <n v="6.5"/>
  </r>
  <r>
    <n v="97"/>
    <n v="24138847"/>
    <s v="Clerks II "/>
    <s v="English"/>
    <x v="8"/>
    <n v="5000000"/>
    <x v="0"/>
    <n v="7.4"/>
  </r>
  <r>
    <n v="110"/>
    <n v="21994911"/>
    <s v="Billy Elliot "/>
    <s v="English"/>
    <x v="9"/>
    <n v="5000000"/>
    <x v="21"/>
    <n v="7.7"/>
  </r>
  <r>
    <n v="103"/>
    <n v="21501098"/>
    <s v="The Way Way Back "/>
    <s v="English"/>
    <x v="8"/>
    <n v="5000000"/>
    <x v="17"/>
    <n v="7.4"/>
  </r>
  <r>
    <n v="94"/>
    <n v="19281235"/>
    <s v="House Party 2 "/>
    <s v="English"/>
    <x v="8"/>
    <n v="5000000"/>
    <x v="23"/>
    <n v="5.0999999999999996"/>
  </r>
  <r>
    <n v="77"/>
    <n v="19421271"/>
    <s v="Doug's 1st Movie "/>
    <s v="English"/>
    <x v="8"/>
    <n v="5000000"/>
    <x v="5"/>
    <n v="5"/>
  </r>
  <r>
    <n v="134"/>
    <n v="20733485"/>
    <s v="The Apostle "/>
    <s v="English"/>
    <x v="8"/>
    <n v="5000000"/>
    <x v="2"/>
    <n v="7.2"/>
  </r>
  <r>
    <n v="90"/>
    <n v="24809547"/>
    <s v="Our Idiot Brother "/>
    <s v="English"/>
    <x v="8"/>
    <n v="5000000"/>
    <x v="15"/>
    <n v="6.4"/>
  </r>
  <r>
    <n v="95"/>
    <n v="16017403"/>
    <s v="O "/>
    <s v="English"/>
    <x v="8"/>
    <n v="5000000"/>
    <x v="8"/>
    <n v="6.2"/>
  </r>
  <r>
    <n v="93"/>
    <n v="21197315"/>
    <s v="As Above, So Below "/>
    <s v="English"/>
    <x v="8"/>
    <n v="5000000"/>
    <x v="16"/>
    <n v="6.1"/>
  </r>
  <r>
    <n v="106"/>
    <n v="17382982"/>
    <s v="Addicted "/>
    <s v="Spanish"/>
    <x v="8"/>
    <n v="5000000"/>
    <x v="16"/>
    <n v="5.2"/>
  </r>
  <r>
    <n v="101"/>
    <n v="18656400"/>
    <s v="Still Alice "/>
    <s v="English"/>
    <x v="8"/>
    <n v="5000000"/>
    <x v="16"/>
    <n v="7.5"/>
  </r>
  <r>
    <n v="100"/>
    <n v="14343976"/>
    <s v="Friday the 13th Part VIII: Jason Takes Manhattan "/>
    <s v="English"/>
    <x v="8"/>
    <n v="5000000"/>
    <x v="28"/>
    <n v="4.5"/>
  </r>
  <r>
    <n v="95"/>
    <n v="241437427"/>
    <s v="My Big Fat Greek Wedding "/>
    <s v="English"/>
    <x v="8"/>
    <n v="5000000"/>
    <x v="20"/>
    <n v="6.6"/>
  </r>
  <r>
    <n v="94"/>
    <n v="14123773"/>
    <s v="Spring Breakers "/>
    <s v="English"/>
    <x v="8"/>
    <n v="5000000"/>
    <x v="10"/>
    <n v="5.3"/>
  </r>
  <r>
    <n v="93"/>
    <n v="15126948"/>
    <s v="Halloween: The Curse of Michael Myers "/>
    <s v="English"/>
    <x v="8"/>
    <n v="5000000"/>
    <x v="19"/>
    <n v="4.9000000000000004"/>
  </r>
  <r>
    <n v="82"/>
    <n v="13350177"/>
    <s v="The Haunting of Molly Hartley "/>
    <s v="English"/>
    <x v="8"/>
    <n v="5000000"/>
    <x v="7"/>
    <n v="3.8"/>
  </r>
  <r>
    <n v="135"/>
    <n v="13269963"/>
    <s v="Lone Star "/>
    <s v="English"/>
    <x v="8"/>
    <n v="5000000"/>
    <x v="24"/>
    <n v="7.6"/>
  </r>
  <r>
    <n v="88"/>
    <n v="17768000"/>
    <s v="Halloween 4: The Return of Michael Myers "/>
    <s v="English"/>
    <x v="8"/>
    <n v="5000000"/>
    <x v="4"/>
    <n v="5.9"/>
  </r>
  <r>
    <n v="89"/>
    <n v="12947763"/>
    <s v="April Fool's Day "/>
    <s v="English"/>
    <x v="8"/>
    <n v="5000000"/>
    <x v="34"/>
    <n v="6.2"/>
  </r>
  <r>
    <n v="110"/>
    <n v="14100000"/>
    <s v="Diner "/>
    <s v="English"/>
    <x v="8"/>
    <n v="5000000"/>
    <x v="37"/>
    <n v="7.2"/>
  </r>
  <r>
    <n v="107"/>
    <n v="12200000"/>
    <s v="Lone Wolf McQuade "/>
    <s v="English"/>
    <x v="8"/>
    <n v="5000000"/>
    <x v="35"/>
    <n v="6.3"/>
  </r>
  <r>
    <n v="86"/>
    <n v="17683670"/>
    <s v="Apollo 18 "/>
    <s v="English"/>
    <x v="8"/>
    <n v="5000000"/>
    <x v="15"/>
    <n v="5.2"/>
  </r>
  <r>
    <n v="103"/>
    <n v="27285953"/>
    <s v="No Escape "/>
    <s v="English"/>
    <x v="8"/>
    <n v="5000000"/>
    <x v="12"/>
    <n v="6.8"/>
  </r>
  <r>
    <n v="82"/>
    <n v="9628751"/>
    <s v="Digimon: The Movie "/>
    <s v="English"/>
    <x v="8"/>
    <n v="5000000"/>
    <x v="21"/>
    <n v="5.9"/>
  </r>
  <r>
    <n v="92"/>
    <n v="8786715"/>
    <s v="Saved! "/>
    <s v="English"/>
    <x v="8"/>
    <n v="5000000"/>
    <x v="3"/>
    <n v="6.9"/>
  </r>
  <r>
    <n v="90"/>
    <n v="6755271"/>
    <s v="The Forsaken "/>
    <s v="English"/>
    <x v="8"/>
    <n v="5000000"/>
    <x v="8"/>
    <n v="5.3"/>
  </r>
  <r>
    <n v="150"/>
    <n v="6157157"/>
    <s v="UHF "/>
    <s v="English"/>
    <x v="8"/>
    <n v="5000000"/>
    <x v="28"/>
    <n v="7"/>
  </r>
  <r>
    <n v="91"/>
    <n v="5480318"/>
    <s v="Slums of Beverly Hills "/>
    <s v="English"/>
    <x v="8"/>
    <n v="5000000"/>
    <x v="6"/>
    <n v="6.6"/>
  </r>
  <r>
    <n v="95"/>
    <n v="5308707"/>
    <s v="Made "/>
    <s v="English"/>
    <x v="8"/>
    <n v="5000000"/>
    <x v="8"/>
    <n v="6.4"/>
  </r>
  <r>
    <n v="97"/>
    <n v="5009677"/>
    <s v="Moon "/>
    <s v="English"/>
    <x v="9"/>
    <n v="5000000"/>
    <x v="13"/>
    <n v="7.9"/>
  </r>
  <r>
    <n v="41"/>
    <n v="4074023"/>
    <s v="Sea Rex 3D: Journey to a Prehistoric World "/>
    <s v="English"/>
    <x v="9"/>
    <n v="5000000"/>
    <x v="11"/>
    <n v="6.9"/>
  </r>
  <r>
    <n v="112"/>
    <n v="4306697"/>
    <s v="The Sweet Hereafter "/>
    <s v="English"/>
    <x v="11"/>
    <n v="5000000"/>
    <x v="2"/>
    <n v="7.7"/>
  </r>
  <r>
    <n v="110"/>
    <n v="4040588"/>
    <s v="Bottle Shock "/>
    <s v="English"/>
    <x v="8"/>
    <n v="5000000"/>
    <x v="7"/>
    <n v="6.8"/>
  </r>
  <r>
    <n v="108"/>
    <n v="3049135"/>
    <s v="Heavenly Creatures "/>
    <s v="English"/>
    <x v="10"/>
    <n v="5000000"/>
    <x v="22"/>
    <n v="7.4"/>
  </r>
  <r>
    <n v="121"/>
    <n v="4700361"/>
    <s v="90 Minutes in Heaven "/>
    <s v="English"/>
    <x v="8"/>
    <n v="5000000"/>
    <x v="12"/>
    <n v="4.5999999999999996"/>
  </r>
  <r>
    <n v="97"/>
    <n v="2711210"/>
    <s v="Everything Must Go "/>
    <s v="English"/>
    <x v="8"/>
    <n v="5000000"/>
    <x v="11"/>
    <n v="6.4"/>
  </r>
  <r>
    <n v="116"/>
    <n v="1980338"/>
    <s v="Zero Effect "/>
    <s v="English"/>
    <x v="8"/>
    <n v="5000000"/>
    <x v="6"/>
    <n v="7"/>
  </r>
  <r>
    <n v="94"/>
    <n v="1082044"/>
    <s v="The Machinist "/>
    <s v="English"/>
    <x v="4"/>
    <n v="5000000"/>
    <x v="3"/>
    <n v="7.7"/>
  </r>
  <r>
    <n v="103"/>
    <n v="1100000"/>
    <s v="Light Sleeper "/>
    <s v="English"/>
    <x v="8"/>
    <n v="5000000"/>
    <x v="26"/>
    <n v="6.8"/>
  </r>
  <r>
    <n v="112"/>
    <n v="2445646"/>
    <s v="Kill the Messenger "/>
    <s v="English"/>
    <x v="8"/>
    <n v="5000000"/>
    <x v="16"/>
    <n v="7"/>
  </r>
  <r>
    <n v="91"/>
    <n v="2221809"/>
    <s v="Rabbit Hole "/>
    <s v="English"/>
    <x v="8"/>
    <n v="5000000"/>
    <x v="11"/>
    <n v="7"/>
  </r>
  <r>
    <n v="98"/>
    <n v="296665"/>
    <s v="Party Monster "/>
    <s v="English"/>
    <x v="8"/>
    <n v="5000000"/>
    <x v="18"/>
    <n v="6.3"/>
  </r>
  <r>
    <n v="95"/>
    <n v="3219029"/>
    <s v="Green Room "/>
    <s v="English"/>
    <x v="8"/>
    <n v="5000000"/>
    <x v="12"/>
    <n v="7.1"/>
  </r>
  <r>
    <n v="97"/>
    <n v="326308"/>
    <s v="Albino Alligator "/>
    <s v="English"/>
    <x v="8"/>
    <n v="5000000"/>
    <x v="24"/>
    <n v="6.1"/>
  </r>
  <r>
    <n v="90"/>
    <n v="124720"/>
    <s v="Lovely, Still "/>
    <s v="English"/>
    <x v="8"/>
    <n v="5000000"/>
    <x v="7"/>
    <n v="7.3"/>
  </r>
  <r>
    <n v="94"/>
    <n v="65069140"/>
    <s v="The Visit "/>
    <s v="English"/>
    <x v="8"/>
    <n v="5000000"/>
    <x v="12"/>
    <n v="6.2"/>
  </r>
  <r>
    <n v="90"/>
    <n v="65087"/>
    <s v="Redacted "/>
    <s v="English"/>
    <x v="8"/>
    <n v="5000000"/>
    <x v="9"/>
    <n v="6.2"/>
  </r>
  <r>
    <n v="103"/>
    <n v="16066"/>
    <s v="Fascination "/>
    <s v="English"/>
    <x v="12"/>
    <n v="5000000"/>
    <x v="3"/>
    <n v="3.3"/>
  </r>
  <r>
    <n v="121"/>
    <n v="1729969"/>
    <s v="Take Shelter "/>
    <s v="English"/>
    <x v="8"/>
    <n v="5000000"/>
    <x v="15"/>
    <n v="7.4"/>
  </r>
  <r>
    <n v="98"/>
    <n v="10429707"/>
    <s v="Moms' Night Out "/>
    <s v="English"/>
    <x v="8"/>
    <n v="5000000"/>
    <x v="16"/>
    <n v="5.4"/>
  </r>
  <r>
    <n v="93"/>
    <n v="15152879"/>
    <s v="The Last Exorcism Part II "/>
    <s v="English"/>
    <x v="7"/>
    <n v="5000000"/>
    <x v="17"/>
    <n v="4"/>
  </r>
  <r>
    <n v="88"/>
    <n v="143000"/>
    <s v="Chain Letter "/>
    <s v="English"/>
    <x v="8"/>
    <n v="5000000"/>
    <x v="13"/>
    <n v="4.0999999999999996"/>
  </r>
  <r>
    <n v="112"/>
    <m/>
    <s v="Closer to the Moon "/>
    <s v="English"/>
    <x v="34"/>
    <n v="5000000"/>
    <x v="16"/>
    <n v="7.1"/>
  </r>
  <r>
    <n v="120"/>
    <n v="20773070"/>
    <s v="God's Not Dead 2 "/>
    <s v="English"/>
    <x v="8"/>
    <n v="5000000"/>
    <x v="14"/>
    <n v="3.4"/>
  </r>
  <r>
    <n v="81"/>
    <n v="56536016"/>
    <s v="Lights Out "/>
    <s v="English"/>
    <x v="8"/>
    <n v="4900000"/>
    <x v="14"/>
    <n v="6.9"/>
  </r>
  <r>
    <n v="125"/>
    <n v="1110286"/>
    <s v="Mother and Child "/>
    <s v="English"/>
    <x v="8"/>
    <n v="4825000"/>
    <x v="13"/>
    <n v="7.2"/>
  </r>
  <r>
    <n v="121"/>
    <n v="4063859"/>
    <s v="Good Bye Lenin! "/>
    <s v="German"/>
    <x v="12"/>
    <n v="4800000"/>
    <x v="18"/>
    <n v="7.7"/>
  </r>
  <r>
    <n v="93"/>
    <n v="47277326"/>
    <s v="Hostel "/>
    <s v="English"/>
    <x v="8"/>
    <n v="4800000"/>
    <x v="1"/>
    <n v="5.9"/>
  </r>
  <r>
    <n v="90"/>
    <n v="778565"/>
    <s v="Only God Forgives "/>
    <s v="English"/>
    <x v="18"/>
    <n v="4800000"/>
    <x v="17"/>
    <n v="5.7"/>
  </r>
  <r>
    <n v="118"/>
    <n v="1705139"/>
    <s v="Lady in White "/>
    <s v="English"/>
    <x v="8"/>
    <n v="4700000"/>
    <x v="4"/>
    <n v="6.7"/>
  </r>
  <r>
    <n v="101"/>
    <n v="8025872"/>
    <s v="The Texas Chainsaw Massacre 2 "/>
    <s v="English"/>
    <x v="8"/>
    <n v="4700000"/>
    <x v="34"/>
    <n v="5.5"/>
  </r>
  <r>
    <n v="100"/>
    <n v="513836"/>
    <s v="The Names of Love "/>
    <s v="French"/>
    <x v="7"/>
    <n v="4600000"/>
    <x v="11"/>
    <n v="7.2"/>
  </r>
  <r>
    <n v="97"/>
    <n v="434417"/>
    <s v="Savage Grace "/>
    <s v="English"/>
    <x v="4"/>
    <n v="4600000"/>
    <x v="9"/>
    <n v="5.9"/>
  </r>
  <r>
    <n v="100"/>
    <n v="12574715"/>
    <s v="An Education "/>
    <s v="English"/>
    <x v="9"/>
    <n v="4500000"/>
    <x v="13"/>
    <n v="7.3"/>
  </r>
  <r>
    <n v="122"/>
    <n v="871577"/>
    <s v="Control "/>
    <s v="English"/>
    <x v="9"/>
    <n v="4500000"/>
    <x v="9"/>
    <n v="7.7"/>
  </r>
  <r>
    <n v="88"/>
    <n v="44793200"/>
    <s v="A Nightmare on Elm Street 3: Dream Warriors "/>
    <s v="English"/>
    <x v="8"/>
    <n v="4500000"/>
    <x v="32"/>
    <n v="6.6"/>
  </r>
  <r>
    <n v="109"/>
    <n v="34468224"/>
    <s v="Monster "/>
    <s v="English"/>
    <x v="8"/>
    <n v="4500000"/>
    <x v="18"/>
    <n v="7.3"/>
  </r>
  <r>
    <n v="104"/>
    <n v="23031390"/>
    <s v="The Players Club "/>
    <s v="English"/>
    <x v="8"/>
    <n v="4500000"/>
    <x v="6"/>
    <n v="5.6"/>
  </r>
  <r>
    <n v="96"/>
    <n v="81200000"/>
    <s v="Police Academy "/>
    <s v="English"/>
    <x v="8"/>
    <n v="4500000"/>
    <x v="29"/>
    <n v="6.7"/>
  </r>
  <r>
    <n v="117"/>
    <n v="52700832"/>
    <s v="Four Weddings and a Funeral "/>
    <s v="English"/>
    <x v="9"/>
    <n v="4500000"/>
    <x v="22"/>
    <n v="7.1"/>
  </r>
  <r>
    <n v="109"/>
    <n v="3798532"/>
    <s v="Bound "/>
    <s v="English"/>
    <x v="8"/>
    <n v="4500000"/>
    <x v="24"/>
    <n v="7.4"/>
  </r>
  <r>
    <n v="102"/>
    <n v="3609278"/>
    <s v="Requiem for a Dream "/>
    <s v="English"/>
    <x v="8"/>
    <n v="4500000"/>
    <x v="21"/>
    <n v="8.4"/>
  </r>
  <r>
    <n v="133"/>
    <n v="727883"/>
    <s v="Donnie Darko "/>
    <s v="English"/>
    <x v="8"/>
    <n v="4500000"/>
    <x v="8"/>
    <n v="8.1"/>
  </r>
  <r>
    <n v="122"/>
    <n v="713413"/>
    <s v="Character "/>
    <s v="Dutch"/>
    <x v="26"/>
    <n v="4500000"/>
    <x v="2"/>
    <n v="7.8"/>
  </r>
  <r>
    <n v="104"/>
    <n v="108229"/>
    <s v="After.Life "/>
    <s v="English"/>
    <x v="8"/>
    <n v="4500000"/>
    <x v="13"/>
    <n v="5.9"/>
  </r>
  <r>
    <n v="104"/>
    <n v="3287435"/>
    <s v="Thirteen Conversations About One Thing "/>
    <s v="English"/>
    <x v="8"/>
    <n v="4500000"/>
    <x v="8"/>
    <n v="7.1"/>
  </r>
  <r>
    <n v="133"/>
    <n v="112000000"/>
    <s v="One Flew Over the Cuckoo's Nest "/>
    <s v="English"/>
    <x v="8"/>
    <n v="4400000"/>
    <x v="51"/>
    <n v="8.6999999999999993"/>
  </r>
  <r>
    <n v="104"/>
    <n v="1487477"/>
    <s v="Night Watch "/>
    <s v="Russian"/>
    <x v="27"/>
    <n v="4200000"/>
    <x v="3"/>
    <n v="6.5"/>
  </r>
  <r>
    <n v="89"/>
    <n v="15655665"/>
    <s v="Larry the Cable Guy: Health Inspector "/>
    <s v="English"/>
    <x v="8"/>
    <n v="4000000"/>
    <x v="0"/>
    <n v="3.1"/>
  </r>
  <r>
    <n v="111"/>
    <n v="228524"/>
    <s v="Imaginary Heroes "/>
    <s v="English"/>
    <x v="8"/>
    <n v="4000000"/>
    <x v="3"/>
    <n v="7.3"/>
  </r>
  <r>
    <n v="95"/>
    <n v="94900000"/>
    <s v="Flashdance "/>
    <s v="English"/>
    <x v="8"/>
    <n v="4000000"/>
    <x v="35"/>
    <n v="6.1"/>
  </r>
  <r>
    <n v="115"/>
    <n v="8060"/>
    <s v="Elite Squad "/>
    <s v="Portuguese"/>
    <x v="36"/>
    <n v="4000000"/>
    <x v="9"/>
    <n v="8.1"/>
  </r>
  <r>
    <n v="105"/>
    <n v="2338695"/>
    <s v="Layer Cake "/>
    <s v="English"/>
    <x v="9"/>
    <n v="4000000"/>
    <x v="3"/>
    <n v="7.4"/>
  </r>
  <r>
    <n v="103"/>
    <n v="542860"/>
    <s v="Winter in Wartime "/>
    <s v="Dutch"/>
    <x v="26"/>
    <n v="4000000"/>
    <x v="7"/>
    <n v="7.1"/>
  </r>
  <r>
    <n v="95"/>
    <n v="87025093"/>
    <s v="Saw II "/>
    <s v="English"/>
    <x v="8"/>
    <n v="4000000"/>
    <x v="1"/>
    <n v="6.6"/>
  </r>
  <r>
    <n v="99"/>
    <n v="13464388"/>
    <s v="Shaun of the Dead "/>
    <s v="English"/>
    <x v="9"/>
    <n v="4000000"/>
    <x v="3"/>
    <n v="8"/>
  </r>
  <r>
    <n v="122"/>
    <n v="3950029"/>
    <s v="Of Gods and Men "/>
    <s v="French"/>
    <x v="7"/>
    <n v="4000000"/>
    <x v="11"/>
    <n v="7.2"/>
  </r>
  <r>
    <n v="99"/>
    <n v="274385"/>
    <s v="Soul Kitchen "/>
    <s v="German"/>
    <x v="12"/>
    <n v="4000000"/>
    <x v="13"/>
    <n v="7.3"/>
  </r>
  <r>
    <n v="94"/>
    <n v="105500000"/>
    <s v="Porky's "/>
    <s v="English"/>
    <x v="11"/>
    <n v="4000000"/>
    <x v="39"/>
    <n v="6.2"/>
  </r>
  <r>
    <n v="90"/>
    <n v="101055"/>
    <s v="Survival of the Dead "/>
    <s v="English"/>
    <x v="8"/>
    <n v="4000000"/>
    <x v="13"/>
    <n v="5"/>
  </r>
  <r>
    <n v="101"/>
    <n v="44566004"/>
    <s v="Lost in Translation "/>
    <s v="English"/>
    <x v="8"/>
    <n v="4000000"/>
    <x v="18"/>
    <n v="7.8"/>
  </r>
  <r>
    <n v="93"/>
    <n v="39200000"/>
    <s v="Annie Hall "/>
    <s v="English"/>
    <x v="8"/>
    <n v="4000000"/>
    <x v="40"/>
    <n v="8.1"/>
  </r>
  <r>
    <n v="152"/>
    <n v="36000000"/>
    <s v="The Greatest Show on Earth "/>
    <s v="English"/>
    <x v="8"/>
    <n v="4000000"/>
    <x v="58"/>
    <n v="6.7"/>
  </r>
  <r>
    <n v="112"/>
    <n v="31252964"/>
    <s v="Monster's Ball "/>
    <s v="English"/>
    <x v="8"/>
    <n v="4000000"/>
    <x v="8"/>
    <n v="7.1"/>
  </r>
  <r>
    <n v="91"/>
    <n v="35385560"/>
    <s v="The Boy Next Door "/>
    <s v="English"/>
    <x v="8"/>
    <n v="4000000"/>
    <x v="12"/>
    <n v="4.5999999999999996"/>
  </r>
  <r>
    <n v="93"/>
    <n v="13008928"/>
    <s v="They Live "/>
    <s v="English"/>
    <x v="8"/>
    <n v="4000000"/>
    <x v="4"/>
    <n v="7.3"/>
  </r>
  <r>
    <n v="165"/>
    <n v="25359200"/>
    <s v="Boyhood "/>
    <s v="English"/>
    <x v="8"/>
    <n v="4000000"/>
    <x v="16"/>
    <n v="8"/>
  </r>
  <r>
    <n v="96"/>
    <n v="10515579"/>
    <s v="Scoop "/>
    <s v="English"/>
    <x v="9"/>
    <n v="4000000"/>
    <x v="0"/>
    <n v="6.7"/>
  </r>
  <r>
    <n v="93"/>
    <n v="10097096"/>
    <s v="The Wash "/>
    <s v="English"/>
    <x v="8"/>
    <n v="4000000"/>
    <x v="8"/>
    <n v="4.5999999999999996"/>
  </r>
  <r>
    <n v="81"/>
    <n v="7825820"/>
    <s v="The Night Listener "/>
    <s v="English"/>
    <x v="8"/>
    <n v="4000000"/>
    <x v="0"/>
    <n v="5.9"/>
  </r>
  <r>
    <n v="86"/>
    <n v="17314483"/>
    <s v="A Haunted House 2 "/>
    <s v="English"/>
    <x v="8"/>
    <n v="4000000"/>
    <x v="16"/>
    <n v="4.7"/>
  </r>
  <r>
    <n v="110"/>
    <n v="6525762"/>
    <s v="The Rules of Attraction "/>
    <s v="English"/>
    <x v="8"/>
    <n v="4000000"/>
    <x v="20"/>
    <n v="6.7"/>
  </r>
  <r>
    <n v="110"/>
    <n v="4301331"/>
    <s v="Four Rooms "/>
    <s v="English"/>
    <x v="8"/>
    <n v="4000000"/>
    <x v="19"/>
    <n v="6.7"/>
  </r>
  <r>
    <n v="104"/>
    <n v="4046737"/>
    <s v="Secretary "/>
    <s v="English"/>
    <x v="8"/>
    <n v="4000000"/>
    <x v="20"/>
    <n v="7.1"/>
  </r>
  <r>
    <n v="110"/>
    <n v="3468572"/>
    <s v="Talk Radio "/>
    <s v="English"/>
    <x v="8"/>
    <n v="4000000"/>
    <x v="4"/>
    <n v="7.3"/>
  </r>
  <r>
    <n v="84"/>
    <n v="2892582"/>
    <s v="Waiting for Guffman "/>
    <s v="English"/>
    <x v="8"/>
    <n v="4000000"/>
    <x v="24"/>
    <n v="7.6"/>
  </r>
  <r>
    <n v="94"/>
    <n v="2800000"/>
    <s v="Love Stinks "/>
    <s v="English"/>
    <x v="8"/>
    <n v="4000000"/>
    <x v="5"/>
    <n v="5.8"/>
  </r>
  <r>
    <n v="93"/>
    <n v="2426851"/>
    <s v="You Kill Me "/>
    <s v="English"/>
    <x v="8"/>
    <n v="4000000"/>
    <x v="9"/>
    <n v="6.5"/>
  </r>
  <r>
    <n v="96"/>
    <n v="1325073"/>
    <s v="Thumbsucker "/>
    <s v="English"/>
    <x v="8"/>
    <n v="4000000"/>
    <x v="1"/>
    <n v="6.6"/>
  </r>
  <r>
    <n v="101"/>
    <n v="864959"/>
    <s v="Mirrormask "/>
    <s v="English"/>
    <x v="9"/>
    <n v="4000000"/>
    <x v="1"/>
    <n v="6.9"/>
  </r>
  <r>
    <n v="102"/>
    <n v="2601847"/>
    <s v="Samsara "/>
    <s v="None"/>
    <x v="8"/>
    <n v="4000000"/>
    <x v="15"/>
    <n v="8.5"/>
  </r>
  <r>
    <n v="87"/>
    <n v="800000"/>
    <s v="The Barbarians "/>
    <s v="English"/>
    <x v="8"/>
    <n v="4000000"/>
    <x v="32"/>
    <n v="4.8"/>
  </r>
  <r>
    <n v="99"/>
    <n v="562059"/>
    <s v="Poolhall Junkies "/>
    <s v="English"/>
    <x v="8"/>
    <n v="4000000"/>
    <x v="20"/>
    <n v="7"/>
  </r>
  <r>
    <n v="106"/>
    <n v="399793"/>
    <s v="The Loss of Sexual Innocence "/>
    <s v="English"/>
    <x v="8"/>
    <n v="4000000"/>
    <x v="5"/>
    <n v="5.4"/>
  </r>
  <r>
    <n v="117"/>
    <n v="371897"/>
    <s v="Joe "/>
    <s v="English"/>
    <x v="8"/>
    <n v="4000000"/>
    <x v="17"/>
    <n v="6.9"/>
  </r>
  <r>
    <n v="86"/>
    <n v="185577"/>
    <s v="The Big Tease "/>
    <s v="English"/>
    <x v="9"/>
    <n v="4000000"/>
    <x v="5"/>
    <n v="6.3"/>
  </r>
  <r>
    <n v="120"/>
    <n v="100412"/>
    <s v="Buen Día, Ramón "/>
    <s v="German"/>
    <x v="28"/>
    <n v="4000000"/>
    <x v="17"/>
    <n v="7.7"/>
  </r>
  <r>
    <n v="113"/>
    <n v="146402"/>
    <s v="Mondays in the Sun "/>
    <s v="Spanish"/>
    <x v="4"/>
    <n v="4000000"/>
    <x v="20"/>
    <n v="7.7"/>
  </r>
  <r>
    <n v="92"/>
    <n v="12836"/>
    <s v="The Last Time I Committed Suicide "/>
    <s v="English"/>
    <x v="8"/>
    <n v="4000000"/>
    <x v="2"/>
    <n v="5.8"/>
  </r>
  <r>
    <n v="106"/>
    <n v="20262"/>
    <s v="Futuro Beach "/>
    <s v="Portuguese"/>
    <x v="36"/>
    <n v="4000000"/>
    <x v="16"/>
    <n v="6.1"/>
  </r>
  <r>
    <n v="93"/>
    <n v="4063"/>
    <s v="Inescapable "/>
    <s v="English"/>
    <x v="11"/>
    <n v="4000000"/>
    <x v="10"/>
    <n v="5.2"/>
  </r>
  <r>
    <n v="104"/>
    <n v="143653"/>
    <s v="Desert Dancer "/>
    <s v="English"/>
    <x v="9"/>
    <n v="4000000"/>
    <x v="16"/>
    <n v="6"/>
  </r>
  <r>
    <n v="120"/>
    <n v="21244913"/>
    <s v="Bowling for Columbine "/>
    <s v="English"/>
    <x v="12"/>
    <n v="4000000"/>
    <x v="20"/>
    <n v="8"/>
  </r>
  <r>
    <n v="91"/>
    <n v="36200000"/>
    <s v="Friday the 13th Part III "/>
    <s v="English"/>
    <x v="8"/>
    <n v="4000000"/>
    <x v="37"/>
    <n v="5.7"/>
  </r>
  <r>
    <n v="112"/>
    <n v="375723"/>
    <s v="The Second Mother "/>
    <s v="Portuguese"/>
    <x v="36"/>
    <n v="4000000"/>
    <x v="12"/>
    <n v="7.9"/>
  </r>
  <r>
    <n v="97"/>
    <m/>
    <s v="The Signal "/>
    <s v="English"/>
    <x v="8"/>
    <n v="4000000"/>
    <x v="16"/>
    <n v="6.1"/>
  </r>
  <r>
    <n v="226"/>
    <n v="198655278"/>
    <s v="Gone with the Wind "/>
    <s v="English"/>
    <x v="8"/>
    <n v="3977000"/>
    <x v="59"/>
    <n v="8.1999999999999993"/>
  </r>
  <r>
    <n v="93"/>
    <n v="611709"/>
    <s v="Le Havre "/>
    <s v="French"/>
    <x v="37"/>
    <n v="3850000"/>
    <x v="15"/>
    <n v="7.2"/>
  </r>
  <r>
    <n v="152"/>
    <n v="14873"/>
    <s v="Major Dundee "/>
    <s v="English"/>
    <x v="8"/>
    <n v="3800000"/>
    <x v="42"/>
    <n v="6.8"/>
  </r>
  <r>
    <n v="99"/>
    <n v="19959"/>
    <s v="The Good Heart "/>
    <s v="English"/>
    <x v="35"/>
    <n v="3800000"/>
    <x v="13"/>
    <n v="6.9"/>
  </r>
  <r>
    <n v="115"/>
    <n v="610968"/>
    <s v="The Hunt "/>
    <s v="Danish"/>
    <x v="18"/>
    <n v="3800000"/>
    <x v="10"/>
    <n v="8.3000000000000007"/>
  </r>
  <r>
    <n v="85"/>
    <n v="100669"/>
    <s v="Saint John of Las Vegas "/>
    <s v="English"/>
    <x v="8"/>
    <n v="3800000"/>
    <x v="13"/>
    <n v="5.8"/>
  </r>
  <r>
    <n v="107"/>
    <n v="8000000"/>
    <s v="Annie Get Your Gun "/>
    <s v="English"/>
    <x v="8"/>
    <n v="3768785"/>
    <x v="60"/>
    <n v="7"/>
  </r>
  <r>
    <n v="102"/>
    <n v="2956000"/>
    <s v="The Pirate "/>
    <s v="English"/>
    <x v="8"/>
    <n v="3700000"/>
    <x v="61"/>
    <n v="7.1"/>
  </r>
  <r>
    <n v="111"/>
    <n v="31968347"/>
    <s v="Leaving Las Vegas "/>
    <s v="English"/>
    <x v="8"/>
    <n v="3600000"/>
    <x v="19"/>
    <n v="7.6"/>
  </r>
  <r>
    <n v="37"/>
    <n v="5923044"/>
    <s v="Evil Dead II "/>
    <s v="English"/>
    <x v="8"/>
    <n v="3600000"/>
    <x v="32"/>
    <n v="7.8"/>
  </r>
  <r>
    <n v="112"/>
    <n v="32541719"/>
    <s v="Bend It Like Beckham "/>
    <s v="English"/>
    <x v="9"/>
    <n v="3500159"/>
    <x v="20"/>
    <n v="6.7"/>
  </r>
  <r>
    <n v="100"/>
    <n v="26005908"/>
    <s v="The Descent "/>
    <s v="English"/>
    <x v="9"/>
    <n v="3500000"/>
    <x v="1"/>
    <n v="7.2"/>
  </r>
  <r>
    <n v="103"/>
    <n v="236266"/>
    <s v="Gerry "/>
    <s v="English"/>
    <x v="8"/>
    <n v="3500000"/>
    <x v="20"/>
    <n v="6.2"/>
  </r>
  <r>
    <n v="106"/>
    <n v="20803237"/>
    <s v="The Kids Are All Right "/>
    <s v="English"/>
    <x v="8"/>
    <n v="3500000"/>
    <x v="11"/>
    <n v="7.1"/>
  </r>
  <r>
    <n v="95"/>
    <n v="37606"/>
    <s v="Defendor "/>
    <s v="English"/>
    <x v="11"/>
    <n v="3500000"/>
    <x v="13"/>
    <n v="6.8"/>
  </r>
  <r>
    <n v="91"/>
    <n v="45857453"/>
    <s v="The Full Monty "/>
    <s v="English"/>
    <x v="9"/>
    <n v="3500000"/>
    <x v="2"/>
    <n v="7.2"/>
  </r>
  <r>
    <n v="88"/>
    <n v="83400000"/>
    <s v="Airplane! "/>
    <s v="English"/>
    <x v="8"/>
    <n v="3500000"/>
    <x v="31"/>
    <n v="7.8"/>
  </r>
  <r>
    <n v="97"/>
    <n v="27900000"/>
    <s v="Friday "/>
    <s v="English"/>
    <x v="8"/>
    <n v="3500000"/>
    <x v="19"/>
    <n v="7.3"/>
  </r>
  <r>
    <n v="97"/>
    <n v="27900000"/>
    <s v="Menace II Society "/>
    <s v="English"/>
    <x v="8"/>
    <n v="3500000"/>
    <x v="27"/>
    <n v="7.5"/>
  </r>
  <r>
    <n v="85"/>
    <n v="14000000"/>
    <s v="Creepshow 2 "/>
    <s v="English"/>
    <x v="8"/>
    <n v="3500000"/>
    <x v="32"/>
    <n v="6"/>
  </r>
  <r>
    <n v="92"/>
    <n v="25138292"/>
    <s v="The Witch "/>
    <s v="English"/>
    <x v="8"/>
    <n v="3500000"/>
    <x v="12"/>
    <n v="6.8"/>
  </r>
  <r>
    <n v="93"/>
    <n v="10305534"/>
    <s v="I Got the Hook Up "/>
    <s v="English"/>
    <x v="8"/>
    <n v="3500000"/>
    <x v="6"/>
    <n v="3.9"/>
  </r>
  <r>
    <n v="96"/>
    <n v="9449219"/>
    <s v="She's the One "/>
    <s v="English"/>
    <x v="8"/>
    <n v="3500000"/>
    <x v="24"/>
    <n v="6.1"/>
  </r>
  <r>
    <n v="105"/>
    <n v="6390032"/>
    <s v="Gods and Monsters "/>
    <s v="English"/>
    <x v="8"/>
    <n v="3500000"/>
    <x v="6"/>
    <n v="7.5"/>
  </r>
  <r>
    <n v="106"/>
    <n v="886410"/>
    <s v="La otra conquista "/>
    <s v="Spanish"/>
    <x v="28"/>
    <n v="3500000"/>
    <x v="6"/>
    <n v="6.8"/>
  </r>
  <r>
    <n v="101"/>
    <n v="220234"/>
    <s v="Ira &amp; Abby "/>
    <s v="English"/>
    <x v="8"/>
    <n v="3500000"/>
    <x v="0"/>
    <n v="6.5"/>
  </r>
  <r>
    <n v="98"/>
    <n v="101228"/>
    <s v="Winter Passing "/>
    <s v="English"/>
    <x v="8"/>
    <n v="3500000"/>
    <x v="1"/>
    <n v="6.4"/>
  </r>
  <r>
    <n v="91"/>
    <n v="96793"/>
    <s v="D.E.B.S. "/>
    <s v="English"/>
    <x v="8"/>
    <n v="3500000"/>
    <x v="3"/>
    <n v="5.3"/>
  </r>
  <r>
    <n v="105"/>
    <n v="123777"/>
    <s v="The Masked Saint "/>
    <s v="English"/>
    <x v="11"/>
    <n v="3500000"/>
    <x v="14"/>
    <n v="4.7"/>
  </r>
  <r>
    <n v="107"/>
    <n v="5354039"/>
    <s v="Margin Call "/>
    <s v="English"/>
    <x v="8"/>
    <n v="3500000"/>
    <x v="15"/>
    <n v="7.1"/>
  </r>
  <r>
    <n v="94"/>
    <n v="16501785"/>
    <s v="Trainspotting "/>
    <s v="English"/>
    <x v="9"/>
    <n v="3500000"/>
    <x v="24"/>
    <n v="8.1999999999999993"/>
  </r>
  <r>
    <n v="87"/>
    <n v="3071947"/>
    <s v="Jawbreaker "/>
    <s v="English"/>
    <x v="8"/>
    <n v="3500000"/>
    <x v="5"/>
    <n v="5.4"/>
  </r>
  <r>
    <n v="110"/>
    <n v="2848578"/>
    <s v="Letters to God "/>
    <s v="English"/>
    <x v="8"/>
    <n v="3500000"/>
    <x v="11"/>
    <n v="6.3"/>
  </r>
  <r>
    <n v="81"/>
    <n v="7267324"/>
    <s v="Run Lola Run "/>
    <s v="German"/>
    <x v="12"/>
    <n v="3500000"/>
    <x v="6"/>
    <n v="7.8"/>
  </r>
  <r>
    <n v="112"/>
    <n v="9701559"/>
    <s v="Blue Valentine "/>
    <s v="English"/>
    <x v="8"/>
    <n v="3500000"/>
    <x v="11"/>
    <n v="7.4"/>
  </r>
  <r>
    <n v="91"/>
    <n v="45857453"/>
    <s v="The Full Monty "/>
    <s v="English"/>
    <x v="9"/>
    <n v="3500000"/>
    <x v="2"/>
    <n v="7.2"/>
  </r>
  <r>
    <n v="105"/>
    <n v="7159147"/>
    <s v="The Orphanage "/>
    <s v="Spanish"/>
    <x v="4"/>
    <n v="3400000"/>
    <x v="9"/>
    <n v="7.5"/>
  </r>
  <r>
    <n v="86"/>
    <n v="535249"/>
    <s v="The Virginity Hit "/>
    <s v="English"/>
    <x v="8"/>
    <n v="3400000"/>
    <x v="11"/>
    <n v="4.5999999999999996"/>
  </r>
  <r>
    <n v="83"/>
    <n v="25799043"/>
    <s v="The Lazarus Effect "/>
    <s v="English"/>
    <x v="8"/>
    <n v="3300000"/>
    <x v="12"/>
    <n v="5.2"/>
  </r>
  <r>
    <n v="107"/>
    <n v="13092000"/>
    <s v="Whiplash "/>
    <s v="English"/>
    <x v="8"/>
    <n v="3300000"/>
    <x v="16"/>
    <n v="8.5"/>
  </r>
  <r>
    <n v="135"/>
    <n v="7563397"/>
    <s v="City of God "/>
    <s v="Portuguese"/>
    <x v="36"/>
    <n v="3300000"/>
    <x v="20"/>
    <n v="8.6999999999999993"/>
  </r>
  <r>
    <n v="91"/>
    <n v="8108247"/>
    <s v="Bella "/>
    <s v="English"/>
    <x v="8"/>
    <n v="3300000"/>
    <x v="0"/>
    <n v="7.4"/>
  </r>
  <r>
    <n v="108"/>
    <n v="2961991"/>
    <s v="Basquiat "/>
    <s v="English"/>
    <x v="8"/>
    <n v="3300000"/>
    <x v="24"/>
    <n v="6.9"/>
  </r>
  <r>
    <n v="101"/>
    <n v="8243880"/>
    <s v="The Cooler "/>
    <s v="English"/>
    <x v="8"/>
    <n v="3200000"/>
    <x v="18"/>
    <n v="7"/>
  </r>
  <r>
    <n v="105"/>
    <n v="5776314"/>
    <s v="Beginners "/>
    <s v="English"/>
    <x v="8"/>
    <n v="3200000"/>
    <x v="11"/>
    <n v="7.2"/>
  </r>
  <r>
    <n v="87"/>
    <n v="1200000"/>
    <s v="Excessive Force "/>
    <s v="English"/>
    <x v="8"/>
    <n v="3000000"/>
    <x v="27"/>
    <n v="5.0999999999999996"/>
  </r>
  <r>
    <n v="76"/>
    <n v="13684949"/>
    <s v="Hey Arnold! The Movie "/>
    <s v="English"/>
    <x v="8"/>
    <n v="3000000"/>
    <x v="20"/>
    <n v="5.9"/>
  </r>
  <r>
    <n v="96"/>
    <n v="11642254"/>
    <s v="Halloween 5 "/>
    <s v="English"/>
    <x v="8"/>
    <n v="3000000"/>
    <x v="28"/>
    <n v="5.2"/>
  </r>
  <r>
    <n v="90"/>
    <n v="24475193"/>
    <s v="Don Jon "/>
    <s v="English"/>
    <x v="8"/>
    <n v="3000000"/>
    <x v="17"/>
    <n v="6.6"/>
  </r>
  <r>
    <n v="112"/>
    <n v="26345"/>
    <s v="The Sweeney "/>
    <s v="English"/>
    <x v="9"/>
    <n v="3000000"/>
    <x v="10"/>
    <n v="6.1"/>
  </r>
  <r>
    <n v="99"/>
    <n v="302204"/>
    <s v="Shooting Fish "/>
    <s v="English"/>
    <x v="9"/>
    <n v="3000000"/>
    <x v="2"/>
    <n v="6.6"/>
  </r>
  <r>
    <n v="81"/>
    <n v="3293258"/>
    <s v="Pootie Tang "/>
    <s v="English"/>
    <x v="8"/>
    <n v="3000000"/>
    <x v="8"/>
    <n v="5.2"/>
  </r>
  <r>
    <n v="92"/>
    <n v="2926565"/>
    <s v="Choke "/>
    <s v="English"/>
    <x v="8"/>
    <n v="3000000"/>
    <x v="7"/>
    <n v="6.5"/>
  </r>
  <r>
    <n v="101"/>
    <n v="6517198"/>
    <s v="Maria Full of Grace "/>
    <s v="Spanish"/>
    <x v="38"/>
    <n v="3000000"/>
    <x v="3"/>
    <n v="7.5"/>
  </r>
  <r>
    <n v="109"/>
    <n v="141600000"/>
    <s v="Animal House "/>
    <s v="English"/>
    <x v="8"/>
    <n v="3000000"/>
    <x v="30"/>
    <n v="7.6"/>
  </r>
  <r>
    <n v="110"/>
    <n v="51100000"/>
    <s v="Goldfinger "/>
    <s v="English"/>
    <x v="9"/>
    <n v="3000000"/>
    <x v="43"/>
    <n v="7.8"/>
  </r>
  <r>
    <n v="115"/>
    <n v="38168022"/>
    <s v="The Original Kings of Comedy "/>
    <s v="English"/>
    <x v="8"/>
    <n v="3000000"/>
    <x v="21"/>
    <n v="6.6"/>
  </r>
  <r>
    <n v="98"/>
    <n v="84749884"/>
    <s v="Paranormal Activity 2 "/>
    <s v="English"/>
    <x v="8"/>
    <n v="3000000"/>
    <x v="11"/>
    <n v="5.7"/>
  </r>
  <r>
    <n v="91"/>
    <n v="24788807"/>
    <s v="Waking Ned Devine "/>
    <s v="English"/>
    <x v="9"/>
    <n v="3000000"/>
    <x v="6"/>
    <n v="7.4"/>
  </r>
  <r>
    <n v="117"/>
    <n v="20966644"/>
    <s v="A Room with a View "/>
    <s v="English"/>
    <x v="9"/>
    <n v="3000000"/>
    <x v="33"/>
    <n v="7.4"/>
  </r>
  <r>
    <n v="85"/>
    <n v="64423650"/>
    <s v="The Purge "/>
    <s v="English"/>
    <x v="8"/>
    <n v="3000000"/>
    <x v="17"/>
    <n v="5.7"/>
  </r>
  <r>
    <n v="110"/>
    <n v="48056940"/>
    <s v="Sinister "/>
    <s v="English"/>
    <x v="8"/>
    <n v="3000000"/>
    <x v="10"/>
    <n v="6.8"/>
  </r>
  <r>
    <n v="113"/>
    <n v="19184015"/>
    <s v="Martin Lawrence Live: Runteldat "/>
    <s v="English"/>
    <x v="8"/>
    <n v="3000000"/>
    <x v="20"/>
    <n v="5.4"/>
  </r>
  <r>
    <n v="98"/>
    <n v="24629916"/>
    <s v="Air Bud "/>
    <s v="English"/>
    <x v="8"/>
    <n v="3000000"/>
    <x v="2"/>
    <n v="5.0999999999999996"/>
  </r>
  <r>
    <n v="86"/>
    <n v="19472057"/>
    <s v="Jason Lives: Friday the 13th Part VI "/>
    <s v="English"/>
    <x v="8"/>
    <n v="3000000"/>
    <x v="34"/>
    <n v="5.9"/>
  </r>
  <r>
    <n v="161"/>
    <n v="27200000"/>
    <s v="The Bridge on the River Kwai "/>
    <s v="English"/>
    <x v="9"/>
    <n v="3000000"/>
    <x v="62"/>
    <n v="8.1999999999999993"/>
  </r>
  <r>
    <n v="100"/>
    <n v="15369573"/>
    <s v="Spaced Invaders "/>
    <s v="English"/>
    <x v="8"/>
    <n v="3000000"/>
    <x v="25"/>
    <n v="5.3"/>
  </r>
  <r>
    <n v="100"/>
    <n v="11694528"/>
    <s v="Dave Chappelle's Block Party "/>
    <s v="English"/>
    <x v="8"/>
    <n v="3000000"/>
    <x v="1"/>
    <n v="7.2"/>
  </r>
  <r>
    <n v="84"/>
    <n v="10017041"/>
    <s v="Next Day Air "/>
    <s v="English"/>
    <x v="8"/>
    <n v="3000000"/>
    <x v="13"/>
    <n v="5.9"/>
  </r>
  <r>
    <n v="99"/>
    <n v="7059537"/>
    <s v="Phat Girlz "/>
    <s v="English"/>
    <x v="8"/>
    <n v="3000000"/>
    <x v="0"/>
    <n v="3"/>
  </r>
  <r>
    <n v="109"/>
    <n v="8114507"/>
    <s v="Before Midnight "/>
    <s v="English"/>
    <x v="8"/>
    <n v="3000000"/>
    <x v="17"/>
    <n v="7.9"/>
  </r>
  <r>
    <n v="95"/>
    <n v="7888703"/>
    <s v="Teen Wolf Too "/>
    <s v="English"/>
    <x v="8"/>
    <n v="3000000"/>
    <x v="32"/>
    <n v="3.2"/>
  </r>
  <r>
    <n v="97"/>
    <n v="7282851"/>
    <s v="Phantasm II "/>
    <s v="English"/>
    <x v="8"/>
    <n v="3000000"/>
    <x v="4"/>
    <n v="6.5"/>
  </r>
  <r>
    <n v="90"/>
    <n v="5844929"/>
    <s v="Real Women Have Curves "/>
    <s v="English"/>
    <x v="8"/>
    <n v="3000000"/>
    <x v="20"/>
    <n v="7"/>
  </r>
  <r>
    <n v="82"/>
    <n v="4142507"/>
    <s v="Whipped "/>
    <s v="English"/>
    <x v="8"/>
    <n v="3000000"/>
    <x v="21"/>
    <n v="4.4000000000000004"/>
  </r>
  <r>
    <n v="109"/>
    <n v="4109095"/>
    <s v="Kama Sutra: A Tale of Love "/>
    <s v="English"/>
    <x v="8"/>
    <n v="3000000"/>
    <x v="24"/>
    <n v="6"/>
  </r>
  <r>
    <n v="98"/>
    <n v="3902679"/>
    <s v="Warlock: The Armageddon "/>
    <s v="English"/>
    <x v="8"/>
    <n v="3000000"/>
    <x v="27"/>
    <n v="5.3"/>
  </r>
  <r>
    <n v="95"/>
    <n v="3559990"/>
    <s v="8 Heads in a Duffel Bag "/>
    <s v="English"/>
    <x v="8"/>
    <n v="3000000"/>
    <x v="2"/>
    <n v="5.3"/>
  </r>
  <r>
    <n v="94"/>
    <n v="2912363"/>
    <s v="Tsotsi "/>
    <s v="Zulu"/>
    <x v="9"/>
    <n v="3000000"/>
    <x v="1"/>
    <n v="7.3"/>
  </r>
  <r>
    <n v="134"/>
    <n v="3000000"/>
    <s v="Happiness "/>
    <s v="English"/>
    <x v="8"/>
    <n v="3000000"/>
    <x v="6"/>
    <n v="7.8"/>
  </r>
  <r>
    <n v="89"/>
    <n v="2223990"/>
    <s v="DysFunktional Family "/>
    <s v="English"/>
    <x v="8"/>
    <n v="3000000"/>
    <x v="18"/>
    <n v="6.6"/>
  </r>
  <r>
    <n v="102"/>
    <n v="1821983"/>
    <s v="Tusk "/>
    <s v="English"/>
    <x v="8"/>
    <n v="3000000"/>
    <x v="16"/>
    <n v="5.4"/>
  </r>
  <r>
    <n v="120"/>
    <n v="2181290"/>
    <s v="Oldboy "/>
    <s v="Korean"/>
    <x v="0"/>
    <n v="3000000"/>
    <x v="18"/>
    <n v="8.4"/>
  </r>
  <r>
    <n v="86"/>
    <n v="703002"/>
    <s v="Hobo with a Shotgun "/>
    <s v="English"/>
    <x v="11"/>
    <n v="3000000"/>
    <x v="15"/>
    <n v="6.1"/>
  </r>
  <r>
    <n v="87"/>
    <n v="418268"/>
    <s v="Bachelorette "/>
    <s v="English"/>
    <x v="8"/>
    <n v="3000000"/>
    <x v="10"/>
    <n v="5.3"/>
  </r>
  <r>
    <n v="93"/>
    <n v="200803"/>
    <s v="Tim and Eric's Billion Dollar Movie "/>
    <s v="English"/>
    <x v="8"/>
    <n v="3000000"/>
    <x v="10"/>
    <n v="5.3"/>
  </r>
  <r>
    <n v="97"/>
    <n v="39852"/>
    <s v="Just Looking "/>
    <s v="English"/>
    <x v="8"/>
    <n v="3000000"/>
    <x v="5"/>
    <n v="6.7"/>
  </r>
  <r>
    <n v="122"/>
    <n v="22000"/>
    <s v="The Divide "/>
    <s v="English"/>
    <x v="12"/>
    <n v="3000000"/>
    <x v="15"/>
    <n v="5.8"/>
  </r>
  <r>
    <n v="95"/>
    <n v="1028658"/>
    <s v="Buried "/>
    <s v="English"/>
    <x v="4"/>
    <n v="3000000"/>
    <x v="11"/>
    <n v="7"/>
  </r>
  <r>
    <n v="94"/>
    <n v="16101109"/>
    <s v="Waiting... "/>
    <s v="English"/>
    <x v="8"/>
    <n v="3000000"/>
    <x v="1"/>
    <n v="6.8"/>
  </r>
  <r>
    <n v="113"/>
    <n v="5595428"/>
    <s v="Central Station "/>
    <s v="Portuguese"/>
    <x v="36"/>
    <n v="2900000"/>
    <x v="6"/>
    <n v="8"/>
  </r>
  <r>
    <n v="120"/>
    <n v="25000000"/>
    <s v="Some Like It Hot "/>
    <s v="English"/>
    <x v="8"/>
    <n v="2883848"/>
    <x v="63"/>
    <n v="8.3000000000000007"/>
  </r>
  <r>
    <n v="94"/>
    <n v="1247453"/>
    <s v="Tristram Shandy: A Cock and Bull Story "/>
    <s v="English"/>
    <x v="9"/>
    <n v="2800000"/>
    <x v="1"/>
    <n v="6.8"/>
  </r>
  <r>
    <n v="88"/>
    <n v="19170001"/>
    <s v="Friday the 13th Part VII: The New Blood "/>
    <s v="English"/>
    <x v="8"/>
    <n v="2800000"/>
    <x v="4"/>
    <n v="5.3"/>
  </r>
  <r>
    <n v="102"/>
    <n v="22202612"/>
    <s v="The Wizard of Oz "/>
    <s v="English"/>
    <x v="8"/>
    <n v="2800000"/>
    <x v="59"/>
    <n v="8.1"/>
  </r>
  <r>
    <n v="106"/>
    <n v="86300000"/>
    <s v="Young Frankenstein "/>
    <s v="English"/>
    <x v="8"/>
    <n v="2800000"/>
    <x v="45"/>
    <n v="8"/>
  </r>
  <r>
    <n v="93"/>
    <n v="3500000"/>
    <s v="The Wraith "/>
    <s v="English"/>
    <x v="8"/>
    <n v="2700000"/>
    <x v="34"/>
    <n v="5.9"/>
  </r>
  <r>
    <n v="98"/>
    <n v="95016"/>
    <s v="Summer Storm "/>
    <s v="German"/>
    <x v="12"/>
    <n v="2700000"/>
    <x v="3"/>
    <n v="7.4"/>
  </r>
  <r>
    <n v="113"/>
    <n v="9054736"/>
    <s v="Ulee's Gold "/>
    <s v="English"/>
    <x v="8"/>
    <n v="2700000"/>
    <x v="2"/>
    <n v="7.1"/>
  </r>
  <r>
    <n v="80"/>
    <n v="5792822"/>
    <s v="Before Sunset "/>
    <s v="English"/>
    <x v="8"/>
    <n v="2700000"/>
    <x v="3"/>
    <n v="8"/>
  </r>
  <r>
    <n v="88"/>
    <n v="84300000"/>
    <s v="Pinocchio "/>
    <s v="English"/>
    <x v="8"/>
    <n v="2600000"/>
    <x v="64"/>
    <n v="7.5"/>
  </r>
  <r>
    <n v="93"/>
    <n v="119500000"/>
    <s v="Blazing Saddles "/>
    <s v="English"/>
    <x v="8"/>
    <n v="2600000"/>
    <x v="45"/>
    <n v="7.8"/>
  </r>
  <r>
    <n v="140"/>
    <n v="3130592"/>
    <s v="Maurice "/>
    <s v="English"/>
    <x v="9"/>
    <n v="2600000"/>
    <x v="32"/>
    <n v="7.8"/>
  </r>
  <r>
    <n v="66"/>
    <n v="38108"/>
    <s v="Timecrimes "/>
    <s v="Spanish"/>
    <x v="4"/>
    <n v="2600000"/>
    <x v="9"/>
    <n v="7.2"/>
  </r>
  <r>
    <n v="91"/>
    <n v="2850263"/>
    <s v="Airborne "/>
    <s v="English"/>
    <x v="8"/>
    <n v="2600000"/>
    <x v="27"/>
    <n v="6.2"/>
  </r>
  <r>
    <n v="99"/>
    <n v="92191"/>
    <s v="Mean Machine "/>
    <s v="English"/>
    <x v="9"/>
    <n v="2500000"/>
    <x v="8"/>
    <n v="6.5"/>
  </r>
  <r>
    <n v="91"/>
    <n v="15935068"/>
    <s v="Jason Goes to Hell: The Final Friday "/>
    <s v="English"/>
    <x v="8"/>
    <n v="2500000"/>
    <x v="27"/>
    <n v="4.3"/>
  </r>
  <r>
    <n v="86"/>
    <n v="40041683"/>
    <s v="A Haunted House "/>
    <s v="English"/>
    <x v="8"/>
    <n v="2500000"/>
    <x v="17"/>
    <n v="5.0999999999999996"/>
  </r>
  <r>
    <n v="87"/>
    <n v="33349949"/>
    <s v="2016: Obama's America "/>
    <s v="English"/>
    <x v="8"/>
    <n v="2500000"/>
    <x v="10"/>
    <n v="5.0999999999999996"/>
  </r>
  <r>
    <n v="98"/>
    <n v="14400000"/>
    <s v="Halloween III: Season of the Witch "/>
    <s v="English"/>
    <x v="8"/>
    <n v="2500000"/>
    <x v="37"/>
    <n v="4.5999999999999996"/>
  </r>
  <r>
    <n v="75"/>
    <n v="32230907"/>
    <s v="Kevin Hart: Let Me Explain "/>
    <s v="English"/>
    <x v="8"/>
    <n v="2500000"/>
    <x v="17"/>
    <n v="6.7"/>
  </r>
  <r>
    <n v="104"/>
    <n v="6401336"/>
    <s v="My Own Private Idaho "/>
    <s v="English"/>
    <x v="8"/>
    <n v="2500000"/>
    <x v="23"/>
    <n v="7.1"/>
  </r>
  <r>
    <n v="102"/>
    <n v="26781723"/>
    <s v="Garden State "/>
    <s v="English"/>
    <x v="8"/>
    <n v="2500000"/>
    <x v="3"/>
    <n v="7.6"/>
  </r>
  <r>
    <n v="105"/>
    <n v="5400000"/>
    <s v="Before Sunrise "/>
    <s v="English"/>
    <x v="8"/>
    <n v="2500000"/>
    <x v="19"/>
    <n v="8.1"/>
  </r>
  <r>
    <n v="107"/>
    <n v="1282084"/>
    <s v="Jesus' Son "/>
    <s v="English"/>
    <x v="8"/>
    <n v="2500000"/>
    <x v="5"/>
    <n v="7"/>
  </r>
  <r>
    <n v="89"/>
    <n v="3325638"/>
    <s v="Robot &amp; Frank "/>
    <s v="English"/>
    <x v="8"/>
    <n v="2500000"/>
    <x v="10"/>
    <n v="7.1"/>
  </r>
  <r>
    <n v="95"/>
    <n v="6851969"/>
    <s v="The Spectacular Now "/>
    <s v="English"/>
    <x v="8"/>
    <n v="2500000"/>
    <x v="17"/>
    <n v="7.1"/>
  </r>
  <r>
    <n v="101"/>
    <n v="12995673"/>
    <s v="Religulous "/>
    <s v="English"/>
    <x v="8"/>
    <n v="2500000"/>
    <x v="7"/>
    <n v="7.7"/>
  </r>
  <r>
    <n v="112"/>
    <n v="173783"/>
    <s v="Fuel "/>
    <s v="English"/>
    <x v="8"/>
    <n v="2500000"/>
    <x v="7"/>
    <n v="7.6"/>
  </r>
  <r>
    <n v="100"/>
    <n v="118666"/>
    <s v="Valley of the Heart's Delight "/>
    <s v="English"/>
    <x v="8"/>
    <n v="2500000"/>
    <x v="0"/>
    <n v="6.6"/>
  </r>
  <r>
    <n v="100"/>
    <n v="71904"/>
    <s v="Eye of the Dolphin "/>
    <s v="English"/>
    <x v="8"/>
    <n v="2500000"/>
    <x v="0"/>
    <n v="5.7"/>
  </r>
  <r>
    <n v="80"/>
    <n v="99851"/>
    <s v="8: The Mormon Proposition "/>
    <s v="English"/>
    <x v="8"/>
    <n v="2500000"/>
    <x v="11"/>
    <n v="7.1"/>
  </r>
  <r>
    <n v="90"/>
    <n v="75727"/>
    <s v="Sleep Dealer "/>
    <s v="Spanish"/>
    <x v="8"/>
    <n v="2500000"/>
    <x v="7"/>
    <n v="5.9"/>
  </r>
  <r>
    <n v="96"/>
    <n v="322157"/>
    <s v="Super "/>
    <s v="English"/>
    <x v="8"/>
    <n v="2500000"/>
    <x v="11"/>
    <n v="6.8"/>
  </r>
  <r>
    <n v="101"/>
    <n v="1163508"/>
    <s v="The Lords of Salem "/>
    <s v="English"/>
    <x v="8"/>
    <n v="2500000"/>
    <x v="10"/>
    <n v="5.0999999999999996"/>
  </r>
  <r>
    <n v="108"/>
    <n v="548712"/>
    <s v="All the Real Girls "/>
    <s v="English"/>
    <x v="8"/>
    <n v="2500000"/>
    <x v="18"/>
    <n v="6.9"/>
  </r>
  <r>
    <n v="105"/>
    <n v="178739"/>
    <s v="Go for It! "/>
    <s v="English"/>
    <x v="8"/>
    <n v="2450000"/>
    <x v="15"/>
    <n v="3.9"/>
  </r>
  <r>
    <n v="120"/>
    <n v="5731103"/>
    <s v="Get on the Bus "/>
    <s v="English"/>
    <x v="8"/>
    <n v="2400000"/>
    <x v="24"/>
    <n v="6.8"/>
  </r>
  <r>
    <n v="101"/>
    <n v="978908"/>
    <s v="Thr3e "/>
    <s v="English"/>
    <x v="39"/>
    <n v="2400000"/>
    <x v="0"/>
    <n v="5.0999999999999996"/>
  </r>
  <r>
    <n v="112"/>
    <n v="62549000"/>
    <s v="The Crying Game "/>
    <s v="English"/>
    <x v="9"/>
    <n v="2300000"/>
    <x v="26"/>
    <n v="7.3"/>
  </r>
  <r>
    <n v="96"/>
    <n v="792966"/>
    <s v="The Toxic Avenger Part II "/>
    <s v="English"/>
    <x v="8"/>
    <n v="2300000"/>
    <x v="28"/>
    <n v="5.0999999999999996"/>
  </r>
  <r>
    <n v="92"/>
    <n v="7927"/>
    <s v="The Lady from Shanghai "/>
    <s v="English"/>
    <x v="8"/>
    <n v="2300000"/>
    <x v="65"/>
    <n v="7.7"/>
  </r>
  <r>
    <n v="120"/>
    <n v="76400000"/>
    <s v="Fantasia "/>
    <s v="English"/>
    <x v="8"/>
    <n v="2280000"/>
    <x v="64"/>
    <n v="7.8"/>
  </r>
  <r>
    <n v="99"/>
    <n v="104257"/>
    <s v="Human Traffic "/>
    <s v="English"/>
    <x v="9"/>
    <n v="2200000"/>
    <x v="5"/>
    <n v="7.1"/>
  </r>
  <r>
    <n v="87"/>
    <n v="30000000"/>
    <s v="A Nightmare on Elm Street 2: Freddy's Revenge "/>
    <s v="English"/>
    <x v="8"/>
    <n v="2200000"/>
    <x v="33"/>
    <n v="5.4"/>
  </r>
  <r>
    <n v="89"/>
    <n v="3645438"/>
    <s v="High Tension "/>
    <s v="French"/>
    <x v="7"/>
    <n v="2200000"/>
    <x v="18"/>
    <n v="6.8"/>
  </r>
  <r>
    <n v="92"/>
    <n v="21300000"/>
    <s v="Friday the 13th: A New Beginning "/>
    <s v="English"/>
    <x v="8"/>
    <n v="2200000"/>
    <x v="33"/>
    <n v="4.7"/>
  </r>
  <r>
    <n v="117"/>
    <n v="379643"/>
    <s v="The Last Sin Eater "/>
    <s v="English"/>
    <x v="8"/>
    <n v="2200000"/>
    <x v="9"/>
    <n v="5.9"/>
  </r>
  <r>
    <n v="172"/>
    <n v="23650000"/>
    <s v="The Best Years of Our Lives "/>
    <s v="English"/>
    <x v="8"/>
    <n v="2100000"/>
    <x v="52"/>
    <n v="8.1"/>
  </r>
  <r>
    <n v="125"/>
    <n v="3330"/>
    <s v="Mi America "/>
    <s v="English"/>
    <x v="8"/>
    <n v="2100000"/>
    <x v="12"/>
    <n v="7.2"/>
  </r>
  <r>
    <n v="100"/>
    <n v="13746550"/>
    <s v="Hit and Run "/>
    <s v="English"/>
    <x v="8"/>
    <n v="2000000"/>
    <x v="10"/>
    <n v="6.1"/>
  </r>
  <r>
    <n v="104"/>
    <n v="1900725"/>
    <s v="The Proposition "/>
    <s v="English"/>
    <x v="13"/>
    <n v="2000000"/>
    <x v="1"/>
    <n v="7.4"/>
  </r>
  <r>
    <n v="106"/>
    <n v="13622333"/>
    <s v="Y Tu Mamá También "/>
    <s v="Spanish"/>
    <x v="28"/>
    <n v="2000000"/>
    <x v="8"/>
    <n v="7.7"/>
  </r>
  <r>
    <n v="90"/>
    <n v="99147"/>
    <s v="Desert Blue "/>
    <s v="English"/>
    <x v="8"/>
    <n v="2000000"/>
    <x v="6"/>
    <n v="6.2"/>
  </r>
  <r>
    <n v="106"/>
    <n v="410241"/>
    <s v="Spun "/>
    <s v="English"/>
    <x v="8"/>
    <n v="2000000"/>
    <x v="20"/>
    <n v="6.8"/>
  </r>
  <r>
    <n v="109"/>
    <n v="2706659"/>
    <s v="The History Boys "/>
    <s v="English"/>
    <x v="9"/>
    <n v="2000000"/>
    <x v="0"/>
    <n v="6.9"/>
  </r>
  <r>
    <n v="129"/>
    <n v="20167424"/>
    <s v="The Secret in Their Eyes "/>
    <s v="Spanish"/>
    <x v="40"/>
    <n v="2000000"/>
    <x v="13"/>
    <n v="8.1999999999999993"/>
  </r>
  <r>
    <n v="95"/>
    <n v="952620"/>
    <s v="Diary of the Dead "/>
    <s v="English"/>
    <x v="8"/>
    <n v="2000000"/>
    <x v="9"/>
    <n v="5.7"/>
  </r>
  <r>
    <n v="106"/>
    <n v="395592"/>
    <s v="My Life Without Me "/>
    <s v="English"/>
    <x v="4"/>
    <n v="2000000"/>
    <x v="18"/>
    <n v="7.6"/>
  </r>
  <r>
    <n v="115"/>
    <n v="24800000"/>
    <s v="From Russia with Love "/>
    <s v="English"/>
    <x v="9"/>
    <n v="2000000"/>
    <x v="38"/>
    <n v="7.5"/>
  </r>
  <r>
    <n v="100"/>
    <n v="14673301"/>
    <s v="It Follows "/>
    <s v="English"/>
    <x v="8"/>
    <n v="2000000"/>
    <x v="16"/>
    <n v="6.9"/>
  </r>
  <r>
    <n v="87"/>
    <n v="9003011"/>
    <s v="Mad Max 2: The Road Warrior "/>
    <s v="English"/>
    <x v="13"/>
    <n v="2000000"/>
    <x v="39"/>
    <n v="7.6"/>
  </r>
  <r>
    <n v="102"/>
    <n v="11546543"/>
    <s v="The Legend of Drunken Master "/>
    <s v="Cantonese"/>
    <x v="15"/>
    <n v="2000000"/>
    <x v="22"/>
    <n v="7.6"/>
  </r>
  <r>
    <n v="118"/>
    <n v="11533945"/>
    <s v="Boys Don't Cry "/>
    <s v="English"/>
    <x v="8"/>
    <n v="2000000"/>
    <x v="5"/>
    <n v="7.6"/>
  </r>
  <r>
    <n v="86"/>
    <n v="12555230"/>
    <s v="Silent House "/>
    <s v="English"/>
    <x v="7"/>
    <n v="2000000"/>
    <x v="15"/>
    <n v="5.3"/>
  </r>
  <r>
    <n v="137"/>
    <n v="11284657"/>
    <s v="The Lives of Others "/>
    <s v="German"/>
    <x v="12"/>
    <n v="2000000"/>
    <x v="0"/>
    <n v="8.5"/>
  </r>
  <r>
    <n v="129"/>
    <n v="34522221"/>
    <s v="Courageous "/>
    <s v="English"/>
    <x v="8"/>
    <n v="2000000"/>
    <x v="15"/>
    <n v="7"/>
  </r>
  <r>
    <n v="89"/>
    <n v="6719300"/>
    <s v="Smoke Signals "/>
    <s v="English"/>
    <x v="11"/>
    <n v="2000000"/>
    <x v="6"/>
    <n v="7.2"/>
  </r>
  <r>
    <n v="115"/>
    <n v="5383834"/>
    <s v="Amores Perros "/>
    <s v="Spanish"/>
    <x v="28"/>
    <n v="2000000"/>
    <x v="21"/>
    <n v="8.1"/>
  </r>
  <r>
    <n v="100"/>
    <n v="6531491"/>
    <s v="Winter's Bone "/>
    <s v="English"/>
    <x v="8"/>
    <n v="2000000"/>
    <x v="11"/>
    <n v="7.2"/>
  </r>
  <r>
    <n v="91"/>
    <n v="3885134"/>
    <s v="Me and You and Everyone We Know "/>
    <s v="English"/>
    <x v="8"/>
    <n v="2000000"/>
    <x v="1"/>
    <n v="7.4"/>
  </r>
  <r>
    <n v="96"/>
    <n v="3590010"/>
    <s v="We Are Your Friends "/>
    <s v="English"/>
    <x v="9"/>
    <n v="2000000"/>
    <x v="12"/>
    <n v="6.1"/>
  </r>
  <r>
    <n v="116"/>
    <n v="3335839"/>
    <s v="Harsh Times "/>
    <s v="English"/>
    <x v="8"/>
    <n v="2000000"/>
    <x v="1"/>
    <n v="7"/>
  </r>
  <r>
    <n v="97"/>
    <n v="2557668"/>
    <s v="Captive "/>
    <s v="English"/>
    <x v="8"/>
    <n v="2000000"/>
    <x v="12"/>
    <n v="5.3"/>
  </r>
  <r>
    <n v="101"/>
    <n v="2506446"/>
    <s v="Full Frontal "/>
    <s v="English"/>
    <x v="8"/>
    <n v="2000000"/>
    <x v="20"/>
    <n v="4.7"/>
  </r>
  <r>
    <n v="98"/>
    <n v="7369373"/>
    <s v="Witchboard "/>
    <s v="English"/>
    <x v="9"/>
    <n v="2000000"/>
    <x v="34"/>
    <n v="5.7"/>
  </r>
  <r>
    <n v="101"/>
    <n v="1984378"/>
    <s v="Shortbus "/>
    <s v="English"/>
    <x v="8"/>
    <n v="2000000"/>
    <x v="0"/>
    <n v="6.5"/>
  </r>
  <r>
    <n v="120"/>
    <n v="1098224"/>
    <s v="The Book of Mormon Movie, Volume 1: The Journey "/>
    <s v="English"/>
    <x v="8"/>
    <n v="2000000"/>
    <x v="18"/>
    <n v="3.3"/>
  </r>
  <r>
    <n v="102"/>
    <n v="1430185"/>
    <s v="No End in Sight "/>
    <s v="English"/>
    <x v="8"/>
    <n v="2000000"/>
    <x v="9"/>
    <n v="8.3000000000000007"/>
  </r>
  <r>
    <n v="102"/>
    <n v="1477002"/>
    <s v="The Diary of a Teenage Girl "/>
    <s v="English"/>
    <x v="8"/>
    <n v="2000000"/>
    <x v="12"/>
    <n v="6.9"/>
  </r>
  <r>
    <n v="100"/>
    <n v="1134049"/>
    <s v="In the Shadow of the Moon "/>
    <s v="English"/>
    <x v="9"/>
    <n v="2000000"/>
    <x v="9"/>
    <n v="8.1"/>
  </r>
  <r>
    <n v="89"/>
    <n v="653621"/>
    <s v="Inside Deep Throat "/>
    <s v="English"/>
    <x v="8"/>
    <n v="2000000"/>
    <x v="1"/>
    <n v="6.8"/>
  </r>
  <r>
    <n v="91"/>
    <n v="124494"/>
    <s v="Six-String Samurai "/>
    <s v="English"/>
    <x v="8"/>
    <n v="2000000"/>
    <x v="6"/>
    <n v="6.7"/>
  </r>
  <r>
    <n v="96"/>
    <n v="198407"/>
    <s v="Sherrybaby "/>
    <s v="English"/>
    <x v="8"/>
    <n v="2000000"/>
    <x v="0"/>
    <n v="6.6"/>
  </r>
  <r>
    <n v="119"/>
    <n v="4958"/>
    <s v="Gangster's Paradise: Jerusalema "/>
    <s v="English"/>
    <x v="22"/>
    <n v="2000000"/>
    <x v="7"/>
    <n v="7.8"/>
  </r>
  <r>
    <n v="106"/>
    <n v="2436"/>
    <s v="The Ghastly Love of Johnny X "/>
    <s v="English"/>
    <x v="8"/>
    <n v="2000000"/>
    <x v="10"/>
    <n v="5.7"/>
  </r>
  <r>
    <n v="102"/>
    <m/>
    <s v="Slacker Uprising "/>
    <s v="English"/>
    <x v="8"/>
    <n v="2000000"/>
    <x v="9"/>
    <n v="5.3"/>
  </r>
  <r>
    <n v="108"/>
    <m/>
    <s v="The Legend of Hell's Gate: An American Conspiracy "/>
    <s v="English"/>
    <x v="8"/>
    <n v="2000000"/>
    <x v="15"/>
    <n v="4.4000000000000004"/>
  </r>
  <r>
    <n v="89"/>
    <m/>
    <s v="The Curse of Downers Grove "/>
    <s v="English"/>
    <x v="8"/>
    <n v="2000000"/>
    <x v="12"/>
    <n v="4.5"/>
  </r>
  <r>
    <n v="92"/>
    <m/>
    <s v="Shark Lake "/>
    <s v="English"/>
    <x v="8"/>
    <n v="2000000"/>
    <x v="12"/>
    <n v="3.4"/>
  </r>
  <r>
    <n v="105"/>
    <n v="92401"/>
    <s v="I Spit on Your Grave "/>
    <s v="English"/>
    <x v="8"/>
    <n v="2000000"/>
    <x v="11"/>
    <n v="6.3"/>
  </r>
  <r>
    <n v="108"/>
    <n v="19067631"/>
    <s v="Waitress "/>
    <s v="English"/>
    <x v="8"/>
    <n v="2000000"/>
    <x v="9"/>
    <n v="7.1"/>
  </r>
  <r>
    <n v="103"/>
    <n v="5132222"/>
    <s v="Exotica "/>
    <s v="English"/>
    <x v="11"/>
    <n v="2000000"/>
    <x v="22"/>
    <n v="7.2"/>
  </r>
  <r>
    <n v="90"/>
    <n v="52166"/>
    <s v="Trucker "/>
    <s v="English"/>
    <x v="8"/>
    <n v="2000000"/>
    <x v="7"/>
    <n v="6.7"/>
  </r>
  <r>
    <n v="83"/>
    <n v="184925485"/>
    <s v="Snow White and the Seven Dwarfs "/>
    <s v="English"/>
    <x v="8"/>
    <n v="2000000"/>
    <x v="66"/>
    <n v="7.7"/>
  </r>
  <r>
    <n v="202"/>
    <n v="269061"/>
    <s v="Seven Samurai "/>
    <s v="Japanese"/>
    <x v="2"/>
    <n v="2000000"/>
    <x v="67"/>
    <n v="8.6999999999999993"/>
  </r>
  <r>
    <n v="107"/>
    <n v="768045"/>
    <s v="Bloody Sunday "/>
    <s v="English"/>
    <x v="9"/>
    <n v="2000000"/>
    <x v="20"/>
    <n v="7.7"/>
  </r>
  <r>
    <n v="96"/>
    <n v="4170647"/>
    <s v="East Is East "/>
    <s v="English"/>
    <x v="9"/>
    <n v="1900000"/>
    <x v="5"/>
    <n v="6.9"/>
  </r>
  <r>
    <n v="99"/>
    <n v="4600000"/>
    <s v="River's Edge "/>
    <s v="English"/>
    <x v="8"/>
    <n v="1900000"/>
    <x v="34"/>
    <n v="7.1"/>
  </r>
  <r>
    <n v="103"/>
    <n v="1420578"/>
    <s v="Northfork "/>
    <s v="English"/>
    <x v="8"/>
    <n v="1900000"/>
    <x v="18"/>
    <n v="6.4"/>
  </r>
  <r>
    <n v="89"/>
    <n v="444044"/>
    <s v="Brotherly Love "/>
    <s v="English"/>
    <x v="8"/>
    <n v="1900000"/>
    <x v="12"/>
    <n v="7.2"/>
  </r>
  <r>
    <n v="101"/>
    <n v="26505000"/>
    <s v="A Nightmare on Elm Street "/>
    <s v="English"/>
    <x v="8"/>
    <n v="1800000"/>
    <x v="29"/>
    <n v="7.5"/>
  </r>
  <r>
    <n v="97"/>
    <n v="32600000"/>
    <s v="Friday the 13th: The Final Chapter "/>
    <s v="English"/>
    <x v="8"/>
    <n v="1800000"/>
    <x v="29"/>
    <n v="5.9"/>
  </r>
  <r>
    <n v="101"/>
    <n v="26505000"/>
    <s v="A Nightmare on Elm Street "/>
    <s v="English"/>
    <x v="8"/>
    <n v="1800000"/>
    <x v="29"/>
    <n v="7.5"/>
  </r>
  <r>
    <n v="87"/>
    <n v="40990055"/>
    <s v="The Last Exorcism "/>
    <s v="English"/>
    <x v="7"/>
    <n v="1800000"/>
    <x v="11"/>
    <n v="5.6"/>
  </r>
  <r>
    <n v="118"/>
    <n v="5709616"/>
    <s v="El crimen del padre Amaro "/>
    <s v="Spanish"/>
    <x v="28"/>
    <n v="1800000"/>
    <x v="20"/>
    <n v="6.8"/>
  </r>
  <r>
    <n v="93"/>
    <n v="12784397"/>
    <s v="Beasts of the Southern Wild "/>
    <s v="English"/>
    <x v="8"/>
    <n v="1800000"/>
    <x v="10"/>
    <n v="7.3"/>
  </r>
  <r>
    <n v="109"/>
    <n v="3050934"/>
    <s v="Songcatcher "/>
    <s v="English"/>
    <x v="8"/>
    <n v="1800000"/>
    <x v="21"/>
    <n v="7.3"/>
  </r>
  <r>
    <n v="108"/>
    <n v="505295"/>
    <s v="Travelers and Magicians "/>
    <s v="Dzongkha"/>
    <x v="13"/>
    <n v="1800000"/>
    <x v="18"/>
    <n v="7.5"/>
  </r>
  <r>
    <n v="113"/>
    <m/>
    <s v="Sublime "/>
    <s v="English"/>
    <x v="8"/>
    <n v="1800000"/>
    <x v="9"/>
    <n v="5.3"/>
  </r>
  <r>
    <n v="111"/>
    <m/>
    <s v="Dysfunctional Friends "/>
    <s v="English"/>
    <x v="8"/>
    <n v="1800000"/>
    <x v="10"/>
    <n v="5.4"/>
  </r>
  <r>
    <n v="88"/>
    <n v="1523883"/>
    <s v="Murderball "/>
    <s v="English"/>
    <x v="8"/>
    <n v="1750211"/>
    <x v="1"/>
    <n v="7.8"/>
  </r>
  <r>
    <n v="138"/>
    <n v="35918429"/>
    <s v="In the Bedroom "/>
    <s v="English"/>
    <x v="8"/>
    <n v="1700000"/>
    <x v="8"/>
    <n v="7.5"/>
  </r>
  <r>
    <n v="98"/>
    <n v="1943649"/>
    <s v="Happy, Texas "/>
    <s v="English"/>
    <x v="8"/>
    <n v="1700000"/>
    <x v="5"/>
    <n v="6.3"/>
  </r>
  <r>
    <n v="86"/>
    <n v="992238"/>
    <s v="My Summer of Love "/>
    <s v="English"/>
    <x v="9"/>
    <n v="1700000"/>
    <x v="3"/>
    <n v="6.8"/>
  </r>
  <r>
    <n v="111"/>
    <n v="2580"/>
    <s v="I Love Your Work "/>
    <s v="English"/>
    <x v="8"/>
    <n v="1650000"/>
    <x v="18"/>
    <n v="5.4"/>
  </r>
  <r>
    <n v="123"/>
    <n v="26893"/>
    <s v="Mississippi Mermaid "/>
    <s v="French"/>
    <x v="7"/>
    <n v="1600000"/>
    <x v="53"/>
    <n v="7.2"/>
  </r>
  <r>
    <n v="73"/>
    <n v="39659"/>
    <s v="Dracula: Pages from a Virgin's Diary "/>
    <s v="English"/>
    <x v="11"/>
    <n v="1600000"/>
    <x v="20"/>
    <n v="7"/>
  </r>
  <r>
    <n v="135"/>
    <n v="638951"/>
    <s v="Journey from the Fall "/>
    <s v="Vietnamese"/>
    <x v="8"/>
    <n v="1592000"/>
    <x v="0"/>
    <n v="7.4"/>
  </r>
  <r>
    <n v="85"/>
    <n v="265107"/>
    <s v="Psycho Beach Party "/>
    <s v="English"/>
    <x v="13"/>
    <n v="1500000"/>
    <x v="21"/>
    <n v="6.3"/>
  </r>
  <r>
    <n v="105"/>
    <n v="3123749"/>
    <s v="Boynton Beach Club "/>
    <s v="English"/>
    <x v="8"/>
    <n v="1500000"/>
    <x v="1"/>
    <n v="6.5"/>
  </r>
  <r>
    <n v="101"/>
    <n v="327919"/>
    <s v="This Is England "/>
    <s v="English"/>
    <x v="9"/>
    <n v="1500000"/>
    <x v="0"/>
    <n v="7.7"/>
  </r>
  <r>
    <n v="100"/>
    <n v="4599680"/>
    <s v="Thirteen "/>
    <s v="English"/>
    <x v="8"/>
    <n v="1500000"/>
    <x v="18"/>
    <n v="6.8"/>
  </r>
  <r>
    <n v="90"/>
    <n v="2283276"/>
    <s v="Waltz with Bashir "/>
    <s v="Hebrew"/>
    <x v="41"/>
    <n v="1500000"/>
    <x v="7"/>
    <n v="8"/>
  </r>
  <r>
    <n v="95"/>
    <n v="17580"/>
    <s v="The Missing Person "/>
    <s v="English"/>
    <x v="8"/>
    <n v="1500000"/>
    <x v="13"/>
    <n v="6.2"/>
  </r>
  <r>
    <n v="91"/>
    <n v="7417210"/>
    <s v="Kids "/>
    <s v="English"/>
    <x v="8"/>
    <n v="1500000"/>
    <x v="19"/>
    <n v="7"/>
  </r>
  <r>
    <n v="88"/>
    <n v="7362100"/>
    <s v="The Squid and the Whale "/>
    <s v="English"/>
    <x v="8"/>
    <n v="1500000"/>
    <x v="1"/>
    <n v="7.4"/>
  </r>
  <r>
    <n v="110"/>
    <n v="2365931"/>
    <s v="Buffalo '66 "/>
    <s v="English"/>
    <x v="8"/>
    <n v="1500000"/>
    <x v="6"/>
    <n v="7.5"/>
  </r>
  <r>
    <n v="103"/>
    <n v="53991137"/>
    <s v="Insidious "/>
    <s v="English"/>
    <x v="8"/>
    <n v="1500000"/>
    <x v="11"/>
    <n v="6.8"/>
  </r>
  <r>
    <n v="114"/>
    <n v="1221261"/>
    <s v="Nine Queens "/>
    <s v="Spanish"/>
    <x v="40"/>
    <n v="1500000"/>
    <x v="21"/>
    <n v="7.9"/>
  </r>
  <r>
    <n v="112"/>
    <n v="712294"/>
    <s v="The Ballad of Jack and Rose "/>
    <s v="English"/>
    <x v="8"/>
    <n v="1500000"/>
    <x v="1"/>
    <n v="6.7"/>
  </r>
  <r>
    <n v="104"/>
    <n v="3447339"/>
    <s v="The To Do List "/>
    <s v="English"/>
    <x v="8"/>
    <n v="1500000"/>
    <x v="17"/>
    <n v="5.8"/>
  </r>
  <r>
    <n v="99"/>
    <n v="418953"/>
    <s v="Killing Zoe "/>
    <s v="English"/>
    <x v="7"/>
    <n v="1500000"/>
    <x v="27"/>
    <n v="6.5"/>
  </r>
  <r>
    <n v="98"/>
    <n v="406035"/>
    <s v="The Believer "/>
    <s v="English"/>
    <x v="8"/>
    <n v="1500000"/>
    <x v="8"/>
    <n v="7.2"/>
  </r>
  <r>
    <n v="100"/>
    <n v="373967"/>
    <s v="Session 9 "/>
    <s v="English"/>
    <x v="8"/>
    <n v="1500000"/>
    <x v="8"/>
    <n v="6.5"/>
  </r>
  <r>
    <n v="80"/>
    <n v="194568"/>
    <s v="I Want Someone to Eat Cheese With "/>
    <s v="English"/>
    <x v="8"/>
    <n v="1500000"/>
    <x v="0"/>
    <n v="6.2"/>
  </r>
  <r>
    <n v="87"/>
    <n v="163245"/>
    <s v="Modern Times "/>
    <s v="English"/>
    <x v="8"/>
    <n v="1500000"/>
    <x v="68"/>
    <n v="8.6"/>
  </r>
  <r>
    <n v="91"/>
    <n v="119841"/>
    <s v="Stolen Summer "/>
    <s v="English"/>
    <x v="8"/>
    <n v="1500000"/>
    <x v="20"/>
    <n v="6.5"/>
  </r>
  <r>
    <n v="84"/>
    <n v="173066"/>
    <s v="My Name Is Bruce "/>
    <s v="English"/>
    <x v="8"/>
    <n v="1500000"/>
    <x v="9"/>
    <n v="6.3"/>
  </r>
  <r>
    <n v="90"/>
    <n v="92362"/>
    <s v="The Salon "/>
    <s v="English"/>
    <x v="8"/>
    <n v="1500000"/>
    <x v="1"/>
    <n v="4.3"/>
  </r>
  <r>
    <n v="95"/>
    <n v="3478"/>
    <s v="Pontypool "/>
    <s v="English"/>
    <x v="11"/>
    <n v="1500000"/>
    <x v="7"/>
    <n v="6.7"/>
  </r>
  <r>
    <n v="98"/>
    <m/>
    <s v="Once Upon a Time in Queens "/>
    <s v="English"/>
    <x v="8"/>
    <n v="1500000"/>
    <x v="17"/>
    <n v="6.3"/>
  </r>
  <r>
    <n v="97"/>
    <m/>
    <s v="Checkmate "/>
    <s v="English"/>
    <x v="8"/>
    <n v="1500000"/>
    <x v="12"/>
    <n v="3.1"/>
  </r>
  <r>
    <n v="97"/>
    <n v="100358"/>
    <s v="Neal 'N' Nikki "/>
    <s v="English"/>
    <x v="3"/>
    <n v="1500000"/>
    <x v="1"/>
    <n v="3.3"/>
  </r>
  <r>
    <n v="96"/>
    <n v="703"/>
    <s v="The Jimmy Show "/>
    <s v="English"/>
    <x v="8"/>
    <n v="1500000"/>
    <x v="8"/>
    <n v="5.4"/>
  </r>
  <r>
    <n v="123"/>
    <m/>
    <s v="Da Sweet Blood of Jesus "/>
    <s v="English"/>
    <x v="8"/>
    <n v="1420000"/>
    <x v="16"/>
    <n v="4.0999999999999996"/>
  </r>
  <r>
    <n v="95"/>
    <n v="18435"/>
    <s v="One to Another "/>
    <s v="French"/>
    <x v="7"/>
    <n v="1400000"/>
    <x v="0"/>
    <n v="5.8"/>
  </r>
  <r>
    <n v="106"/>
    <n v="304124"/>
    <s v="The Holy Girl "/>
    <s v="Spanish"/>
    <x v="40"/>
    <n v="1400000"/>
    <x v="3"/>
    <n v="6.7"/>
  </r>
  <r>
    <n v="94"/>
    <n v="36830"/>
    <s v="Incident at Loch Ness "/>
    <s v="English"/>
    <x v="9"/>
    <n v="1400000"/>
    <x v="3"/>
    <n v="6.6"/>
  </r>
  <r>
    <n v="102"/>
    <n v="354704"/>
    <s v="Prison "/>
    <s v="English"/>
    <x v="8"/>
    <n v="1300000"/>
    <x v="32"/>
    <n v="5.9"/>
  </r>
  <r>
    <n v="95"/>
    <n v="1060591"/>
    <s v="Caramel "/>
    <s v="Arabic"/>
    <x v="7"/>
    <n v="1300000"/>
    <x v="9"/>
    <n v="7.2"/>
  </r>
  <r>
    <n v="105"/>
    <n v="1647780"/>
    <s v="The Celebration "/>
    <s v="Danish"/>
    <x v="18"/>
    <n v="1300000"/>
    <x v="6"/>
    <n v="8.1"/>
  </r>
  <r>
    <n v="95"/>
    <n v="695229"/>
    <s v="Trees Lounge "/>
    <s v="English"/>
    <x v="8"/>
    <n v="1300000"/>
    <x v="24"/>
    <n v="7.2"/>
  </r>
  <r>
    <n v="105"/>
    <n v="609042"/>
    <s v="The Basket "/>
    <s v="English"/>
    <x v="8"/>
    <n v="1300000"/>
    <x v="5"/>
    <n v="6.5"/>
  </r>
  <r>
    <n v="88"/>
    <m/>
    <s v="The Walking Deceased "/>
    <s v="English"/>
    <x v="8"/>
    <n v="1250000"/>
    <x v="12"/>
    <n v="3.4"/>
  </r>
  <r>
    <n v="87"/>
    <n v="19100000"/>
    <s v="Friday the 13th Part 2 "/>
    <s v="English"/>
    <x v="8"/>
    <n v="1250000"/>
    <x v="39"/>
    <n v="6.1"/>
  </r>
  <r>
    <n v="100"/>
    <n v="24741700"/>
    <s v="Sex, Lies, and Videotape "/>
    <s v="English"/>
    <x v="8"/>
    <n v="1200000"/>
    <x v="28"/>
    <n v="7.2"/>
  </r>
  <r>
    <n v="103"/>
    <n v="55153403"/>
    <s v="Saw "/>
    <s v="English"/>
    <x v="8"/>
    <n v="1200000"/>
    <x v="3"/>
    <n v="7.7"/>
  </r>
  <r>
    <n v="100"/>
    <n v="18488314"/>
    <s v="Super Troopers "/>
    <s v="English"/>
    <x v="8"/>
    <n v="1200000"/>
    <x v="8"/>
    <n v="7.1"/>
  </r>
  <r>
    <n v="111"/>
    <n v="9180275"/>
    <s v="You Can Count on Me "/>
    <s v="English"/>
    <x v="8"/>
    <n v="1200000"/>
    <x v="21"/>
    <n v="7.7"/>
  </r>
  <r>
    <n v="85"/>
    <n v="2199853"/>
    <s v="But I'm a Cheerleader "/>
    <s v="English"/>
    <x v="8"/>
    <n v="1200000"/>
    <x v="5"/>
    <n v="6.6"/>
  </r>
  <r>
    <n v="113"/>
    <n v="2859955"/>
    <s v="Home Run "/>
    <s v="English"/>
    <x v="8"/>
    <n v="1200000"/>
    <x v="17"/>
    <n v="6"/>
  </r>
  <r>
    <n v="99"/>
    <n v="2812029"/>
    <s v="Reservoir Dogs "/>
    <s v="English"/>
    <x v="8"/>
    <n v="1200000"/>
    <x v="26"/>
    <n v="8.4"/>
  </r>
  <r>
    <n v="142"/>
    <n v="6100000"/>
    <s v="The Good, the Bad and the Ugly "/>
    <s v="Italian"/>
    <x v="16"/>
    <n v="1200000"/>
    <x v="69"/>
    <n v="8.9"/>
  </r>
  <r>
    <n v="108"/>
    <n v="594904"/>
    <s v="Blue Like Jazz "/>
    <s v="English"/>
    <x v="8"/>
    <n v="1200000"/>
    <x v="10"/>
    <n v="6"/>
  </r>
  <r>
    <n v="88"/>
    <n v="58936"/>
    <s v="Down and Out with the Dolls "/>
    <s v="English"/>
    <x v="8"/>
    <n v="1200000"/>
    <x v="8"/>
    <n v="6.1"/>
  </r>
  <r>
    <n v="92"/>
    <n v="11806119"/>
    <s v="Bloodsport "/>
    <s v="English"/>
    <x v="8"/>
    <n v="1100000"/>
    <x v="4"/>
    <n v="6.8"/>
  </r>
  <r>
    <n v="92"/>
    <n v="1400000"/>
    <s v="From a Whisper to a Scream "/>
    <s v="English"/>
    <x v="8"/>
    <n v="1100000"/>
    <x v="32"/>
    <n v="5.9"/>
  </r>
  <r>
    <n v="110"/>
    <n v="56129"/>
    <s v="Beyond the Black Rainbow "/>
    <s v="English"/>
    <x v="11"/>
    <n v="1100000"/>
    <x v="11"/>
    <n v="6.1"/>
  </r>
  <r>
    <n v="102"/>
    <n v="4105123"/>
    <s v="The Raid: Redemption "/>
    <s v="Indonesian"/>
    <x v="42"/>
    <n v="1100000"/>
    <x v="15"/>
    <n v="7.6"/>
  </r>
  <r>
    <n v="110"/>
    <n v="16067035"/>
    <s v="Dr. No "/>
    <s v="English"/>
    <x v="9"/>
    <n v="1100000"/>
    <x v="44"/>
    <n v="7.3"/>
  </r>
  <r>
    <n v="90"/>
    <n v="258113"/>
    <s v="Blue Ruin "/>
    <s v="English"/>
    <x v="8"/>
    <n v="1066167"/>
    <x v="17"/>
    <n v="7.1"/>
  </r>
  <r>
    <n v="89"/>
    <n v="21378000"/>
    <s v="The Fog "/>
    <s v="English"/>
    <x v="8"/>
    <n v="1000000"/>
    <x v="31"/>
    <n v="6.8"/>
  </r>
  <r>
    <n v="90"/>
    <n v="2957978"/>
    <s v="Man on Wire "/>
    <s v="English"/>
    <x v="9"/>
    <n v="1000000"/>
    <x v="7"/>
    <n v="7.8"/>
  </r>
  <r>
    <n v="104"/>
    <n v="4231500"/>
    <s v="The Lunchbox "/>
    <s v="Hindi"/>
    <x v="3"/>
    <n v="1000000"/>
    <x v="17"/>
    <n v="7.8"/>
  </r>
  <r>
    <n v="100"/>
    <n v="396035"/>
    <s v="Yes "/>
    <s v="English"/>
    <x v="9"/>
    <n v="1000000"/>
    <x v="3"/>
    <n v="6.9"/>
  </r>
  <r>
    <n v="97"/>
    <n v="7022940"/>
    <s v="Kissing Jessica Stein "/>
    <s v="English"/>
    <x v="8"/>
    <n v="1000000"/>
    <x v="8"/>
    <n v="6.7"/>
  </r>
  <r>
    <n v="87"/>
    <n v="19539"/>
    <s v="The Hebrew Hammer "/>
    <s v="English"/>
    <x v="8"/>
    <n v="1000000"/>
    <x v="18"/>
    <n v="6.2"/>
  </r>
  <r>
    <n v="89"/>
    <m/>
    <s v="Silent Running "/>
    <s v="English"/>
    <x v="8"/>
    <n v="1000000"/>
    <x v="55"/>
    <n v="6.7"/>
  </r>
  <r>
    <n v="89"/>
    <n v="21378000"/>
    <s v="The Fog "/>
    <s v="English"/>
    <x v="8"/>
    <n v="1000000"/>
    <x v="31"/>
    <n v="6.8"/>
  </r>
  <r>
    <n v="83"/>
    <n v="31537320"/>
    <s v="Unfriended "/>
    <s v="English"/>
    <x v="8"/>
    <n v="1000000"/>
    <x v="16"/>
    <n v="5.7"/>
  </r>
  <r>
    <n v="91"/>
    <n v="17986000"/>
    <s v="The Howling "/>
    <s v="English"/>
    <x v="8"/>
    <n v="1000000"/>
    <x v="39"/>
    <n v="6.6"/>
  </r>
  <r>
    <n v="86"/>
    <n v="18112929"/>
    <s v="Chernobyl Diaries "/>
    <s v="English"/>
    <x v="8"/>
    <n v="1000000"/>
    <x v="10"/>
    <n v="5"/>
  </r>
  <r>
    <n v="86"/>
    <n v="14564027"/>
    <s v="Hellraiser "/>
    <s v="English"/>
    <x v="9"/>
    <n v="1000000"/>
    <x v="32"/>
    <n v="7"/>
  </r>
  <r>
    <n v="90"/>
    <n v="10042266"/>
    <s v="Cry_Wolf "/>
    <s v="English"/>
    <x v="8"/>
    <n v="1000000"/>
    <x v="1"/>
    <n v="5.9"/>
  </r>
  <r>
    <n v="103"/>
    <n v="9013113"/>
    <s v="Transamerica "/>
    <s v="English"/>
    <x v="8"/>
    <n v="1000000"/>
    <x v="1"/>
    <n v="7.4"/>
  </r>
  <r>
    <n v="83"/>
    <n v="53245055"/>
    <s v="The Devil Inside "/>
    <s v="English"/>
    <x v="8"/>
    <n v="1000000"/>
    <x v="10"/>
    <n v="4.2"/>
  </r>
  <r>
    <n v="95"/>
    <n v="5997134"/>
    <s v="The Sessions "/>
    <s v="English"/>
    <x v="8"/>
    <n v="1000000"/>
    <x v="10"/>
    <n v="7.2"/>
  </r>
  <r>
    <n v="104"/>
    <n v="3386698"/>
    <s v="Next Stop Wonderland "/>
    <s v="English"/>
    <x v="8"/>
    <n v="1000000"/>
    <x v="6"/>
    <n v="6.7"/>
  </r>
  <r>
    <n v="97"/>
    <n v="2508841"/>
    <s v="Frozen River "/>
    <s v="English"/>
    <x v="8"/>
    <n v="1000000"/>
    <x v="7"/>
    <n v="7.2"/>
  </r>
  <r>
    <n v="91"/>
    <n v="4946250"/>
    <s v="20 Feet from Stardom "/>
    <s v="English"/>
    <x v="8"/>
    <n v="1000000"/>
    <x v="17"/>
    <n v="7.4"/>
  </r>
  <r>
    <n v="84"/>
    <n v="1950218"/>
    <s v="Two Girls and a Guy "/>
    <s v="English"/>
    <x v="8"/>
    <n v="1000000"/>
    <x v="2"/>
    <n v="5.6"/>
  </r>
  <r>
    <n v="86"/>
    <n v="1277257"/>
    <s v="Walking and Talking "/>
    <s v="English"/>
    <x v="9"/>
    <n v="1000000"/>
    <x v="24"/>
    <n v="6.8"/>
  </r>
  <r>
    <n v="92"/>
    <n v="1677838"/>
    <s v="Who Killed the Electric Car? "/>
    <s v="English"/>
    <x v="8"/>
    <n v="1000000"/>
    <x v="0"/>
    <n v="7.7"/>
  </r>
  <r>
    <n v="94"/>
    <n v="1744858"/>
    <s v="The Broken Hearts Club: A Romantic Comedy "/>
    <s v="English"/>
    <x v="8"/>
    <n v="1000000"/>
    <x v="21"/>
    <n v="7"/>
  </r>
  <r>
    <n v="100"/>
    <n v="982214"/>
    <s v="Slam "/>
    <s v="English"/>
    <x v="8"/>
    <n v="1000000"/>
    <x v="6"/>
    <n v="7.2"/>
  </r>
  <r>
    <n v="119"/>
    <n v="798341"/>
    <s v="Brigham City "/>
    <s v="English"/>
    <x v="8"/>
    <n v="1000000"/>
    <x v="8"/>
    <n v="7.2"/>
  </r>
  <r>
    <n v="167"/>
    <n v="610991"/>
    <s v="Fiza "/>
    <s v="Hindi"/>
    <x v="3"/>
    <n v="1000000"/>
    <x v="21"/>
    <n v="6.2"/>
  </r>
  <r>
    <n v="92"/>
    <n v="582024"/>
    <s v="Orgazmo "/>
    <s v="English"/>
    <x v="8"/>
    <n v="1000000"/>
    <x v="2"/>
    <n v="6.2"/>
  </r>
  <r>
    <n v="97"/>
    <n v="464655"/>
    <s v="Dream with the Fishes "/>
    <s v="English"/>
    <x v="8"/>
    <n v="1000000"/>
    <x v="2"/>
    <n v="7"/>
  </r>
  <r>
    <n v="88"/>
    <n v="464126"/>
    <s v="Blue Car "/>
    <s v="English"/>
    <x v="8"/>
    <n v="1000000"/>
    <x v="20"/>
    <n v="6.7"/>
  </r>
  <r>
    <n v="88"/>
    <n v="104077"/>
    <s v="Wristcutters: A Love Story "/>
    <s v="English"/>
    <x v="8"/>
    <n v="1000000"/>
    <x v="0"/>
    <n v="7.4"/>
  </r>
  <r>
    <n v="79"/>
    <n v="279282"/>
    <s v="The Battle of Shaker Heights "/>
    <s v="English"/>
    <x v="8"/>
    <n v="1000000"/>
    <x v="18"/>
    <n v="6.1"/>
  </r>
  <r>
    <n v="96"/>
    <n v="484221"/>
    <s v="The Act of Killing "/>
    <s v="Indonesian"/>
    <x v="9"/>
    <n v="1000000"/>
    <x v="10"/>
    <n v="8.1999999999999993"/>
  </r>
  <r>
    <n v="53"/>
    <n v="274661"/>
    <s v="Taxi to the Dark Side "/>
    <s v="English"/>
    <x v="8"/>
    <n v="1000000"/>
    <x v="9"/>
    <n v="7.7"/>
  </r>
  <r>
    <n v="97"/>
    <n v="144431"/>
    <s v="Once in a Lifetime: The Extraordinary Story of the New York Cosmos "/>
    <s v="English"/>
    <x v="9"/>
    <n v="1000000"/>
    <x v="0"/>
    <n v="7.3"/>
  </r>
  <r>
    <n v="91"/>
    <n v="287761"/>
    <s v="Antarctica: A Year on Ice "/>
    <s v="English"/>
    <x v="10"/>
    <n v="1000000"/>
    <x v="17"/>
    <n v="7.6"/>
  </r>
  <r>
    <n v="112"/>
    <n v="96734"/>
    <s v="Hardflip "/>
    <s v="English"/>
    <x v="8"/>
    <n v="1000000"/>
    <x v="10"/>
    <n v="5.6"/>
  </r>
  <r>
    <n v="88"/>
    <n v="21210"/>
    <s v="Safe Men "/>
    <s v="English"/>
    <x v="8"/>
    <n v="1000000"/>
    <x v="6"/>
    <n v="6.1"/>
  </r>
  <r>
    <n v="82"/>
    <n v="12996"/>
    <s v="The Specials "/>
    <s v="English"/>
    <x v="8"/>
    <n v="1000000"/>
    <x v="21"/>
    <n v="6"/>
  </r>
  <r>
    <n v="78"/>
    <n v="10018"/>
    <s v="Alone with Her "/>
    <s v="English"/>
    <x v="8"/>
    <n v="1000000"/>
    <x v="0"/>
    <n v="6.1"/>
  </r>
  <r>
    <n v="97"/>
    <n v="62480"/>
    <s v="Creative Control "/>
    <s v="English"/>
    <x v="8"/>
    <n v="1000000"/>
    <x v="12"/>
    <n v="5.5"/>
  </r>
  <r>
    <n v="81"/>
    <n v="6387"/>
    <s v="Special "/>
    <s v="English"/>
    <x v="8"/>
    <n v="1000000"/>
    <x v="0"/>
    <n v="6.9"/>
  </r>
  <r>
    <n v="88"/>
    <n v="721"/>
    <s v="In Her Line of Fire "/>
    <s v="English"/>
    <x v="12"/>
    <n v="1000000"/>
    <x v="0"/>
    <n v="4.0999999999999996"/>
  </r>
  <r>
    <n v="76"/>
    <m/>
    <s v="Loving Annabelle "/>
    <s v="English"/>
    <x v="8"/>
    <n v="1000000"/>
    <x v="0"/>
    <n v="6.7"/>
  </r>
  <r>
    <n v="96"/>
    <m/>
    <s v="Hits "/>
    <s v="English"/>
    <x v="8"/>
    <n v="1000000"/>
    <x v="16"/>
    <n v="5.8"/>
  </r>
  <r>
    <n v="90"/>
    <m/>
    <s v="Frat Party "/>
    <s v="English"/>
    <x v="8"/>
    <n v="1000000"/>
    <x v="13"/>
    <n v="2.8"/>
  </r>
  <r>
    <n v="83"/>
    <m/>
    <s v="Snow White: A Deadly Summer "/>
    <s v="English"/>
    <x v="8"/>
    <n v="1000000"/>
    <x v="10"/>
    <n v="2.2000000000000002"/>
  </r>
  <r>
    <n v="90"/>
    <m/>
    <s v="My Last Day Without You "/>
    <s v="English"/>
    <x v="8"/>
    <n v="1000000"/>
    <x v="15"/>
    <n v="5.7"/>
  </r>
  <r>
    <n v="84"/>
    <m/>
    <s v="Doc Holliday's Revenge "/>
    <s v="English"/>
    <x v="8"/>
    <n v="1000000"/>
    <x v="16"/>
    <n v="3.8"/>
  </r>
  <r>
    <n v="96"/>
    <m/>
    <s v="Truth or Die "/>
    <s v="English"/>
    <x v="9"/>
    <n v="1000000"/>
    <x v="10"/>
    <n v="5.6"/>
  </r>
  <r>
    <n v="95"/>
    <m/>
    <s v="Fear Clinic "/>
    <s v="English"/>
    <x v="8"/>
    <n v="1000000"/>
    <x v="12"/>
    <n v="5.2"/>
  </r>
  <r>
    <n v="93"/>
    <m/>
    <s v="Zombie Hunter "/>
    <s v="English"/>
    <x v="8"/>
    <n v="1000000"/>
    <x v="17"/>
    <n v="3.5"/>
  </r>
  <r>
    <n v="111"/>
    <m/>
    <s v="A Fine Step "/>
    <m/>
    <x v="8"/>
    <n v="1000000"/>
    <x v="16"/>
    <n v="5.3"/>
  </r>
  <r>
    <n v="120"/>
    <n v="3773863"/>
    <s v="To Save a Life "/>
    <s v="English"/>
    <x v="8"/>
    <n v="1000000"/>
    <x v="13"/>
    <n v="7.1"/>
  </r>
  <r>
    <n v="111"/>
    <n v="94596"/>
    <s v="The Cure "/>
    <s v="Japanese"/>
    <x v="2"/>
    <n v="1000000"/>
    <x v="2"/>
    <n v="7.4"/>
  </r>
  <r>
    <n v="90"/>
    <m/>
    <s v="And Then Came Love "/>
    <s v="English"/>
    <x v="8"/>
    <n v="989000"/>
    <x v="9"/>
    <n v="4.8"/>
  </r>
  <r>
    <n v="120"/>
    <n v="3650677"/>
    <s v="Lock, Stock and Two Smoking Barrels "/>
    <s v="English"/>
    <x v="9"/>
    <n v="960000"/>
    <x v="6"/>
    <n v="8.1999999999999993"/>
  </r>
  <r>
    <n v="145"/>
    <n v="117235247"/>
    <s v="Rocky "/>
    <s v="English"/>
    <x v="8"/>
    <n v="960000"/>
    <x v="49"/>
    <n v="8.1"/>
  </r>
  <r>
    <n v="100"/>
    <m/>
    <s v="Ask Me Anything "/>
    <s v="English"/>
    <x v="8"/>
    <n v="950000"/>
    <x v="16"/>
    <n v="6"/>
  </r>
  <r>
    <n v="104"/>
    <n v="1007962"/>
    <s v="Hard Candy "/>
    <s v="English"/>
    <x v="8"/>
    <n v="950000"/>
    <x v="1"/>
    <n v="7.1"/>
  </r>
  <r>
    <n v="100"/>
    <n v="20186"/>
    <s v="L!fe Happens "/>
    <s v="English"/>
    <x v="8"/>
    <n v="930000"/>
    <x v="15"/>
    <n v="5.7"/>
  </r>
  <r>
    <n v="83"/>
    <m/>
    <s v="Food Chains "/>
    <s v="English"/>
    <x v="8"/>
    <n v="913000"/>
    <x v="16"/>
    <n v="7.1"/>
  </r>
  <r>
    <n v="108"/>
    <n v="9600000"/>
    <s v="On the Waterfront "/>
    <s v="English"/>
    <x v="8"/>
    <n v="910000"/>
    <x v="67"/>
    <n v="8.1999999999999993"/>
  </r>
  <r>
    <n v="109"/>
    <n v="9000000"/>
    <s v="Beyond the Valley of the Dolls "/>
    <s v="English"/>
    <x v="8"/>
    <n v="900000"/>
    <x v="41"/>
    <n v="6.2"/>
  </r>
  <r>
    <n v="95"/>
    <n v="100659"/>
    <s v="The House of the Devil "/>
    <s v="English"/>
    <x v="8"/>
    <n v="900000"/>
    <x v="13"/>
    <n v="6.4"/>
  </r>
  <r>
    <n v="91"/>
    <n v="381186"/>
    <s v="The Quiet "/>
    <s v="English"/>
    <x v="8"/>
    <n v="900000"/>
    <x v="1"/>
    <n v="6.4"/>
  </r>
  <r>
    <n v="85"/>
    <n v="16097842"/>
    <s v="Fruitvale Station "/>
    <s v="English"/>
    <x v="8"/>
    <n v="900000"/>
    <x v="17"/>
    <n v="7.5"/>
  </r>
  <r>
    <n v="101"/>
    <n v="6643"/>
    <s v="The Brass Teapot "/>
    <s v="English"/>
    <x v="8"/>
    <n v="900000"/>
    <x v="10"/>
    <n v="6.4"/>
  </r>
  <r>
    <n v="99"/>
    <n v="18378"/>
    <s v="Donkey Punch "/>
    <s v="English"/>
    <x v="9"/>
    <n v="900000"/>
    <x v="7"/>
    <n v="5.2"/>
  </r>
  <r>
    <n v="148"/>
    <n v="24475416"/>
    <s v="Sling Blade "/>
    <s v="English"/>
    <x v="8"/>
    <n v="890000"/>
    <x v="24"/>
    <n v="8"/>
  </r>
  <r>
    <n v="107"/>
    <n v="819939"/>
    <s v="Latter Days "/>
    <s v="English"/>
    <x v="8"/>
    <n v="850000"/>
    <x v="18"/>
    <n v="7.2"/>
  </r>
  <r>
    <n v="88"/>
    <n v="1243961"/>
    <s v="For a Good Time, Call... "/>
    <s v="English"/>
    <x v="8"/>
    <n v="850000"/>
    <x v="10"/>
    <n v="6"/>
  </r>
  <r>
    <n v="95"/>
    <n v="15278"/>
    <s v="Time Changer "/>
    <s v="English"/>
    <x v="8"/>
    <n v="825000"/>
    <x v="20"/>
    <n v="5.6"/>
  </r>
  <r>
    <n v="108"/>
    <n v="32000000"/>
    <s v="Psycho "/>
    <s v="English"/>
    <x v="8"/>
    <n v="806947"/>
    <x v="70"/>
    <n v="8.5"/>
  </r>
  <r>
    <n v="88"/>
    <n v="4771000"/>
    <s v="Welcome to the Dollhouse "/>
    <s v="English"/>
    <x v="8"/>
    <n v="800000"/>
    <x v="19"/>
    <n v="7.5"/>
  </r>
  <r>
    <n v="114"/>
    <n v="1001437"/>
    <s v="Ruby in Paradise "/>
    <s v="English"/>
    <x v="8"/>
    <n v="800000"/>
    <x v="27"/>
    <n v="7.2"/>
  </r>
  <r>
    <n v="88"/>
    <n v="2073984"/>
    <s v="Raising Victor Vargas "/>
    <s v="English"/>
    <x v="7"/>
    <n v="800000"/>
    <x v="20"/>
    <n v="7.2"/>
  </r>
  <r>
    <n v="104"/>
    <n v="144583"/>
    <s v="Deterrence "/>
    <s v="English"/>
    <x v="7"/>
    <n v="800000"/>
    <x v="5"/>
    <n v="6.5"/>
  </r>
  <r>
    <n v="91"/>
    <n v="41709"/>
    <s v="Dead Snow "/>
    <s v="Norwegian"/>
    <x v="21"/>
    <n v="800000"/>
    <x v="13"/>
    <n v="6.4"/>
  </r>
  <r>
    <n v="112"/>
    <n v="115000000"/>
    <s v="American Graffiti "/>
    <s v="English"/>
    <x v="8"/>
    <n v="777000"/>
    <x v="50"/>
    <n v="7.5"/>
  </r>
  <r>
    <n v="86"/>
    <n v="5518918"/>
    <s v="Aqua Teen Hunger Force Colon Movie Film for Theaters "/>
    <s v="English"/>
    <x v="8"/>
    <n v="750000"/>
    <x v="9"/>
    <n v="6.9"/>
  </r>
  <r>
    <n v="86"/>
    <n v="4007792"/>
    <s v="Safety Not Guaranteed "/>
    <s v="English"/>
    <x v="8"/>
    <n v="750000"/>
    <x v="10"/>
    <n v="7"/>
  </r>
  <r>
    <n v="101"/>
    <n v="77501"/>
    <s v="The Innkeepers "/>
    <s v="English"/>
    <x v="8"/>
    <n v="750000"/>
    <x v="15"/>
    <n v="5.5"/>
  </r>
  <r>
    <n v="88"/>
    <n v="47329"/>
    <s v="Interview with the Assassin "/>
    <s v="English"/>
    <x v="8"/>
    <n v="750000"/>
    <x v="20"/>
    <n v="6.6"/>
  </r>
  <r>
    <n v="170"/>
    <n v="7830611"/>
    <s v="Hoop Dreams "/>
    <s v="English"/>
    <x v="8"/>
    <n v="700000"/>
    <x v="22"/>
    <n v="8.3000000000000007"/>
  </r>
  <r>
    <n v="97"/>
    <n v="1141829"/>
    <s v="L.I.E. "/>
    <s v="English"/>
    <x v="8"/>
    <n v="700000"/>
    <x v="8"/>
    <n v="7.2"/>
  </r>
  <r>
    <n v="106"/>
    <n v="2694973"/>
    <s v="Half Nelson "/>
    <s v="English"/>
    <x v="8"/>
    <n v="700000"/>
    <x v="0"/>
    <n v="7.2"/>
  </r>
  <r>
    <n v="90"/>
    <n v="6013"/>
    <s v="Dead Man's Shoes "/>
    <s v="English"/>
    <x v="9"/>
    <n v="695393"/>
    <x v="3"/>
    <n v="7.7"/>
  </r>
  <r>
    <n v="98"/>
    <n v="18469"/>
    <s v="Stake Land "/>
    <s v="English"/>
    <x v="8"/>
    <n v="650000"/>
    <x v="11"/>
    <n v="6.5"/>
  </r>
  <r>
    <n v="81"/>
    <n v="3000000"/>
    <s v="Top Hat "/>
    <s v="English"/>
    <x v="8"/>
    <n v="609000"/>
    <x v="71"/>
    <n v="7.8"/>
  </r>
  <r>
    <n v="93"/>
    <n v="35688"/>
    <s v="Not Cool "/>
    <s v="English"/>
    <x v="8"/>
    <n v="600000"/>
    <x v="16"/>
    <n v="5.0999999999999996"/>
  </r>
  <r>
    <n v="215"/>
    <n v="13300000"/>
    <s v="Woodstock "/>
    <s v="English"/>
    <x v="8"/>
    <n v="600000"/>
    <x v="41"/>
    <n v="8.1"/>
  </r>
  <r>
    <n v="106"/>
    <n v="171988"/>
    <s v="Mercy Streets "/>
    <s v="English"/>
    <x v="8"/>
    <n v="600000"/>
    <x v="21"/>
    <n v="5.6"/>
  </r>
  <r>
    <n v="90"/>
    <n v="13493"/>
    <s v="Broken Vessels "/>
    <s v="English"/>
    <x v="8"/>
    <n v="600000"/>
    <x v="6"/>
    <n v="6.6"/>
  </r>
  <r>
    <n v="98"/>
    <m/>
    <s v="The Maid's Room "/>
    <s v="English"/>
    <x v="8"/>
    <n v="600000"/>
    <x v="17"/>
    <n v="4.5"/>
  </r>
  <r>
    <n v="113"/>
    <n v="1185783"/>
    <s v="4 Months, 3 Weeks and 2 Days "/>
    <s v="Romanian"/>
    <x v="34"/>
    <n v="590000"/>
    <x v="9"/>
    <n v="7.9"/>
  </r>
  <r>
    <n v="87"/>
    <n v="515005"/>
    <s v="A Hard Day's Night "/>
    <s v="English"/>
    <x v="9"/>
    <n v="560000"/>
    <x v="43"/>
    <n v="7.7"/>
  </r>
  <r>
    <n v="112"/>
    <n v="32645"/>
    <s v="Mean Streets "/>
    <s v="English"/>
    <x v="8"/>
    <n v="500000"/>
    <x v="50"/>
    <n v="7.4"/>
  </r>
  <r>
    <n v="93"/>
    <n v="145540"/>
    <s v="May "/>
    <s v="English"/>
    <x v="8"/>
    <n v="500000"/>
    <x v="20"/>
    <n v="6.7"/>
  </r>
  <r>
    <n v="93"/>
    <n v="48430"/>
    <s v="The Perfect Host "/>
    <s v="English"/>
    <x v="8"/>
    <n v="500000"/>
    <x v="11"/>
    <n v="6.8"/>
  </r>
  <r>
    <n v="89"/>
    <m/>
    <s v="ZMD: Zombies of Mass Destruction "/>
    <s v="English"/>
    <x v="8"/>
    <n v="500000"/>
    <x v="13"/>
    <n v="5.0999999999999996"/>
  </r>
  <r>
    <n v="123"/>
    <n v="7098492"/>
    <s v="A Separation "/>
    <s v="Persian"/>
    <x v="32"/>
    <n v="500000"/>
    <x v="15"/>
    <n v="8.4"/>
  </r>
  <r>
    <n v="95"/>
    <n v="26297"/>
    <s v="Kill List "/>
    <s v="English"/>
    <x v="9"/>
    <n v="500000"/>
    <x v="15"/>
    <n v="6.3"/>
  </r>
  <r>
    <n v="122"/>
    <n v="33451479"/>
    <s v="Fireproof "/>
    <s v="English"/>
    <x v="8"/>
    <n v="500000"/>
    <x v="7"/>
    <n v="6.5"/>
  </r>
  <r>
    <n v="86"/>
    <n v="39552600"/>
    <s v="Benji "/>
    <s v="English"/>
    <x v="8"/>
    <n v="500000"/>
    <x v="45"/>
    <n v="6.1"/>
  </r>
  <r>
    <n v="79"/>
    <n v="30500882"/>
    <s v="Open Water "/>
    <s v="English"/>
    <x v="8"/>
    <n v="500000"/>
    <x v="18"/>
    <n v="5.7"/>
  </r>
  <r>
    <n v="97"/>
    <n v="17000000"/>
    <s v="Kingdom of the Spiders "/>
    <s v="English"/>
    <x v="8"/>
    <n v="500000"/>
    <x v="40"/>
    <n v="5.9"/>
  </r>
  <r>
    <n v="89"/>
    <n v="5739376"/>
    <s v="The Station Agent "/>
    <s v="English"/>
    <x v="8"/>
    <n v="500000"/>
    <x v="18"/>
    <n v="7.7"/>
  </r>
  <r>
    <n v="108"/>
    <n v="2047570"/>
    <s v="Beyond the Mat "/>
    <s v="English"/>
    <x v="8"/>
    <n v="500000"/>
    <x v="5"/>
    <n v="7.6"/>
  </r>
  <r>
    <n v="93"/>
    <n v="906666"/>
    <s v="Sholem Aleichem: Laughing in the Darkness "/>
    <s v="English"/>
    <x v="8"/>
    <n v="500000"/>
    <x v="15"/>
    <n v="6.8"/>
  </r>
  <r>
    <n v="86"/>
    <n v="1114943"/>
    <s v="Groove "/>
    <s v="English"/>
    <x v="8"/>
    <n v="500000"/>
    <x v="21"/>
    <n v="6.5"/>
  </r>
  <r>
    <n v="111"/>
    <n v="985341"/>
    <s v="Twin Falls Idaho "/>
    <s v="English"/>
    <x v="8"/>
    <n v="500000"/>
    <x v="5"/>
    <n v="7.3"/>
  </r>
  <r>
    <n v="90"/>
    <n v="603943"/>
    <s v="Mean Creek "/>
    <s v="English"/>
    <x v="8"/>
    <n v="500000"/>
    <x v="3"/>
    <n v="7.3"/>
  </r>
  <r>
    <n v="86"/>
    <n v="334041"/>
    <s v="Hurricane Streets "/>
    <s v="English"/>
    <x v="8"/>
    <n v="500000"/>
    <x v="2"/>
    <n v="6.5"/>
  </r>
  <r>
    <n v="98"/>
    <n v="295468"/>
    <s v="Never Again "/>
    <s v="English"/>
    <x v="8"/>
    <n v="500000"/>
    <x v="8"/>
    <n v="6"/>
  </r>
  <r>
    <n v="91"/>
    <n v="243347"/>
    <s v="Civil Brand "/>
    <s v="English"/>
    <x v="8"/>
    <n v="500000"/>
    <x v="20"/>
    <n v="5.3"/>
  </r>
  <r>
    <n v="91"/>
    <n v="154077"/>
    <s v="Lonesome Jim "/>
    <s v="English"/>
    <x v="8"/>
    <n v="500000"/>
    <x v="1"/>
    <n v="6.6"/>
  </r>
  <r>
    <n v="84"/>
    <n v="52850"/>
    <s v="Finishing the Game: The Search for a New Bruce Lee "/>
    <s v="English"/>
    <x v="8"/>
    <n v="500000"/>
    <x v="9"/>
    <n v="6.2"/>
  </r>
  <r>
    <n v="82"/>
    <n v="98017"/>
    <s v="Rubber "/>
    <s v="English"/>
    <x v="7"/>
    <n v="500000"/>
    <x v="11"/>
    <n v="5.8"/>
  </r>
  <r>
    <n v="100"/>
    <n v="31937"/>
    <s v="Kiss the Bride "/>
    <s v="English"/>
    <x v="8"/>
    <n v="500000"/>
    <x v="9"/>
    <n v="5.7"/>
  </r>
  <r>
    <n v="112"/>
    <n v="13134"/>
    <s v="The Slaughter Rule "/>
    <s v="English"/>
    <x v="8"/>
    <n v="500000"/>
    <x v="20"/>
    <n v="6.1"/>
  </r>
  <r>
    <n v="94"/>
    <n v="237301"/>
    <s v="Monsters "/>
    <s v="English"/>
    <x v="9"/>
    <n v="500000"/>
    <x v="11"/>
    <n v="6.4"/>
  </r>
  <r>
    <n v="87"/>
    <n v="1332"/>
    <s v="Detention of the Dead "/>
    <s v="English"/>
    <x v="8"/>
    <n v="500000"/>
    <x v="10"/>
    <n v="4.5999999999999996"/>
  </r>
  <r>
    <n v="104"/>
    <m/>
    <s v="Girls Gone Dead "/>
    <s v="English"/>
    <x v="8"/>
    <n v="500000"/>
    <x v="10"/>
    <n v="3.5"/>
  </r>
  <r>
    <n v="97"/>
    <m/>
    <s v="Alleluia! The Devil's Carnival "/>
    <s v="English"/>
    <x v="8"/>
    <n v="500000"/>
    <x v="14"/>
    <n v="7.4"/>
  </r>
  <r>
    <n v="103"/>
    <n v="23000"/>
    <s v="Poultrygeist: Night of the Chicken Dead "/>
    <s v="English"/>
    <x v="8"/>
    <n v="500000"/>
    <x v="0"/>
    <n v="6.2"/>
  </r>
  <r>
    <n v="97"/>
    <n v="15180000"/>
    <s v="Sweet Sweetback's Baadasssss Song "/>
    <s v="English"/>
    <x v="8"/>
    <n v="500000"/>
    <x v="48"/>
    <n v="5.5"/>
  </r>
  <r>
    <n v="91"/>
    <n v="2712293"/>
    <s v="Straight Out of Brooklyn "/>
    <s v="English"/>
    <x v="8"/>
    <n v="450000"/>
    <x v="23"/>
    <n v="5.9"/>
  </r>
  <r>
    <n v="84"/>
    <n v="379122"/>
    <s v="Conversations with Other Women "/>
    <s v="English"/>
    <x v="9"/>
    <n v="450000"/>
    <x v="1"/>
    <n v="7.1"/>
  </r>
  <r>
    <n v="84"/>
    <n v="34151"/>
    <s v="Censored Voices "/>
    <s v="Hebrew"/>
    <x v="41"/>
    <n v="450000"/>
    <x v="12"/>
    <n v="7.2"/>
  </r>
  <r>
    <n v="89"/>
    <n v="2300000"/>
    <s v="42nd Street "/>
    <s v="English"/>
    <x v="8"/>
    <n v="439000"/>
    <x v="72"/>
    <n v="7.7"/>
  </r>
  <r>
    <n v="80"/>
    <n v="2833383"/>
    <s v="Filly Brown "/>
    <s v="English"/>
    <x v="8"/>
    <n v="427000"/>
    <x v="10"/>
    <n v="5.7"/>
  </r>
  <r>
    <n v="92"/>
    <n v="44540956"/>
    <s v="Napoleon Dynamite "/>
    <s v="English"/>
    <x v="8"/>
    <n v="400000"/>
    <x v="3"/>
    <n v="6.9"/>
  </r>
  <r>
    <n v="90"/>
    <n v="1689999"/>
    <s v="Quinceañera "/>
    <s v="Spanish"/>
    <x v="8"/>
    <n v="400000"/>
    <x v="0"/>
    <n v="7.1"/>
  </r>
  <r>
    <n v="92"/>
    <n v="425899"/>
    <s v="I Want Your Money "/>
    <s v="English"/>
    <x v="8"/>
    <n v="400000"/>
    <x v="11"/>
    <n v="5.0999999999999996"/>
  </r>
  <r>
    <n v="82"/>
    <n v="126387"/>
    <s v="The Beyond "/>
    <s v="Italian"/>
    <x v="16"/>
    <n v="400000"/>
    <x v="39"/>
    <n v="6.9"/>
  </r>
  <r>
    <n v="100"/>
    <n v="2808000"/>
    <s v="The Broadway Melody "/>
    <s v="English"/>
    <x v="8"/>
    <n v="379000"/>
    <x v="73"/>
    <n v="6.3"/>
  </r>
  <r>
    <n v="90"/>
    <n v="489220"/>
    <s v="Cube "/>
    <s v="English"/>
    <x v="11"/>
    <n v="365000"/>
    <x v="2"/>
    <n v="7.3"/>
  </r>
  <r>
    <n v="90"/>
    <n v="4000000"/>
    <s v="American Ninja 2: The Confrontation "/>
    <s v="English"/>
    <x v="8"/>
    <n v="350000"/>
    <x v="32"/>
    <n v="4.7"/>
  </r>
  <r>
    <n v="102"/>
    <n v="1281176"/>
    <s v="Tumbleweeds "/>
    <s v="English"/>
    <x v="8"/>
    <n v="312000"/>
    <x v="5"/>
    <n v="6.7"/>
  </r>
  <r>
    <n v="101"/>
    <n v="47000000"/>
    <s v="Halloween "/>
    <s v="English"/>
    <x v="8"/>
    <n v="300000"/>
    <x v="30"/>
    <n v="7.9"/>
  </r>
  <r>
    <n v="101"/>
    <n v="47000000"/>
    <s v="Halloween "/>
    <s v="English"/>
    <x v="8"/>
    <n v="300000"/>
    <x v="30"/>
    <n v="7.9"/>
  </r>
  <r>
    <n v="101"/>
    <n v="47000000"/>
    <s v="Halloween "/>
    <s v="English"/>
    <x v="8"/>
    <n v="300000"/>
    <x v="30"/>
    <n v="7.9"/>
  </r>
  <r>
    <n v="91"/>
    <n v="1652472"/>
    <s v="When the Cat's Away "/>
    <s v="French"/>
    <x v="7"/>
    <n v="300000"/>
    <x v="24"/>
    <n v="6.9"/>
  </r>
  <r>
    <n v="80"/>
    <n v="2360184"/>
    <s v="Pieces of April "/>
    <s v="English"/>
    <x v="8"/>
    <n v="300000"/>
    <x v="18"/>
    <n v="7.1"/>
  </r>
  <r>
    <n v="76"/>
    <n v="255352"/>
    <s v="Old Joy "/>
    <s v="English"/>
    <x v="8"/>
    <n v="300000"/>
    <x v="0"/>
    <n v="6.7"/>
  </r>
  <r>
    <n v="102"/>
    <n v="16892"/>
    <s v="Ayurveda: Art of Being "/>
    <s v="English"/>
    <x v="3"/>
    <n v="300000"/>
    <x v="8"/>
    <n v="7.6"/>
  </r>
  <r>
    <n v="95"/>
    <n v="2468"/>
    <s v="Locker 13 "/>
    <s v="English"/>
    <x v="8"/>
    <n v="300000"/>
    <x v="16"/>
    <n v="4.8"/>
  </r>
  <r>
    <n v="90"/>
    <n v="318622"/>
    <s v="Compliance "/>
    <s v="English"/>
    <x v="8"/>
    <n v="270000"/>
    <x v="10"/>
    <n v="6.4"/>
  </r>
  <r>
    <n v="113"/>
    <n v="12006514"/>
    <s v="Chasing Amy "/>
    <s v="English"/>
    <x v="8"/>
    <n v="250000"/>
    <x v="2"/>
    <n v="7.3"/>
  </r>
  <r>
    <n v="91"/>
    <n v="4186931"/>
    <s v="Lovely &amp; Amazing "/>
    <s v="English"/>
    <x v="8"/>
    <n v="250000"/>
    <x v="8"/>
    <n v="6.9"/>
  </r>
  <r>
    <n v="98"/>
    <n v="3799339"/>
    <s v="Better Luck Tomorrow "/>
    <s v="English"/>
    <x v="8"/>
    <n v="250000"/>
    <x v="20"/>
    <n v="7.2"/>
  </r>
  <r>
    <n v="94"/>
    <n v="1977544"/>
    <s v="The Incredibly True Adventure of Two Girls in Love "/>
    <s v="English"/>
    <x v="8"/>
    <n v="250000"/>
    <x v="19"/>
    <n v="6.5"/>
  </r>
  <r>
    <n v="96"/>
    <n v="1050600"/>
    <s v="Chuck &amp; Buck "/>
    <s v="English"/>
    <x v="8"/>
    <n v="250000"/>
    <x v="21"/>
    <n v="6.6"/>
  </r>
  <r>
    <n v="100"/>
    <n v="902835"/>
    <s v="American Desi "/>
    <s v="English"/>
    <x v="8"/>
    <n v="250000"/>
    <x v="8"/>
    <n v="6.7"/>
  </r>
  <r>
    <n v="75"/>
    <n v="203134"/>
    <s v="I Married a Strange Person! "/>
    <s v="English"/>
    <x v="8"/>
    <n v="250000"/>
    <x v="2"/>
    <n v="7"/>
  </r>
  <r>
    <n v="90"/>
    <n v="3388210"/>
    <s v="Like Crazy "/>
    <s v="English"/>
    <x v="8"/>
    <n v="250000"/>
    <x v="15"/>
    <n v="6.7"/>
  </r>
  <r>
    <n v="99"/>
    <n v="49494"/>
    <s v="The Canyons "/>
    <s v="English"/>
    <x v="8"/>
    <n v="250000"/>
    <x v="17"/>
    <n v="3.9"/>
  </r>
  <r>
    <n v="81"/>
    <n v="18195"/>
    <s v="The Sticky Fingers of Time "/>
    <s v="English"/>
    <x v="8"/>
    <n v="250000"/>
    <x v="2"/>
    <n v="6.3"/>
  </r>
  <r>
    <n v="108"/>
    <m/>
    <s v="Along the Roadside "/>
    <s v="English"/>
    <x v="8"/>
    <n v="250000"/>
    <x v="17"/>
    <n v="7.1"/>
  </r>
  <r>
    <n v="102"/>
    <n v="3151130"/>
    <s v="Clerks "/>
    <s v="English"/>
    <x v="8"/>
    <n v="230000"/>
    <x v="22"/>
    <n v="7.8"/>
  </r>
  <r>
    <n v="91"/>
    <n v="1229197"/>
    <s v="Monty Python and the Holy Grail "/>
    <s v="English"/>
    <x v="9"/>
    <n v="229575"/>
    <x v="51"/>
    <n v="8.3000000000000007"/>
  </r>
  <r>
    <n v="98"/>
    <n v="2938208"/>
    <s v="Metropolitan "/>
    <s v="English"/>
    <x v="8"/>
    <n v="225000"/>
    <x v="25"/>
    <n v="7.5"/>
  </r>
  <r>
    <n v="86"/>
    <n v="111300"/>
    <s v="Burn "/>
    <s v="English"/>
    <x v="8"/>
    <n v="225000"/>
    <x v="10"/>
    <n v="7.5"/>
  </r>
  <r>
    <n v="106"/>
    <n v="1027119"/>
    <s v="Urbania "/>
    <s v="English"/>
    <x v="8"/>
    <n v="225000"/>
    <x v="21"/>
    <n v="7"/>
  </r>
  <r>
    <n v="80"/>
    <n v="5000000"/>
    <s v="The Beast from 20,000 Fathoms "/>
    <s v="English"/>
    <x v="8"/>
    <n v="210000"/>
    <x v="57"/>
    <n v="6.7"/>
  </r>
  <r>
    <n v="80"/>
    <n v="856942"/>
    <s v="Wendy and Lucy "/>
    <s v="English"/>
    <x v="8"/>
    <n v="200000"/>
    <x v="7"/>
    <n v="7.1"/>
  </r>
  <r>
    <n v="109"/>
    <n v="5199"/>
    <s v="Fighting Tommy Riley "/>
    <s v="English"/>
    <x v="8"/>
    <n v="200000"/>
    <x v="3"/>
    <n v="6.6"/>
  </r>
  <r>
    <n v="96"/>
    <n v="4505922"/>
    <s v="Swingers "/>
    <s v="English"/>
    <x v="8"/>
    <n v="200000"/>
    <x v="24"/>
    <n v="7.4"/>
  </r>
  <r>
    <n v="99"/>
    <n v="3500000"/>
    <s v="A Fistful of Dollars "/>
    <s v="Italian"/>
    <x v="16"/>
    <n v="200000"/>
    <x v="43"/>
    <n v="8"/>
  </r>
  <r>
    <n v="85"/>
    <n v="381225"/>
    <s v="Short Cut to Nirvana: Kumbh Mela "/>
    <s v="English"/>
    <x v="8"/>
    <n v="200000"/>
    <x v="3"/>
    <n v="7.2"/>
  </r>
  <r>
    <n v="97"/>
    <n v="78030"/>
    <s v="Middle of Nowhere "/>
    <s v="English"/>
    <x v="8"/>
    <n v="200000"/>
    <x v="10"/>
    <n v="6.5"/>
  </r>
  <r>
    <n v="106"/>
    <n v="1111"/>
    <s v="The Trials of Darryl Hunt "/>
    <s v="English"/>
    <x v="8"/>
    <n v="200000"/>
    <x v="0"/>
    <n v="7.7"/>
  </r>
  <r>
    <n v="94"/>
    <m/>
    <s v="Archaeology of a Woman "/>
    <s v="English"/>
    <x v="8"/>
    <n v="200000"/>
    <x v="10"/>
    <n v="8.1"/>
  </r>
  <r>
    <n v="88"/>
    <n v="59379"/>
    <s v="Cheap Thrills "/>
    <s v="English"/>
    <x v="8"/>
    <n v="200000"/>
    <x v="17"/>
    <n v="6.8"/>
  </r>
  <r>
    <n v="89"/>
    <n v="925402"/>
    <s v="Children of Heaven "/>
    <s v="Persian"/>
    <x v="32"/>
    <n v="180000"/>
    <x v="2"/>
    <n v="8.5"/>
  </r>
  <r>
    <n v="85"/>
    <n v="9437933"/>
    <s v="Once "/>
    <s v="English"/>
    <x v="23"/>
    <n v="180000"/>
    <x v="9"/>
    <n v="7.9"/>
  </r>
  <r>
    <n v="88"/>
    <n v="7137502"/>
    <s v="She's Gotta Have It "/>
    <s v="English"/>
    <x v="8"/>
    <n v="175000"/>
    <x v="34"/>
    <n v="6.5"/>
  </r>
  <r>
    <n v="93"/>
    <n v="155984"/>
    <s v="The Horse Boy "/>
    <s v="English"/>
    <x v="8"/>
    <n v="160000"/>
    <x v="13"/>
    <n v="7.4"/>
  </r>
  <r>
    <n v="91"/>
    <n v="6706368"/>
    <s v="Roger &amp; Me "/>
    <s v="English"/>
    <x v="8"/>
    <n v="160000"/>
    <x v="28"/>
    <n v="7.5"/>
  </r>
  <r>
    <n v="78"/>
    <n v="191309"/>
    <s v="November "/>
    <s v="English"/>
    <x v="8"/>
    <n v="150000"/>
    <x v="3"/>
    <n v="5.5"/>
  </r>
  <r>
    <n v="78"/>
    <n v="2882062"/>
    <s v="Tadpole "/>
    <s v="English"/>
    <x v="8"/>
    <n v="150000"/>
    <x v="21"/>
    <n v="6.3"/>
  </r>
  <r>
    <n v="80"/>
    <n v="5858"/>
    <s v="Top Spin "/>
    <s v="English"/>
    <x v="8"/>
    <n v="150000"/>
    <x v="16"/>
    <n v="7.1"/>
  </r>
  <r>
    <n v="97"/>
    <n v="469947"/>
    <s v="Weekend "/>
    <s v="English"/>
    <x v="9"/>
    <n v="120000"/>
    <x v="15"/>
    <n v="7.7"/>
  </r>
  <r>
    <n v="96"/>
    <n v="11798"/>
    <s v="Gory Gory Hallelujah "/>
    <s v="English"/>
    <x v="8"/>
    <n v="100000"/>
    <x v="18"/>
    <n v="4.7"/>
  </r>
  <r>
    <n v="92"/>
    <n v="1316074"/>
    <s v="Another Earth "/>
    <s v="English"/>
    <x v="8"/>
    <n v="100000"/>
    <x v="15"/>
    <n v="7"/>
  </r>
  <r>
    <n v="111"/>
    <n v="10174663"/>
    <s v="Facing the Giants "/>
    <s v="English"/>
    <x v="8"/>
    <n v="100000"/>
    <x v="0"/>
    <n v="6.7"/>
  </r>
  <r>
    <n v="81"/>
    <n v="22757819"/>
    <s v="The Gallows "/>
    <s v="English"/>
    <x v="8"/>
    <n v="100000"/>
    <x v="12"/>
    <n v="4.2"/>
  </r>
  <r>
    <n v="81"/>
    <n v="5228617"/>
    <s v="Hollywood Shuffle "/>
    <s v="English"/>
    <x v="8"/>
    <n v="100000"/>
    <x v="32"/>
    <n v="7"/>
  </r>
  <r>
    <n v="81"/>
    <m/>
    <s v="Echo Dr. "/>
    <s v="English"/>
    <x v="8"/>
    <n v="100000"/>
    <x v="17"/>
    <n v="3.6"/>
  </r>
  <r>
    <n v="77"/>
    <m/>
    <s v="The Past is a Grotesque Animal "/>
    <s v="English"/>
    <x v="8"/>
    <n v="100000"/>
    <x v="16"/>
    <n v="7.6"/>
  </r>
  <r>
    <n v="88"/>
    <n v="30859000"/>
    <s v="The Texas Chain Saw Massacre "/>
    <s v="English"/>
    <x v="8"/>
    <n v="83532"/>
    <x v="45"/>
    <n v="7.5"/>
  </r>
  <r>
    <n v="88"/>
    <n v="30859000"/>
    <s v="The Texas Chain Saw Massacre "/>
    <s v="English"/>
    <x v="8"/>
    <n v="83532"/>
    <x v="45"/>
    <n v="7.5"/>
  </r>
  <r>
    <n v="82"/>
    <n v="30084"/>
    <s v="Happy Christmas "/>
    <s v="English"/>
    <x v="8"/>
    <n v="70000"/>
    <x v="16"/>
    <n v="5.6"/>
  </r>
  <r>
    <n v="87"/>
    <m/>
    <s v="Absentia "/>
    <s v="English"/>
    <x v="8"/>
    <n v="70000"/>
    <x v="15"/>
    <n v="5.8"/>
  </r>
  <r>
    <n v="100"/>
    <n v="11529368"/>
    <s v="Super Size Me "/>
    <s v="English"/>
    <x v="8"/>
    <n v="65000"/>
    <x v="3"/>
    <n v="7.3"/>
  </r>
  <r>
    <n v="98"/>
    <n v="389804"/>
    <s v="Tiny Furniture "/>
    <s v="English"/>
    <x v="8"/>
    <n v="65000"/>
    <x v="11"/>
    <n v="6.3"/>
  </r>
  <r>
    <n v="81"/>
    <n v="140530114"/>
    <s v="The Blair Witch Project "/>
    <s v="English"/>
    <x v="8"/>
    <n v="60000"/>
    <x v="5"/>
    <n v="6.4"/>
  </r>
  <r>
    <n v="84"/>
    <n v="3216970"/>
    <s v="Pi "/>
    <s v="English"/>
    <x v="8"/>
    <n v="60000"/>
    <x v="6"/>
    <n v="7.5"/>
  </r>
  <r>
    <n v="87"/>
    <n v="536767"/>
    <s v="20 Dates "/>
    <s v="English"/>
    <x v="8"/>
    <n v="60000"/>
    <x v="6"/>
    <n v="5.3"/>
  </r>
  <r>
    <n v="82"/>
    <n v="40557"/>
    <s v="The FP "/>
    <s v="English"/>
    <x v="8"/>
    <n v="60000"/>
    <x v="15"/>
    <n v="5.6"/>
  </r>
  <r>
    <n v="111"/>
    <m/>
    <s v="Counting "/>
    <s v="English"/>
    <x v="8"/>
    <n v="50000"/>
    <x v="12"/>
    <n v="6"/>
  </r>
  <r>
    <n v="47"/>
    <m/>
    <s v="The Call of Cthulhu "/>
    <s v="English"/>
    <x v="8"/>
    <n v="50000"/>
    <x v="1"/>
    <n v="7.3"/>
  </r>
  <r>
    <n v="92"/>
    <m/>
    <s v="Bending Steel "/>
    <s v="English"/>
    <x v="8"/>
    <n v="50000"/>
    <x v="17"/>
    <n v="7.9"/>
  </r>
  <r>
    <n v="83"/>
    <n v="1127331"/>
    <s v="Osama "/>
    <s v="Dari"/>
    <x v="43"/>
    <n v="46000"/>
    <x v="18"/>
    <n v="7.4"/>
  </r>
  <r>
    <n v="83"/>
    <m/>
    <s v="This Is Martin Bonner "/>
    <s v="English"/>
    <x v="8"/>
    <n v="42000"/>
    <x v="17"/>
    <n v="6.6"/>
  </r>
  <r>
    <n v="90"/>
    <n v="241816"/>
    <s v="George Washington "/>
    <s v="English"/>
    <x v="8"/>
    <n v="42000"/>
    <x v="21"/>
    <n v="7.5"/>
  </r>
  <r>
    <n v="90"/>
    <n v="110536"/>
    <s v="The Lost Skeleton of Cadavra "/>
    <s v="English"/>
    <x v="8"/>
    <n v="40000"/>
    <x v="8"/>
    <n v="7"/>
  </r>
  <r>
    <n v="90"/>
    <n v="277233"/>
    <s v="Smiling Fish &amp; Goat on Fire "/>
    <s v="English"/>
    <x v="8"/>
    <n v="40000"/>
    <x v="5"/>
    <n v="7.6"/>
  </r>
  <r>
    <n v="78"/>
    <n v="243768"/>
    <s v="The Legend of God's Gun "/>
    <s v="English"/>
    <x v="8"/>
    <n v="30000"/>
    <x v="9"/>
    <n v="4.0999999999999996"/>
  </r>
  <r>
    <n v="65"/>
    <n v="8231"/>
    <s v="Pink Narcissus "/>
    <s v="English"/>
    <x v="8"/>
    <n v="27000"/>
    <x v="48"/>
    <n v="6.7"/>
  </r>
  <r>
    <n v="98"/>
    <n v="10246600"/>
    <s v="The Brothers McMullen "/>
    <s v="English"/>
    <x v="8"/>
    <n v="25000"/>
    <x v="19"/>
    <n v="6.6"/>
  </r>
  <r>
    <n v="97"/>
    <n v="2856622"/>
    <s v="In the Company of Men "/>
    <s v="English"/>
    <x v="11"/>
    <n v="25000"/>
    <x v="2"/>
    <n v="7.3"/>
  </r>
  <r>
    <n v="100"/>
    <n v="1227508"/>
    <s v="Slacker "/>
    <s v="English"/>
    <x v="8"/>
    <n v="23000"/>
    <x v="23"/>
    <n v="7.1"/>
  </r>
  <r>
    <n v="84"/>
    <n v="107917283"/>
    <s v="Paranormal Activity "/>
    <s v="English"/>
    <x v="8"/>
    <n v="15000"/>
    <x v="9"/>
    <n v="6.3"/>
  </r>
  <r>
    <n v="88"/>
    <n v="76382"/>
    <s v="Breaking Upwards "/>
    <s v="English"/>
    <x v="8"/>
    <n v="15000"/>
    <x v="13"/>
    <n v="6.2"/>
  </r>
  <r>
    <n v="92"/>
    <n v="12667"/>
    <s v="London "/>
    <s v="English"/>
    <x v="9"/>
    <n v="14000"/>
    <x v="1"/>
    <n v="6.6"/>
  </r>
  <r>
    <n v="108"/>
    <n v="180483"/>
    <s v="Pink Flamingos "/>
    <s v="English"/>
    <x v="8"/>
    <n v="10000"/>
    <x v="55"/>
    <n v="6.1"/>
  </r>
  <r>
    <n v="90"/>
    <n v="673780"/>
    <s v="The Circle "/>
    <s v="Persian"/>
    <x v="32"/>
    <n v="10000"/>
    <x v="21"/>
    <n v="7.5"/>
  </r>
  <r>
    <n v="77"/>
    <n v="424760"/>
    <s v="Primer "/>
    <s v="English"/>
    <x v="8"/>
    <n v="7000"/>
    <x v="3"/>
    <n v="7"/>
  </r>
  <r>
    <n v="81"/>
    <n v="2040920"/>
    <s v="El Mariachi "/>
    <s v="Spanish"/>
    <x v="8"/>
    <n v="7000"/>
    <x v="26"/>
    <n v="6.9"/>
  </r>
  <r>
    <n v="110"/>
    <n v="136007"/>
    <s v="Clean "/>
    <s v="French"/>
    <x v="7"/>
    <n v="4500"/>
    <x v="3"/>
    <n v="6.9"/>
  </r>
  <r>
    <n v="76"/>
    <m/>
    <s v="A Plague So Pleasant "/>
    <s v="English"/>
    <x v="8"/>
    <n v="1400"/>
    <x v="17"/>
    <n v="6.3"/>
  </r>
  <r>
    <n v="90"/>
    <n v="85222"/>
    <s v="My Date with Drew "/>
    <s v="English"/>
    <x v="8"/>
    <n v="1100"/>
    <x v="3"/>
    <n v="6.6"/>
  </r>
  <r>
    <n v="88"/>
    <n v="592014"/>
    <s v="Tarnation "/>
    <s v="English"/>
    <x v="8"/>
    <n v="218"/>
    <x v="18"/>
    <n v="7.2"/>
  </r>
  <r>
    <n v="122"/>
    <m/>
    <s v="Subconscious "/>
    <s v="English"/>
    <x v="8"/>
    <m/>
    <x v="12"/>
    <n v="2.2000000000000002"/>
  </r>
  <r>
    <n v="92"/>
    <n v="45661"/>
    <s v="Shotgun Stories "/>
    <s v="English"/>
    <x v="8"/>
    <m/>
    <x v="9"/>
    <n v="7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20F74A-1422-4DC3-B9D2-C77CD6EDFB4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B49" firstHeaderRow="1" firstDataRow="1" firstDataCol="1"/>
  <pivotFields count="10">
    <pivotField showAll="0"/>
    <pivotField showAll="0"/>
    <pivotField dataField="1" showAll="0"/>
    <pivotField showAll="0"/>
    <pivotField axis="axisRow" showAll="0" sortType="descending">
      <items count="67">
        <item x="43"/>
        <item x="40"/>
        <item x="19"/>
        <item x="13"/>
        <item m="1" x="65"/>
        <item x="20"/>
        <item x="36"/>
        <item m="1" x="49"/>
        <item m="1" x="63"/>
        <item m="1" x="54"/>
        <item x="11"/>
        <item x="24"/>
        <item x="5"/>
        <item x="38"/>
        <item x="14"/>
        <item x="18"/>
        <item m="1" x="45"/>
        <item m="1" x="61"/>
        <item x="37"/>
        <item x="7"/>
        <item x="29"/>
        <item x="12"/>
        <item x="30"/>
        <item x="15"/>
        <item x="1"/>
        <item x="35"/>
        <item x="3"/>
        <item x="42"/>
        <item x="32"/>
        <item x="23"/>
        <item x="41"/>
        <item x="16"/>
        <item x="2"/>
        <item m="1" x="47"/>
        <item m="1" x="48"/>
        <item m="1" x="50"/>
        <item x="28"/>
        <item x="26"/>
        <item m="1" x="55"/>
        <item x="10"/>
        <item m="1" x="52"/>
        <item x="21"/>
        <item m="1" x="57"/>
        <item m="1" x="58"/>
        <item m="1" x="53"/>
        <item x="17"/>
        <item m="1" x="51"/>
        <item x="39"/>
        <item x="34"/>
        <item x="27"/>
        <item m="1" x="64"/>
        <item m="1" x="56"/>
        <item x="22"/>
        <item x="0"/>
        <item m="1" x="59"/>
        <item x="4"/>
        <item x="25"/>
        <item m="1" x="46"/>
        <item x="31"/>
        <item x="6"/>
        <item m="1" x="62"/>
        <item x="9"/>
        <item m="1" x="60"/>
        <item x="8"/>
        <item x="33"/>
        <item m="1" x="4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45">
    <i>
      <x v="63"/>
    </i>
    <i>
      <x v="61"/>
    </i>
    <i>
      <x v="19"/>
    </i>
    <i>
      <x v="21"/>
    </i>
    <i>
      <x v="10"/>
    </i>
    <i>
      <x v="3"/>
    </i>
    <i>
      <x v="55"/>
    </i>
    <i>
      <x v="32"/>
    </i>
    <i>
      <x v="12"/>
    </i>
    <i>
      <x v="23"/>
    </i>
    <i>
      <x v="31"/>
    </i>
    <i>
      <x v="39"/>
    </i>
    <i>
      <x v="26"/>
    </i>
    <i>
      <x v="53"/>
    </i>
    <i>
      <x v="15"/>
    </i>
    <i>
      <x v="36"/>
    </i>
    <i>
      <x v="29"/>
    </i>
    <i>
      <x v="6"/>
    </i>
    <i>
      <x v="41"/>
    </i>
    <i>
      <x v="28"/>
    </i>
    <i>
      <x v="59"/>
    </i>
    <i>
      <x v="52"/>
    </i>
    <i>
      <x v="49"/>
    </i>
    <i>
      <x v="1"/>
    </i>
    <i>
      <x v="48"/>
    </i>
    <i>
      <x v="14"/>
    </i>
    <i>
      <x v="37"/>
    </i>
    <i>
      <x v="25"/>
    </i>
    <i>
      <x v="30"/>
    </i>
    <i>
      <x v="58"/>
    </i>
    <i>
      <x v="5"/>
    </i>
    <i>
      <x v="24"/>
    </i>
    <i>
      <x v="45"/>
    </i>
    <i>
      <x v="64"/>
    </i>
    <i>
      <x v="18"/>
    </i>
    <i>
      <x v="2"/>
    </i>
    <i>
      <x v="56"/>
    </i>
    <i>
      <x v="22"/>
    </i>
    <i>
      <x v="13"/>
    </i>
    <i>
      <x v="11"/>
    </i>
    <i>
      <x v="47"/>
    </i>
    <i>
      <x v="20"/>
    </i>
    <i>
      <x/>
    </i>
    <i>
      <x v="27"/>
    </i>
    <i t="grand">
      <x/>
    </i>
  </rowItems>
  <colItems count="1">
    <i/>
  </colItems>
  <dataFields count="1">
    <dataField name="Count of Title" fld="2" subtotal="count" baseField="0" baseItem="0"/>
  </dataFields>
  <chartFormats count="45">
    <chartFormat chart="1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7">
      <pivotArea type="data" outline="0" fieldPosition="0">
        <references count="2">
          <reference field="4294967294" count="1" selected="0">
            <x v="0"/>
          </reference>
          <reference field="4" count="1" selected="0">
            <x v="63"/>
          </reference>
        </references>
      </pivotArea>
    </chartFormat>
    <chartFormat chart="1" format="48">
      <pivotArea type="data" outline="0" fieldPosition="0">
        <references count="2">
          <reference field="4294967294" count="1" selected="0">
            <x v="0"/>
          </reference>
          <reference field="4" count="1" selected="0">
            <x v="61"/>
          </reference>
        </references>
      </pivotArea>
    </chartFormat>
    <chartFormat chart="1" format="49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1" format="50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1" format="5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52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53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1" format="54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1" format="55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1" format="56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1" format="57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1" format="58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1" format="59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1" format="60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1" format="6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1" format="62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1" format="63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1" format="64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65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1" format="66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1" format="67">
      <pivotArea type="data" outline="0" fieldPosition="0">
        <references count="2">
          <reference field="4294967294" count="1" selected="0">
            <x v="0"/>
          </reference>
          <reference field="4" count="1" selected="0">
            <x v="59"/>
          </reference>
        </references>
      </pivotArea>
    </chartFormat>
    <chartFormat chart="1" format="68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1" format="69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1" format="70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7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1" format="72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1" format="73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1" format="74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1" format="75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1" format="76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  <chartFormat chart="1" format="77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78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1" format="79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1" format="80">
      <pivotArea type="data" outline="0" fieldPosition="0">
        <references count="2">
          <reference field="4294967294" count="1" selected="0">
            <x v="0"/>
          </reference>
          <reference field="4" count="1" selected="0">
            <x v="64"/>
          </reference>
        </references>
      </pivotArea>
    </chartFormat>
    <chartFormat chart="1" format="8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1" format="82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83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1" format="84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1" format="85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1" format="86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1" format="87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1" format="88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1" format="89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90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19804-94C5-492C-8BC5-50FE1F81BD0B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F21:K28" firstHeaderRow="1" firstDataRow="2" firstDataCol="1"/>
  <pivotFields count="10">
    <pivotField showAll="0"/>
    <pivotField showAll="0"/>
    <pivotField showAll="0"/>
    <pivotField showAll="0"/>
    <pivotField axis="axisCol" showAll="0" sortType="descending">
      <items count="67">
        <item h="1" x="43"/>
        <item h="1" x="40"/>
        <item h="1" x="19"/>
        <item h="1" x="13"/>
        <item h="1" m="1" x="65"/>
        <item h="1" x="20"/>
        <item h="1" x="36"/>
        <item h="1" m="1" x="49"/>
        <item h="1" m="1" x="63"/>
        <item h="1" m="1" x="54"/>
        <item x="11"/>
        <item h="1" x="24"/>
        <item h="1" x="5"/>
        <item h="1" x="38"/>
        <item h="1" x="14"/>
        <item h="1" x="18"/>
        <item h="1" m="1" x="45"/>
        <item h="1" m="1" x="61"/>
        <item h="1" x="37"/>
        <item x="7"/>
        <item h="1" x="29"/>
        <item h="1" x="12"/>
        <item h="1" x="30"/>
        <item h="1" x="15"/>
        <item h="1" x="1"/>
        <item h="1" x="35"/>
        <item h="1" x="3"/>
        <item h="1" x="42"/>
        <item h="1" x="32"/>
        <item h="1" x="23"/>
        <item h="1" x="41"/>
        <item h="1" x="16"/>
        <item h="1" x="2"/>
        <item h="1" m="1" x="47"/>
        <item h="1" m="1" x="48"/>
        <item h="1" m="1" x="50"/>
        <item h="1" x="28"/>
        <item h="1" x="26"/>
        <item h="1" m="1" x="55"/>
        <item h="1" x="10"/>
        <item h="1" m="1" x="52"/>
        <item h="1" x="21"/>
        <item h="1" m="1" x="57"/>
        <item h="1" m="1" x="58"/>
        <item h="1" m="1" x="53"/>
        <item h="1" x="17"/>
        <item h="1" m="1" x="51"/>
        <item h="1" x="39"/>
        <item h="1" x="34"/>
        <item h="1" x="27"/>
        <item h="1" m="1" x="64"/>
        <item h="1" m="1" x="56"/>
        <item h="1" x="22"/>
        <item h="1" x="0"/>
        <item h="1" m="1" x="59"/>
        <item h="1" x="4"/>
        <item h="1" x="25"/>
        <item h="1" m="1" x="46"/>
        <item h="1" x="31"/>
        <item h="1" x="6"/>
        <item h="1" m="1" x="62"/>
        <item x="9"/>
        <item h="1" m="1" x="60"/>
        <item x="8"/>
        <item h="1" x="33"/>
        <item h="1" m="1" x="4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axis="axisRow" showAll="0" sortType="descending">
      <items count="75">
        <item h="1" x="54"/>
        <item h="1" x="73"/>
        <item h="1" x="72"/>
        <item h="1" x="71"/>
        <item h="1" x="68"/>
        <item h="1" x="66"/>
        <item h="1" x="59"/>
        <item h="1" x="64"/>
        <item h="1" x="52"/>
        <item h="1" x="65"/>
        <item h="1" x="61"/>
        <item h="1" x="60"/>
        <item h="1" x="58"/>
        <item h="1" x="57"/>
        <item h="1" x="67"/>
        <item h="1" x="62"/>
        <item h="1" x="63"/>
        <item h="1" x="70"/>
        <item h="1" x="56"/>
        <item h="1" x="44"/>
        <item h="1" x="38"/>
        <item h="1" x="43"/>
        <item h="1" x="42"/>
        <item h="1" x="69"/>
        <item h="1" x="47"/>
        <item h="1" x="46"/>
        <item h="1" x="53"/>
        <item h="1" x="41"/>
        <item h="1" x="48"/>
        <item x="55"/>
        <item h="1" x="50"/>
        <item x="45"/>
        <item h="1" x="51"/>
        <item h="1" x="49"/>
        <item h="1" x="40"/>
        <item h="1" x="30"/>
        <item h="1" x="36"/>
        <item h="1" x="31"/>
        <item h="1" x="39"/>
        <item h="1" x="37"/>
        <item h="1" x="35"/>
        <item h="1" x="29"/>
        <item h="1" x="33"/>
        <item h="1" x="34"/>
        <item h="1" x="32"/>
        <item h="1" x="4"/>
        <item h="1" x="28"/>
        <item h="1" x="25"/>
        <item h="1" x="23"/>
        <item h="1" x="26"/>
        <item h="1" x="27"/>
        <item x="22"/>
        <item h="1" x="19"/>
        <item h="1" x="24"/>
        <item h="1" x="2"/>
        <item h="1" x="6"/>
        <item h="1" x="5"/>
        <item h="1" x="21"/>
        <item h="1" x="8"/>
        <item h="1" x="20"/>
        <item h="1" x="18"/>
        <item h="1" x="3"/>
        <item h="1" x="1"/>
        <item h="1" x="0"/>
        <item h="1" x="9"/>
        <item x="7"/>
        <item h="1" x="13"/>
        <item h="1" x="11"/>
        <item h="1" x="15"/>
        <item h="1" x="10"/>
        <item h="1" x="17"/>
        <item h="1" x="16"/>
        <item h="1" x="12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6">
    <i>
      <x v="65"/>
    </i>
    <i>
      <x v="73"/>
    </i>
    <i>
      <x v="51"/>
    </i>
    <i>
      <x v="31"/>
    </i>
    <i>
      <x v="29"/>
    </i>
    <i t="grand">
      <x/>
    </i>
  </rowItems>
  <colFields count="1">
    <field x="4"/>
  </colFields>
  <colItems count="5">
    <i>
      <x v="63"/>
    </i>
    <i>
      <x v="61"/>
    </i>
    <i>
      <x v="10"/>
    </i>
    <i>
      <x v="19"/>
    </i>
    <i t="grand">
      <x/>
    </i>
  </colItems>
  <dataFields count="1">
    <dataField name="Sum of budget" fld="5" baseField="0" baseItem="0"/>
  </dataFields>
  <chartFormats count="4"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3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9522D7-2244-4060-85C8-B5E6092A2AAC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F4:K11" firstHeaderRow="1" firstDataRow="2" firstDataCol="1"/>
  <pivotFields count="10">
    <pivotField showAll="0"/>
    <pivotField showAll="0"/>
    <pivotField showAll="0"/>
    <pivotField showAll="0"/>
    <pivotField axis="axisCol" showAll="0" sortType="descending">
      <items count="67">
        <item h="1" x="43"/>
        <item h="1" x="40"/>
        <item h="1" x="19"/>
        <item h="1" x="13"/>
        <item h="1" m="1" x="65"/>
        <item h="1" x="20"/>
        <item h="1" x="36"/>
        <item h="1" m="1" x="49"/>
        <item h="1" m="1" x="63"/>
        <item h="1" m="1" x="54"/>
        <item x="11"/>
        <item h="1" x="24"/>
        <item h="1" x="5"/>
        <item h="1" x="38"/>
        <item h="1" x="14"/>
        <item h="1" x="18"/>
        <item h="1" m="1" x="45"/>
        <item h="1" m="1" x="61"/>
        <item h="1" x="37"/>
        <item x="7"/>
        <item h="1" x="29"/>
        <item h="1" x="12"/>
        <item h="1" x="30"/>
        <item h="1" x="15"/>
        <item h="1" x="1"/>
        <item h="1" x="35"/>
        <item h="1" x="3"/>
        <item h="1" x="42"/>
        <item h="1" x="32"/>
        <item h="1" x="23"/>
        <item h="1" x="41"/>
        <item h="1" x="16"/>
        <item h="1" x="2"/>
        <item h="1" m="1" x="47"/>
        <item h="1" m="1" x="48"/>
        <item h="1" m="1" x="50"/>
        <item h="1" x="28"/>
        <item h="1" x="26"/>
        <item h="1" m="1" x="55"/>
        <item h="1" x="10"/>
        <item h="1" m="1" x="52"/>
        <item h="1" x="21"/>
        <item h="1" m="1" x="57"/>
        <item h="1" m="1" x="58"/>
        <item h="1" m="1" x="53"/>
        <item h="1" x="17"/>
        <item h="1" m="1" x="51"/>
        <item h="1" x="39"/>
        <item h="1" x="34"/>
        <item h="1" x="27"/>
        <item h="1" m="1" x="64"/>
        <item h="1" m="1" x="56"/>
        <item h="1" x="22"/>
        <item h="1" x="0"/>
        <item h="1" m="1" x="59"/>
        <item h="1" x="4"/>
        <item h="1" x="25"/>
        <item h="1" m="1" x="46"/>
        <item h="1" x="31"/>
        <item h="1" x="6"/>
        <item h="1" m="1" x="62"/>
        <item x="9"/>
        <item h="1" m="1" x="60"/>
        <item x="8"/>
        <item h="1" x="33"/>
        <item h="1" m="1" x="4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Row" showAll="0" sortType="descending">
      <items count="75">
        <item h="1" x="54"/>
        <item h="1" x="73"/>
        <item h="1" x="72"/>
        <item h="1" x="71"/>
        <item h="1" x="68"/>
        <item h="1" x="66"/>
        <item h="1" x="59"/>
        <item h="1" x="64"/>
        <item h="1" x="52"/>
        <item h="1" x="65"/>
        <item h="1" x="61"/>
        <item h="1" x="60"/>
        <item h="1" x="58"/>
        <item h="1" x="57"/>
        <item h="1" x="67"/>
        <item h="1" x="62"/>
        <item h="1" x="63"/>
        <item h="1" x="70"/>
        <item h="1" x="56"/>
        <item h="1" x="44"/>
        <item h="1" x="38"/>
        <item h="1" x="43"/>
        <item h="1" x="42"/>
        <item h="1" x="69"/>
        <item h="1" x="47"/>
        <item h="1" x="46"/>
        <item h="1" x="53"/>
        <item h="1" x="41"/>
        <item h="1" x="48"/>
        <item x="55"/>
        <item h="1" x="50"/>
        <item x="45"/>
        <item h="1" x="51"/>
        <item h="1" x="49"/>
        <item h="1" x="40"/>
        <item h="1" x="30"/>
        <item h="1" x="36"/>
        <item h="1" x="31"/>
        <item h="1" x="39"/>
        <item h="1" x="37"/>
        <item h="1" x="35"/>
        <item h="1" x="29"/>
        <item h="1" x="33"/>
        <item h="1" x="34"/>
        <item h="1" x="32"/>
        <item h="1" x="4"/>
        <item h="1" x="28"/>
        <item h="1" x="25"/>
        <item h="1" x="23"/>
        <item h="1" x="26"/>
        <item h="1" x="27"/>
        <item x="22"/>
        <item h="1" x="19"/>
        <item h="1" x="24"/>
        <item h="1" x="2"/>
        <item h="1" x="6"/>
        <item h="1" x="5"/>
        <item h="1" x="21"/>
        <item h="1" x="8"/>
        <item h="1" x="20"/>
        <item h="1" x="18"/>
        <item h="1" x="3"/>
        <item h="1" x="1"/>
        <item h="1" x="0"/>
        <item h="1" x="9"/>
        <item x="7"/>
        <item h="1" x="13"/>
        <item h="1" x="11"/>
        <item h="1" x="15"/>
        <item h="1" x="10"/>
        <item h="1" x="17"/>
        <item h="1" x="16"/>
        <item h="1" x="12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6">
    <i>
      <x v="51"/>
    </i>
    <i>
      <x v="29"/>
    </i>
    <i>
      <x v="31"/>
    </i>
    <i>
      <x v="65"/>
    </i>
    <i>
      <x v="73"/>
    </i>
    <i t="grand">
      <x/>
    </i>
  </rowItems>
  <colFields count="1">
    <field x="4"/>
  </colFields>
  <colItems count="5">
    <i>
      <x v="63"/>
    </i>
    <i>
      <x v="61"/>
    </i>
    <i>
      <x v="19"/>
    </i>
    <i>
      <x v="10"/>
    </i>
    <i t="grand">
      <x/>
    </i>
  </colItems>
  <dataFields count="1">
    <dataField name="Max of IMDB Score" fld="7" subtotal="max" baseField="6" baseItem="48"/>
  </dataFields>
  <chartFormats count="4"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3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0EF959-64E9-4FB7-980D-0F505F9EE54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22:B43" firstHeaderRow="1" firstDataRow="1" firstDataCol="1" rowPageCount="1" colPageCount="1"/>
  <pivotFields count="10">
    <pivotField showAll="0"/>
    <pivotField showAll="0"/>
    <pivotField dataField="1" showAll="0"/>
    <pivotField showAll="0"/>
    <pivotField axis="axisPage" showAll="0">
      <items count="67">
        <item x="43"/>
        <item x="40"/>
        <item x="19"/>
        <item x="13"/>
        <item m="1" x="65"/>
        <item x="20"/>
        <item x="36"/>
        <item m="1" x="49"/>
        <item m="1" x="63"/>
        <item m="1" x="54"/>
        <item x="11"/>
        <item x="24"/>
        <item x="5"/>
        <item x="38"/>
        <item x="14"/>
        <item x="18"/>
        <item m="1" x="45"/>
        <item m="1" x="61"/>
        <item x="37"/>
        <item x="7"/>
        <item x="29"/>
        <item x="12"/>
        <item x="30"/>
        <item x="15"/>
        <item x="1"/>
        <item x="35"/>
        <item x="3"/>
        <item x="42"/>
        <item x="32"/>
        <item x="23"/>
        <item x="41"/>
        <item x="16"/>
        <item x="2"/>
        <item m="1" x="47"/>
        <item m="1" x="48"/>
        <item m="1" x="50"/>
        <item x="28"/>
        <item x="26"/>
        <item m="1" x="55"/>
        <item x="10"/>
        <item m="1" x="52"/>
        <item x="21"/>
        <item m="1" x="57"/>
        <item m="1" x="58"/>
        <item m="1" x="53"/>
        <item x="17"/>
        <item m="1" x="51"/>
        <item x="39"/>
        <item x="34"/>
        <item x="27"/>
        <item m="1" x="64"/>
        <item m="1" x="56"/>
        <item x="22"/>
        <item x="0"/>
        <item m="1" x="59"/>
        <item x="4"/>
        <item x="25"/>
        <item m="1" x="46"/>
        <item x="31"/>
        <item x="6"/>
        <item m="1" x="62"/>
        <item x="9"/>
        <item m="1" x="60"/>
        <item x="8"/>
        <item x="33"/>
        <item m="1" x="44"/>
        <item t="default"/>
      </items>
    </pivotField>
    <pivotField showAll="0"/>
    <pivotField axis="axisRow" showAll="0">
      <items count="75">
        <item x="54"/>
        <item x="73"/>
        <item x="72"/>
        <item x="71"/>
        <item x="68"/>
        <item x="66"/>
        <item x="59"/>
        <item x="64"/>
        <item x="52"/>
        <item x="65"/>
        <item x="61"/>
        <item x="60"/>
        <item x="58"/>
        <item x="57"/>
        <item x="67"/>
        <item x="62"/>
        <item x="63"/>
        <item x="70"/>
        <item x="56"/>
        <item x="44"/>
        <item x="38"/>
        <item x="43"/>
        <item x="42"/>
        <item x="69"/>
        <item x="47"/>
        <item x="46"/>
        <item x="53"/>
        <item x="41"/>
        <item x="48"/>
        <item x="55"/>
        <item x="50"/>
        <item x="45"/>
        <item x="51"/>
        <item x="49"/>
        <item x="40"/>
        <item x="30"/>
        <item x="36"/>
        <item x="31"/>
        <item x="39"/>
        <item x="37"/>
        <item x="35"/>
        <item x="29"/>
        <item x="33"/>
        <item x="34"/>
        <item x="32"/>
        <item x="4"/>
        <item x="28"/>
        <item x="25"/>
        <item x="23"/>
        <item x="26"/>
        <item x="27"/>
        <item x="22"/>
        <item x="19"/>
        <item x="24"/>
        <item x="2"/>
        <item x="6"/>
        <item x="5"/>
        <item x="21"/>
        <item x="8"/>
        <item x="20"/>
        <item x="18"/>
        <item x="3"/>
        <item x="1"/>
        <item x="0"/>
        <item x="9"/>
        <item x="7"/>
        <item x="13"/>
        <item x="11"/>
        <item x="15"/>
        <item x="10"/>
        <item x="17"/>
        <item x="16"/>
        <item x="12"/>
        <item x="14"/>
        <item t="default"/>
      </items>
    </pivotField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21">
    <i>
      <x v="38"/>
    </i>
    <i>
      <x v="51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 t="grand">
      <x/>
    </i>
  </rowItems>
  <colItems count="1">
    <i/>
  </colItems>
  <pageFields count="1">
    <pageField fld="4" item="10" hier="-1"/>
  </pageFields>
  <dataFields count="1">
    <dataField name="Count of Title" fld="2" subtotal="count" baseField="0" baseItem="0"/>
  </dataFields>
  <chartFormats count="1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4A300-8D43-4FF2-A9A8-7565F6540AEE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6:G7" firstHeaderRow="0" firstDataRow="1" firstDataCol="0" rowPageCount="1" colPageCount="1"/>
  <pivotFields count="10">
    <pivotField dataField="1" showAll="0"/>
    <pivotField showAll="0"/>
    <pivotField dataField="1" showAll="0"/>
    <pivotField showAll="0"/>
    <pivotField axis="axisPage" showAll="0">
      <items count="67">
        <item x="43"/>
        <item x="40"/>
        <item x="19"/>
        <item x="13"/>
        <item m="1" x="65"/>
        <item x="20"/>
        <item x="36"/>
        <item m="1" x="49"/>
        <item m="1" x="63"/>
        <item m="1" x="54"/>
        <item x="11"/>
        <item x="24"/>
        <item x="5"/>
        <item x="38"/>
        <item x="14"/>
        <item x="18"/>
        <item m="1" x="45"/>
        <item m="1" x="61"/>
        <item x="37"/>
        <item x="7"/>
        <item x="29"/>
        <item x="12"/>
        <item x="30"/>
        <item x="15"/>
        <item x="1"/>
        <item x="35"/>
        <item x="3"/>
        <item x="42"/>
        <item x="32"/>
        <item x="23"/>
        <item x="41"/>
        <item x="16"/>
        <item x="2"/>
        <item m="1" x="47"/>
        <item m="1" x="48"/>
        <item m="1" x="50"/>
        <item x="28"/>
        <item x="26"/>
        <item m="1" x="55"/>
        <item x="10"/>
        <item m="1" x="52"/>
        <item x="21"/>
        <item m="1" x="57"/>
        <item m="1" x="58"/>
        <item m="1" x="53"/>
        <item x="17"/>
        <item m="1" x="51"/>
        <item x="39"/>
        <item x="34"/>
        <item x="27"/>
        <item m="1" x="64"/>
        <item m="1" x="56"/>
        <item x="22"/>
        <item x="0"/>
        <item m="1" x="59"/>
        <item x="4"/>
        <item x="25"/>
        <item m="1" x="46"/>
        <item x="31"/>
        <item x="6"/>
        <item m="1" x="62"/>
        <item x="9"/>
        <item m="1" x="60"/>
        <item x="8"/>
        <item x="33"/>
        <item m="1" x="44"/>
        <item t="default"/>
      </items>
    </pivotField>
    <pivotField showAll="0"/>
    <pivotField dataField="1" showAll="0"/>
    <pivotField dataField="1" showAl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4" item="10" hier="-1"/>
  </pageFields>
  <dataFields count="7">
    <dataField name="Count of Title" fld="2" subtotal="count" baseField="0" baseItem="0"/>
    <dataField name="Average of duration" fld="0" subtotal="average" baseField="0" baseItem="0" numFmtId="2"/>
    <dataField name="Average of IMDB Score" fld="7" subtotal="average" baseField="0" baseItem="1"/>
    <dataField name="StdDev of IMDB Score" fld="7" subtotal="stdDev" baseField="0" baseItem="3"/>
    <dataField name="Min of Year" fld="6" subtotal="min" baseField="0" baseItem="1"/>
    <dataField name="Mean year" fld="6" subtotal="average" baseField="0" baseItem="5"/>
    <dataField name="Total Profit" fld="9" baseField="0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9D58BF-4124-4972-847D-69F3B70099CE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109:C130" firstHeaderRow="0" firstDataRow="1" firstDataCol="1" rowPageCount="1" colPageCount="1"/>
  <pivotFields count="10">
    <pivotField showAll="0"/>
    <pivotField showAll="0"/>
    <pivotField showAll="0"/>
    <pivotField showAll="0"/>
    <pivotField axis="axisPage" showAll="0">
      <items count="67">
        <item x="43"/>
        <item x="40"/>
        <item x="19"/>
        <item x="13"/>
        <item m="1" x="65"/>
        <item x="20"/>
        <item x="36"/>
        <item m="1" x="49"/>
        <item m="1" x="63"/>
        <item m="1" x="54"/>
        <item x="11"/>
        <item x="24"/>
        <item x="5"/>
        <item x="38"/>
        <item x="14"/>
        <item x="18"/>
        <item m="1" x="45"/>
        <item m="1" x="61"/>
        <item x="37"/>
        <item x="7"/>
        <item x="29"/>
        <item x="12"/>
        <item x="30"/>
        <item x="15"/>
        <item x="1"/>
        <item x="35"/>
        <item x="3"/>
        <item x="42"/>
        <item x="32"/>
        <item x="23"/>
        <item x="41"/>
        <item x="16"/>
        <item x="2"/>
        <item m="1" x="47"/>
        <item m="1" x="48"/>
        <item m="1" x="50"/>
        <item x="28"/>
        <item x="26"/>
        <item m="1" x="55"/>
        <item x="10"/>
        <item m="1" x="52"/>
        <item x="21"/>
        <item m="1" x="57"/>
        <item m="1" x="58"/>
        <item m="1" x="53"/>
        <item x="17"/>
        <item m="1" x="51"/>
        <item x="39"/>
        <item x="34"/>
        <item x="27"/>
        <item m="1" x="64"/>
        <item m="1" x="56"/>
        <item x="22"/>
        <item x="0"/>
        <item m="1" x="59"/>
        <item x="4"/>
        <item x="25"/>
        <item m="1" x="46"/>
        <item x="31"/>
        <item x="6"/>
        <item m="1" x="62"/>
        <item x="9"/>
        <item m="1" x="60"/>
        <item x="8"/>
        <item x="33"/>
        <item m="1" x="44"/>
        <item t="default"/>
      </items>
    </pivotField>
    <pivotField dataField="1" showAll="0"/>
    <pivotField axis="axisRow" showAll="0">
      <items count="75">
        <item x="54"/>
        <item x="73"/>
        <item x="72"/>
        <item x="71"/>
        <item x="68"/>
        <item x="66"/>
        <item x="59"/>
        <item x="64"/>
        <item x="52"/>
        <item x="65"/>
        <item x="61"/>
        <item x="60"/>
        <item x="58"/>
        <item x="57"/>
        <item x="67"/>
        <item x="62"/>
        <item x="63"/>
        <item x="70"/>
        <item x="56"/>
        <item x="44"/>
        <item x="38"/>
        <item x="43"/>
        <item x="42"/>
        <item x="69"/>
        <item x="47"/>
        <item x="46"/>
        <item x="53"/>
        <item x="41"/>
        <item x="48"/>
        <item x="55"/>
        <item x="50"/>
        <item x="45"/>
        <item x="51"/>
        <item x="49"/>
        <item x="40"/>
        <item x="30"/>
        <item x="36"/>
        <item x="31"/>
        <item x="39"/>
        <item x="37"/>
        <item x="35"/>
        <item x="29"/>
        <item x="33"/>
        <item x="34"/>
        <item x="32"/>
        <item x="4"/>
        <item x="28"/>
        <item x="25"/>
        <item x="23"/>
        <item x="26"/>
        <item x="27"/>
        <item x="22"/>
        <item x="19"/>
        <item x="24"/>
        <item x="2"/>
        <item x="6"/>
        <item x="5"/>
        <item x="21"/>
        <item x="8"/>
        <item x="20"/>
        <item x="18"/>
        <item x="3"/>
        <item x="1"/>
        <item x="0"/>
        <item x="9"/>
        <item x="7"/>
        <item x="13"/>
        <item x="11"/>
        <item x="15"/>
        <item x="10"/>
        <item x="17"/>
        <item x="16"/>
        <item x="12"/>
        <item x="14"/>
        <item t="default"/>
      </items>
    </pivotField>
    <pivotField dataField="1"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21">
    <i>
      <x v="38"/>
    </i>
    <i>
      <x v="51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 t="grand">
      <x/>
    </i>
  </rowItems>
  <colFields count="1">
    <field x="-2"/>
  </colFields>
  <colItems count="2">
    <i>
      <x/>
    </i>
    <i i="1">
      <x v="1"/>
    </i>
  </colItems>
  <pageFields count="1">
    <pageField fld="4" item="10" hier="-1"/>
  </pageFields>
  <dataFields count="2">
    <dataField name="Average of IMDB Score" fld="7" subtotal="average" baseField="6" baseItem="55"/>
    <dataField name="Average of budget" fld="5" subtotal="average" baseField="0" baseItem="0"/>
  </dataFields>
  <chartFormats count="2">
    <chartFormat chart="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D40845-3076-45FA-A84E-46E2C71DCB6F}" name="PivotTable3" cacheId="0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6" indent="0" outline="1" outlineData="1" multipleFieldFilters="0" chartFormat="2">
  <location ref="A196:B217" firstHeaderRow="1" firstDataRow="1" firstDataCol="1" rowPageCount="1" colPageCount="1"/>
  <pivotFields count="10">
    <pivotField showAll="0"/>
    <pivotField showAll="0"/>
    <pivotField showAll="0"/>
    <pivotField showAll="0"/>
    <pivotField axis="axisPage" showAll="0">
      <items count="67">
        <item x="43"/>
        <item x="40"/>
        <item x="19"/>
        <item x="13"/>
        <item m="1" x="65"/>
        <item x="20"/>
        <item x="36"/>
        <item m="1" x="49"/>
        <item m="1" x="63"/>
        <item m="1" x="54"/>
        <item x="11"/>
        <item x="24"/>
        <item x="5"/>
        <item x="38"/>
        <item x="14"/>
        <item x="18"/>
        <item m="1" x="45"/>
        <item m="1" x="61"/>
        <item x="37"/>
        <item x="7"/>
        <item x="29"/>
        <item x="12"/>
        <item x="30"/>
        <item x="15"/>
        <item x="1"/>
        <item x="35"/>
        <item x="3"/>
        <item x="42"/>
        <item x="32"/>
        <item x="23"/>
        <item x="41"/>
        <item x="16"/>
        <item x="2"/>
        <item m="1" x="47"/>
        <item m="1" x="48"/>
        <item m="1" x="50"/>
        <item x="28"/>
        <item x="26"/>
        <item m="1" x="55"/>
        <item x="10"/>
        <item m="1" x="52"/>
        <item x="21"/>
        <item m="1" x="57"/>
        <item m="1" x="58"/>
        <item m="1" x="53"/>
        <item x="17"/>
        <item m="1" x="51"/>
        <item x="39"/>
        <item x="34"/>
        <item x="27"/>
        <item m="1" x="64"/>
        <item m="1" x="56"/>
        <item x="22"/>
        <item x="0"/>
        <item m="1" x="59"/>
        <item x="4"/>
        <item x="25"/>
        <item m="1" x="46"/>
        <item x="31"/>
        <item x="6"/>
        <item m="1" x="62"/>
        <item x="9"/>
        <item m="1" x="60"/>
        <item x="8"/>
        <item x="33"/>
        <item m="1" x="44"/>
        <item t="default"/>
      </items>
    </pivotField>
    <pivotField showAll="0"/>
    <pivotField axis="axisRow" showAll="0">
      <items count="75">
        <item x="54"/>
        <item x="73"/>
        <item x="72"/>
        <item x="71"/>
        <item x="68"/>
        <item x="66"/>
        <item x="59"/>
        <item x="64"/>
        <item x="52"/>
        <item x="65"/>
        <item x="61"/>
        <item x="60"/>
        <item x="58"/>
        <item x="57"/>
        <item x="67"/>
        <item x="62"/>
        <item x="63"/>
        <item x="70"/>
        <item x="56"/>
        <item x="44"/>
        <item x="38"/>
        <item x="43"/>
        <item x="42"/>
        <item x="69"/>
        <item x="47"/>
        <item x="46"/>
        <item x="53"/>
        <item x="41"/>
        <item x="48"/>
        <item x="55"/>
        <item x="50"/>
        <item x="45"/>
        <item x="51"/>
        <item x="49"/>
        <item x="40"/>
        <item x="30"/>
        <item x="36"/>
        <item x="31"/>
        <item x="39"/>
        <item x="37"/>
        <item x="35"/>
        <item x="29"/>
        <item x="33"/>
        <item x="34"/>
        <item x="32"/>
        <item x="4"/>
        <item x="28"/>
        <item x="25"/>
        <item x="23"/>
        <item x="26"/>
        <item x="27"/>
        <item x="22"/>
        <item x="19"/>
        <item x="24"/>
        <item x="2"/>
        <item x="6"/>
        <item x="5"/>
        <item x="21"/>
        <item x="8"/>
        <item x="20"/>
        <item x="18"/>
        <item x="3"/>
        <item x="1"/>
        <item x="0"/>
        <item x="9"/>
        <item x="7"/>
        <item x="13"/>
        <item x="11"/>
        <item x="15"/>
        <item x="10"/>
        <item x="17"/>
        <item x="16"/>
        <item x="12"/>
        <item x="14"/>
        <item t="default"/>
      </items>
    </pivotField>
    <pivotField showAll="0"/>
    <pivotField dataField="1" dragToRow="0" dragToCol="0" dragToPage="0" showAll="0" defaultSubtotal="0"/>
    <pivotField dragToRow="0" dragToCol="0" dragToPage="0" showAll="0" defaultSubtotal="0"/>
  </pivotFields>
  <rowFields count="1">
    <field x="6"/>
  </rowFields>
  <rowItems count="21">
    <i>
      <x v="38"/>
    </i>
    <i>
      <x v="51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 t="grand">
      <x/>
    </i>
  </rowItems>
  <colItems count="1">
    <i/>
  </colItems>
  <pageFields count="1">
    <pageField fld="4" item="10" hier="-1"/>
  </pageFields>
  <dataFields count="1">
    <dataField name="Average of % earnings" fld="8" subtotal="average" baseField="6" baseItem="55" numFmtId="10"/>
  </dataFields>
  <chartFormats count="1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E22ED8-BB74-4170-95EF-6282D149FB45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10:H55" firstHeaderRow="1" firstDataRow="1" firstDataCol="1"/>
  <pivotFields count="10">
    <pivotField showAll="0"/>
    <pivotField showAll="0"/>
    <pivotField showAll="0"/>
    <pivotField showAll="0"/>
    <pivotField axis="axisRow" showAll="0">
      <items count="67">
        <item x="43"/>
        <item x="40"/>
        <item x="19"/>
        <item x="13"/>
        <item m="1" x="65"/>
        <item x="20"/>
        <item x="36"/>
        <item m="1" x="49"/>
        <item m="1" x="63"/>
        <item m="1" x="54"/>
        <item x="11"/>
        <item x="24"/>
        <item x="5"/>
        <item x="38"/>
        <item x="14"/>
        <item x="18"/>
        <item m="1" x="45"/>
        <item m="1" x="61"/>
        <item x="37"/>
        <item x="7"/>
        <item x="29"/>
        <item x="12"/>
        <item x="30"/>
        <item x="15"/>
        <item x="1"/>
        <item x="35"/>
        <item x="3"/>
        <item x="42"/>
        <item x="32"/>
        <item x="23"/>
        <item x="41"/>
        <item x="16"/>
        <item x="2"/>
        <item m="1" x="47"/>
        <item m="1" x="48"/>
        <item m="1" x="50"/>
        <item x="28"/>
        <item x="26"/>
        <item m="1" x="55"/>
        <item x="10"/>
        <item m="1" x="52"/>
        <item x="21"/>
        <item m="1" x="57"/>
        <item m="1" x="58"/>
        <item m="1" x="53"/>
        <item x="17"/>
        <item m="1" x="51"/>
        <item x="39"/>
        <item x="34"/>
        <item x="27"/>
        <item m="1" x="64"/>
        <item m="1" x="56"/>
        <item x="22"/>
        <item x="0"/>
        <item m="1" x="59"/>
        <item x="4"/>
        <item x="25"/>
        <item m="1" x="46"/>
        <item x="31"/>
        <item x="6"/>
        <item m="1" x="62"/>
        <item x="9"/>
        <item m="1" x="60"/>
        <item x="8"/>
        <item x="33"/>
        <item m="1" x="44"/>
        <item t="default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45">
    <i>
      <x/>
    </i>
    <i>
      <x v="1"/>
    </i>
    <i>
      <x v="2"/>
    </i>
    <i>
      <x v="3"/>
    </i>
    <i>
      <x v="5"/>
    </i>
    <i>
      <x v="6"/>
    </i>
    <i>
      <x v="10"/>
    </i>
    <i>
      <x v="11"/>
    </i>
    <i>
      <x v="12"/>
    </i>
    <i>
      <x v="13"/>
    </i>
    <i>
      <x v="14"/>
    </i>
    <i>
      <x v="15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6"/>
    </i>
    <i>
      <x v="37"/>
    </i>
    <i>
      <x v="39"/>
    </i>
    <i>
      <x v="41"/>
    </i>
    <i>
      <x v="45"/>
    </i>
    <i>
      <x v="47"/>
    </i>
    <i>
      <x v="48"/>
    </i>
    <i>
      <x v="49"/>
    </i>
    <i>
      <x v="52"/>
    </i>
    <i>
      <x v="53"/>
    </i>
    <i>
      <x v="55"/>
    </i>
    <i>
      <x v="56"/>
    </i>
    <i>
      <x v="58"/>
    </i>
    <i>
      <x v="59"/>
    </i>
    <i>
      <x v="61"/>
    </i>
    <i>
      <x v="63"/>
    </i>
    <i>
      <x v="6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F888C5-5585-4644-B51C-D0497575C998}" name="Table1" displayName="Table1" ref="A1:H3857" totalsRowShown="0">
  <autoFilter ref="A1:H3857" xr:uid="{9AA6A6C8-6595-4B84-9FD8-73C2B43E4605}"/>
  <tableColumns count="8">
    <tableColumn id="2" xr3:uid="{76FB28FA-6844-4E43-928B-6D586E873DC4}" name="Duration"/>
    <tableColumn id="3" xr3:uid="{CA1D29D3-F472-42B4-B174-9BD0817165DC}" name="Gross Revenue"/>
    <tableColumn id="5" xr3:uid="{C3658B90-C2FB-428C-8F62-868FF4D9BB86}" name="Title"/>
    <tableColumn id="9" xr3:uid="{733CFECE-8A14-4297-AEB6-A92FC51C1E1B}" name="Language"/>
    <tableColumn id="10" xr3:uid="{334E76EF-DBCB-46CD-91CF-DCB82715B279}" name="Country"/>
    <tableColumn id="11" xr3:uid="{B8CF3B10-2292-4DA9-81D6-0FDB5C06C883}" name="Budget"/>
    <tableColumn id="12" xr3:uid="{E77DAB5C-7108-446D-8229-858305ADC0C1}" name="Year"/>
    <tableColumn id="13" xr3:uid="{38B6D9A9-0738-4C2D-A829-7B42A3DAEE65}" name="IMDB Sc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99A1A4-1BC7-46D1-8D22-52C83AA8C03A}" name="Tableau5" displayName="Tableau5" ref="A1:F7" totalsRowShown="0" headerRowDxfId="15" headerRowBorderDxfId="14">
  <autoFilter ref="A1:F7" xr:uid="{00000000-0009-0000-0100-000005000000}"/>
  <tableColumns count="6">
    <tableColumn id="1" xr3:uid="{00000000-0010-0000-0000-000001000000}" name="Étiquettes de lignes" dataDxfId="13"/>
    <tableColumn id="2" xr3:uid="{00000000-0010-0000-0000-000002000000}" name="USA" dataDxfId="12"/>
    <tableColumn id="3" xr3:uid="{00000000-0010-0000-0000-000003000000}" name="UK" dataDxfId="11"/>
    <tableColumn id="4" xr3:uid="{00000000-0010-0000-0000-000004000000}" name="France" dataDxfId="10"/>
    <tableColumn id="5" xr3:uid="{00000000-0010-0000-0000-000005000000}" name="Canada" dataDxfId="9"/>
    <tableColumn id="6" xr3:uid="{00000000-0010-0000-0000-000006000000}" name="Total général" dataDxfId="8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D68EA2-D133-4D4D-9451-A1CC44EF9A6C}" name="Tableau57" displayName="Tableau57" ref="I1:N7" totalsRowShown="0" headerRowDxfId="7" headerRowBorderDxfId="6">
  <autoFilter ref="I1:N7" xr:uid="{00000000-0009-0000-0100-000006000000}"/>
  <tableColumns count="6">
    <tableColumn id="1" xr3:uid="{00000000-0010-0000-0100-000001000000}" name="Étiquettes de lignes" dataDxfId="5"/>
    <tableColumn id="2" xr3:uid="{00000000-0010-0000-0100-000002000000}" name="USA" dataDxfId="4"/>
    <tableColumn id="3" xr3:uid="{00000000-0010-0000-0100-000003000000}" name="UK" dataDxfId="3"/>
    <tableColumn id="4" xr3:uid="{00000000-0010-0000-0100-000004000000}" name="France" dataDxfId="2"/>
    <tableColumn id="5" xr3:uid="{00000000-0010-0000-0100-000005000000}" name="Canada" dataDxfId="1"/>
    <tableColumn id="6" xr3:uid="{00000000-0010-0000-0100-000006000000}" name="Total général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3857"/>
  <sheetViews>
    <sheetView topLeftCell="A61" workbookViewId="0">
      <selection activeCell="A2" sqref="A2"/>
    </sheetView>
  </sheetViews>
  <sheetFormatPr defaultRowHeight="15" x14ac:dyDescent="0.25"/>
  <cols>
    <col min="1" max="1" width="10.7109375" customWidth="1"/>
    <col min="3" max="3" width="13.42578125" customWidth="1"/>
    <col min="4" max="4" width="11.140625" customWidth="1"/>
    <col min="5" max="5" width="9.85546875" customWidth="1"/>
    <col min="6" max="6" width="9.42578125" customWidth="1"/>
    <col min="7" max="7" width="11.7109375" customWidth="1"/>
    <col min="8" max="8" width="13.42578125" customWidth="1"/>
  </cols>
  <sheetData>
    <row r="1" spans="1:8" x14ac:dyDescent="0.25">
      <c r="A1" t="s">
        <v>3867</v>
      </c>
      <c r="B1" t="s">
        <v>3868</v>
      </c>
      <c r="C1" t="s">
        <v>3869</v>
      </c>
      <c r="D1" t="s">
        <v>3870</v>
      </c>
      <c r="E1" t="s">
        <v>3840</v>
      </c>
      <c r="F1" t="s">
        <v>3871</v>
      </c>
      <c r="G1" t="s">
        <v>3866</v>
      </c>
      <c r="H1" t="s">
        <v>3864</v>
      </c>
    </row>
    <row r="2" spans="1:8" x14ac:dyDescent="0.25">
      <c r="A2">
        <v>110</v>
      </c>
      <c r="B2">
        <v>2201412</v>
      </c>
      <c r="C2" t="s">
        <v>963</v>
      </c>
      <c r="D2" t="s">
        <v>2396</v>
      </c>
      <c r="E2" t="s">
        <v>1028</v>
      </c>
      <c r="F2">
        <v>12215500000</v>
      </c>
      <c r="G2">
        <v>2006</v>
      </c>
      <c r="H2">
        <v>7</v>
      </c>
    </row>
    <row r="3" spans="1:8" x14ac:dyDescent="0.25">
      <c r="A3">
        <v>112</v>
      </c>
      <c r="B3">
        <v>211667</v>
      </c>
      <c r="C3" t="s">
        <v>3294</v>
      </c>
      <c r="D3" t="s">
        <v>2396</v>
      </c>
      <c r="E3" t="s">
        <v>1028</v>
      </c>
      <c r="F3">
        <v>4200000000</v>
      </c>
      <c r="G3">
        <v>2005</v>
      </c>
      <c r="H3">
        <v>7.7</v>
      </c>
    </row>
    <row r="4" spans="1:8" x14ac:dyDescent="0.25">
      <c r="A4">
        <v>134</v>
      </c>
      <c r="B4">
        <v>195888</v>
      </c>
      <c r="C4" t="s">
        <v>2722</v>
      </c>
      <c r="D4" t="s">
        <v>2723</v>
      </c>
      <c r="E4" t="s">
        <v>2084</v>
      </c>
      <c r="F4">
        <v>2500000000</v>
      </c>
      <c r="G4">
        <v>2005</v>
      </c>
      <c r="H4">
        <v>7.1</v>
      </c>
    </row>
    <row r="5" spans="1:8" x14ac:dyDescent="0.25">
      <c r="A5">
        <v>134</v>
      </c>
      <c r="B5">
        <v>2298191</v>
      </c>
      <c r="C5" t="s">
        <v>2165</v>
      </c>
      <c r="D5" t="s">
        <v>102</v>
      </c>
      <c r="E5" t="s">
        <v>103</v>
      </c>
      <c r="F5">
        <v>2400000000</v>
      </c>
      <c r="G5">
        <v>1997</v>
      </c>
      <c r="H5">
        <v>8.4</v>
      </c>
    </row>
    <row r="6" spans="1:8" x14ac:dyDescent="0.25">
      <c r="A6">
        <v>103</v>
      </c>
      <c r="B6">
        <v>410388</v>
      </c>
      <c r="C6" t="s">
        <v>2175</v>
      </c>
      <c r="D6" t="s">
        <v>102</v>
      </c>
      <c r="E6" t="s">
        <v>103</v>
      </c>
      <c r="F6">
        <v>2127519898</v>
      </c>
      <c r="G6">
        <v>2004</v>
      </c>
      <c r="H6">
        <v>6.9</v>
      </c>
    </row>
    <row r="7" spans="1:8" x14ac:dyDescent="0.25">
      <c r="A7">
        <v>124</v>
      </c>
      <c r="B7">
        <v>439162</v>
      </c>
      <c r="C7" t="s">
        <v>3013</v>
      </c>
      <c r="D7" t="s">
        <v>102</v>
      </c>
      <c r="E7" t="s">
        <v>103</v>
      </c>
      <c r="F7">
        <v>1100000000</v>
      </c>
      <c r="G7">
        <v>1988</v>
      </c>
      <c r="H7">
        <v>8.1</v>
      </c>
    </row>
    <row r="8" spans="1:8" x14ac:dyDescent="0.25">
      <c r="A8">
        <v>99</v>
      </c>
      <c r="B8">
        <v>10037390</v>
      </c>
      <c r="C8" t="s">
        <v>3621</v>
      </c>
      <c r="D8" t="s">
        <v>102</v>
      </c>
      <c r="E8" t="s">
        <v>103</v>
      </c>
      <c r="F8">
        <v>1000000000</v>
      </c>
      <c r="G8">
        <v>1999</v>
      </c>
      <c r="H8">
        <v>6</v>
      </c>
    </row>
    <row r="9" spans="1:8" x14ac:dyDescent="0.25">
      <c r="A9">
        <v>193</v>
      </c>
      <c r="B9">
        <v>3275443</v>
      </c>
      <c r="C9" t="s">
        <v>2773</v>
      </c>
      <c r="D9" t="s">
        <v>1012</v>
      </c>
      <c r="E9" t="s">
        <v>1013</v>
      </c>
      <c r="F9">
        <v>700000000</v>
      </c>
      <c r="G9">
        <v>2006</v>
      </c>
      <c r="H9">
        <v>6</v>
      </c>
    </row>
    <row r="10" spans="1:8" x14ac:dyDescent="0.25">
      <c r="A10">
        <v>115</v>
      </c>
      <c r="B10">
        <v>1687311</v>
      </c>
      <c r="C10" t="s">
        <v>3289</v>
      </c>
      <c r="D10" t="s">
        <v>475</v>
      </c>
      <c r="E10" t="s">
        <v>620</v>
      </c>
      <c r="F10">
        <v>70000000</v>
      </c>
      <c r="G10">
        <v>1998</v>
      </c>
      <c r="H10">
        <v>7.2</v>
      </c>
    </row>
    <row r="11" spans="1:8" x14ac:dyDescent="0.25">
      <c r="A11">
        <v>150</v>
      </c>
      <c r="B11">
        <v>626809</v>
      </c>
      <c r="C11" t="s">
        <v>1282</v>
      </c>
      <c r="D11" t="s">
        <v>326</v>
      </c>
      <c r="E11" t="s">
        <v>142</v>
      </c>
      <c r="F11">
        <v>553632000</v>
      </c>
      <c r="G11">
        <v>2008</v>
      </c>
      <c r="H11">
        <v>7.4</v>
      </c>
    </row>
    <row r="12" spans="1:8" x14ac:dyDescent="0.25">
      <c r="A12">
        <v>300</v>
      </c>
      <c r="B12">
        <v>454255</v>
      </c>
      <c r="C12" t="s">
        <v>2939</v>
      </c>
      <c r="D12" t="s">
        <v>2508</v>
      </c>
      <c r="E12" t="s">
        <v>2509</v>
      </c>
      <c r="F12">
        <v>400000000</v>
      </c>
      <c r="G12">
        <v>2001</v>
      </c>
      <c r="H12">
        <v>6.6</v>
      </c>
    </row>
    <row r="13" spans="1:8" x14ac:dyDescent="0.25">
      <c r="A13">
        <v>158</v>
      </c>
      <c r="B13">
        <v>14131298</v>
      </c>
      <c r="C13" t="s">
        <v>976</v>
      </c>
      <c r="D13" t="s">
        <v>1</v>
      </c>
      <c r="E13" t="s">
        <v>244</v>
      </c>
      <c r="F13">
        <v>390000000</v>
      </c>
      <c r="G13">
        <v>1999</v>
      </c>
      <c r="H13">
        <v>6.4</v>
      </c>
    </row>
    <row r="14" spans="1:8" x14ac:dyDescent="0.25">
      <c r="A14">
        <v>169</v>
      </c>
      <c r="B14">
        <v>309404152</v>
      </c>
      <c r="C14" t="s">
        <v>3</v>
      </c>
      <c r="D14" t="s">
        <v>1</v>
      </c>
      <c r="E14" t="s">
        <v>2</v>
      </c>
      <c r="F14">
        <v>300000000</v>
      </c>
      <c r="G14">
        <v>2007</v>
      </c>
      <c r="H14">
        <v>7.1</v>
      </c>
    </row>
    <row r="15" spans="1:8" x14ac:dyDescent="0.25">
      <c r="A15">
        <v>110</v>
      </c>
      <c r="B15">
        <v>102055</v>
      </c>
      <c r="C15" t="s">
        <v>2507</v>
      </c>
      <c r="D15" t="s">
        <v>2508</v>
      </c>
      <c r="E15" t="s">
        <v>2509</v>
      </c>
      <c r="F15">
        <v>300000000</v>
      </c>
      <c r="G15">
        <v>2008</v>
      </c>
      <c r="H15">
        <v>6.2</v>
      </c>
    </row>
    <row r="16" spans="1:8" x14ac:dyDescent="0.25">
      <c r="A16">
        <v>132</v>
      </c>
      <c r="B16">
        <v>73058679</v>
      </c>
      <c r="C16" t="s">
        <v>7</v>
      </c>
      <c r="D16" t="s">
        <v>1</v>
      </c>
      <c r="E16" t="s">
        <v>2</v>
      </c>
      <c r="F16">
        <v>263700000</v>
      </c>
      <c r="G16">
        <v>2012</v>
      </c>
      <c r="H16">
        <v>6.6</v>
      </c>
    </row>
    <row r="17" spans="1:8" x14ac:dyDescent="0.25">
      <c r="A17">
        <v>100</v>
      </c>
      <c r="B17">
        <v>200807262</v>
      </c>
      <c r="C17" t="s">
        <v>9</v>
      </c>
      <c r="D17" t="s">
        <v>1</v>
      </c>
      <c r="E17" t="s">
        <v>2</v>
      </c>
      <c r="F17">
        <v>260000000</v>
      </c>
      <c r="G17">
        <v>2010</v>
      </c>
      <c r="H17">
        <v>7.8</v>
      </c>
    </row>
    <row r="18" spans="1:8" x14ac:dyDescent="0.25">
      <c r="A18">
        <v>156</v>
      </c>
      <c r="B18">
        <v>336530303</v>
      </c>
      <c r="C18" t="s">
        <v>8</v>
      </c>
      <c r="D18" t="s">
        <v>1</v>
      </c>
      <c r="E18" t="s">
        <v>2</v>
      </c>
      <c r="F18">
        <v>258000000</v>
      </c>
      <c r="G18">
        <v>2007</v>
      </c>
      <c r="H18">
        <v>6.2</v>
      </c>
    </row>
    <row r="19" spans="1:8" x14ac:dyDescent="0.25">
      <c r="A19">
        <v>156</v>
      </c>
      <c r="B19">
        <v>336530303</v>
      </c>
      <c r="C19" t="s">
        <v>8</v>
      </c>
      <c r="D19" t="s">
        <v>1</v>
      </c>
      <c r="E19" t="s">
        <v>2</v>
      </c>
      <c r="F19">
        <v>258000000</v>
      </c>
      <c r="G19">
        <v>2007</v>
      </c>
      <c r="H19">
        <v>6.2</v>
      </c>
    </row>
    <row r="20" spans="1:8" x14ac:dyDescent="0.25">
      <c r="A20">
        <v>164</v>
      </c>
      <c r="B20">
        <v>448130642</v>
      </c>
      <c r="C20" t="s">
        <v>6</v>
      </c>
      <c r="D20" t="s">
        <v>1</v>
      </c>
      <c r="E20" t="s">
        <v>2</v>
      </c>
      <c r="F20">
        <v>250000000</v>
      </c>
      <c r="G20">
        <v>2012</v>
      </c>
      <c r="H20">
        <v>8.5</v>
      </c>
    </row>
    <row r="21" spans="1:8" x14ac:dyDescent="0.25">
      <c r="A21">
        <v>141</v>
      </c>
      <c r="B21">
        <v>458991599</v>
      </c>
      <c r="C21" t="s">
        <v>10</v>
      </c>
      <c r="D21" t="s">
        <v>1</v>
      </c>
      <c r="E21" t="s">
        <v>2</v>
      </c>
      <c r="F21">
        <v>250000000</v>
      </c>
      <c r="G21">
        <v>2015</v>
      </c>
      <c r="H21">
        <v>7.5</v>
      </c>
    </row>
    <row r="22" spans="1:8" x14ac:dyDescent="0.25">
      <c r="A22">
        <v>153</v>
      </c>
      <c r="B22">
        <v>301956980</v>
      </c>
      <c r="C22" t="s">
        <v>11</v>
      </c>
      <c r="D22" t="s">
        <v>1</v>
      </c>
      <c r="E22" t="s">
        <v>5</v>
      </c>
      <c r="F22">
        <v>250000000</v>
      </c>
      <c r="G22">
        <v>2009</v>
      </c>
      <c r="H22">
        <v>7.5</v>
      </c>
    </row>
    <row r="23" spans="1:8" x14ac:dyDescent="0.25">
      <c r="A23">
        <v>183</v>
      </c>
      <c r="B23">
        <v>330249062</v>
      </c>
      <c r="C23" t="s">
        <v>12</v>
      </c>
      <c r="D23" t="s">
        <v>1</v>
      </c>
      <c r="E23" t="s">
        <v>2</v>
      </c>
      <c r="F23">
        <v>250000000</v>
      </c>
      <c r="G23">
        <v>2016</v>
      </c>
      <c r="H23">
        <v>6.9</v>
      </c>
    </row>
    <row r="24" spans="1:8" x14ac:dyDescent="0.25">
      <c r="A24">
        <v>136</v>
      </c>
      <c r="B24">
        <v>241063875</v>
      </c>
      <c r="C24" t="s">
        <v>20</v>
      </c>
      <c r="D24" t="s">
        <v>1</v>
      </c>
      <c r="E24" t="s">
        <v>2</v>
      </c>
      <c r="F24">
        <v>250000000</v>
      </c>
      <c r="G24">
        <v>2011</v>
      </c>
      <c r="H24">
        <v>6.7</v>
      </c>
    </row>
    <row r="25" spans="1:8" x14ac:dyDescent="0.25">
      <c r="A25">
        <v>164</v>
      </c>
      <c r="B25">
        <v>255108370</v>
      </c>
      <c r="C25" t="s">
        <v>22</v>
      </c>
      <c r="D25" t="s">
        <v>1</v>
      </c>
      <c r="E25" t="s">
        <v>23</v>
      </c>
      <c r="F25">
        <v>250000000</v>
      </c>
      <c r="G25">
        <v>2014</v>
      </c>
      <c r="H25">
        <v>7.5</v>
      </c>
    </row>
    <row r="26" spans="1:8" x14ac:dyDescent="0.25">
      <c r="A26">
        <v>147</v>
      </c>
      <c r="B26">
        <v>407197282</v>
      </c>
      <c r="C26" t="s">
        <v>30</v>
      </c>
      <c r="D26" t="s">
        <v>1</v>
      </c>
      <c r="E26" t="s">
        <v>2</v>
      </c>
      <c r="F26">
        <v>250000000</v>
      </c>
      <c r="G26">
        <v>2016</v>
      </c>
      <c r="H26">
        <v>8.1999999999999993</v>
      </c>
    </row>
    <row r="27" spans="1:8" x14ac:dyDescent="0.25">
      <c r="A27">
        <v>148</v>
      </c>
      <c r="B27">
        <v>200074175</v>
      </c>
      <c r="C27" t="s">
        <v>4</v>
      </c>
      <c r="D27" t="s">
        <v>1</v>
      </c>
      <c r="E27" t="s">
        <v>5</v>
      </c>
      <c r="F27">
        <v>245000000</v>
      </c>
      <c r="G27">
        <v>2015</v>
      </c>
      <c r="H27">
        <v>6.8</v>
      </c>
    </row>
    <row r="28" spans="1:8" x14ac:dyDescent="0.25">
      <c r="A28">
        <v>178</v>
      </c>
      <c r="B28">
        <v>760505847</v>
      </c>
      <c r="C28" t="s">
        <v>0</v>
      </c>
      <c r="D28" t="s">
        <v>1</v>
      </c>
      <c r="E28" t="s">
        <v>2</v>
      </c>
      <c r="F28">
        <v>237000000</v>
      </c>
      <c r="G28">
        <v>2009</v>
      </c>
      <c r="H28">
        <v>7.9</v>
      </c>
    </row>
    <row r="29" spans="1:8" x14ac:dyDescent="0.25">
      <c r="A29">
        <v>153</v>
      </c>
      <c r="B29">
        <v>262030663</v>
      </c>
      <c r="C29" t="s">
        <v>24</v>
      </c>
      <c r="D29" t="s">
        <v>1</v>
      </c>
      <c r="E29" t="s">
        <v>2</v>
      </c>
      <c r="F29">
        <v>230000000</v>
      </c>
      <c r="G29">
        <v>2012</v>
      </c>
      <c r="H29">
        <v>7</v>
      </c>
    </row>
    <row r="30" spans="1:8" x14ac:dyDescent="0.25">
      <c r="A30">
        <v>151</v>
      </c>
      <c r="B30">
        <v>423032628</v>
      </c>
      <c r="C30" t="s">
        <v>15</v>
      </c>
      <c r="D30" t="s">
        <v>1</v>
      </c>
      <c r="E30" t="s">
        <v>2</v>
      </c>
      <c r="F30">
        <v>225000000</v>
      </c>
      <c r="G30">
        <v>2006</v>
      </c>
      <c r="H30">
        <v>7.3</v>
      </c>
    </row>
    <row r="31" spans="1:8" x14ac:dyDescent="0.25">
      <c r="A31">
        <v>143</v>
      </c>
      <c r="B31">
        <v>291021565</v>
      </c>
      <c r="C31" t="s">
        <v>17</v>
      </c>
      <c r="D31" t="s">
        <v>1</v>
      </c>
      <c r="E31" t="s">
        <v>2</v>
      </c>
      <c r="F31">
        <v>225000000</v>
      </c>
      <c r="G31">
        <v>2013</v>
      </c>
      <c r="H31">
        <v>7.2</v>
      </c>
    </row>
    <row r="32" spans="1:8" x14ac:dyDescent="0.25">
      <c r="A32">
        <v>150</v>
      </c>
      <c r="B32">
        <v>141614023</v>
      </c>
      <c r="C32" t="s">
        <v>18</v>
      </c>
      <c r="D32" t="s">
        <v>1</v>
      </c>
      <c r="E32" t="s">
        <v>2</v>
      </c>
      <c r="F32">
        <v>225000000</v>
      </c>
      <c r="G32">
        <v>2008</v>
      </c>
      <c r="H32">
        <v>6.6</v>
      </c>
    </row>
    <row r="33" spans="1:8" x14ac:dyDescent="0.25">
      <c r="A33">
        <v>106</v>
      </c>
      <c r="B33">
        <v>179020854</v>
      </c>
      <c r="C33" t="s">
        <v>21</v>
      </c>
      <c r="D33" t="s">
        <v>1</v>
      </c>
      <c r="E33" t="s">
        <v>2</v>
      </c>
      <c r="F33">
        <v>225000000</v>
      </c>
      <c r="G33">
        <v>2012</v>
      </c>
      <c r="H33">
        <v>6.8</v>
      </c>
    </row>
    <row r="34" spans="1:8" x14ac:dyDescent="0.25">
      <c r="A34">
        <v>186</v>
      </c>
      <c r="B34">
        <v>258355354</v>
      </c>
      <c r="C34" t="s">
        <v>26</v>
      </c>
      <c r="D34" t="s">
        <v>1</v>
      </c>
      <c r="E34" t="s">
        <v>2</v>
      </c>
      <c r="F34">
        <v>225000000</v>
      </c>
      <c r="G34">
        <v>2013</v>
      </c>
      <c r="H34">
        <v>7.9</v>
      </c>
    </row>
    <row r="35" spans="1:8" x14ac:dyDescent="0.25">
      <c r="A35">
        <v>173</v>
      </c>
      <c r="B35">
        <v>623279547</v>
      </c>
      <c r="C35" t="s">
        <v>19</v>
      </c>
      <c r="D35" t="s">
        <v>1</v>
      </c>
      <c r="E35" t="s">
        <v>2</v>
      </c>
      <c r="F35">
        <v>220000000</v>
      </c>
      <c r="G35">
        <v>2012</v>
      </c>
      <c r="H35">
        <v>8.1</v>
      </c>
    </row>
    <row r="36" spans="1:8" x14ac:dyDescent="0.25">
      <c r="A36">
        <v>173</v>
      </c>
      <c r="B36">
        <v>623279547</v>
      </c>
      <c r="C36" t="s">
        <v>19</v>
      </c>
      <c r="D36" t="s">
        <v>1</v>
      </c>
      <c r="E36" t="s">
        <v>2</v>
      </c>
      <c r="F36">
        <v>220000000</v>
      </c>
      <c r="G36">
        <v>2012</v>
      </c>
      <c r="H36">
        <v>8.1</v>
      </c>
    </row>
    <row r="37" spans="1:8" x14ac:dyDescent="0.25">
      <c r="A37">
        <v>150</v>
      </c>
      <c r="B37">
        <v>89289910</v>
      </c>
      <c r="C37" t="s">
        <v>16</v>
      </c>
      <c r="D37" t="s">
        <v>1</v>
      </c>
      <c r="E37" t="s">
        <v>2</v>
      </c>
      <c r="F37">
        <v>215000000</v>
      </c>
      <c r="G37">
        <v>2013</v>
      </c>
      <c r="H37">
        <v>6.5</v>
      </c>
    </row>
    <row r="38" spans="1:8" x14ac:dyDescent="0.25">
      <c r="A38">
        <v>130</v>
      </c>
      <c r="B38">
        <v>234903076</v>
      </c>
      <c r="C38" t="s">
        <v>42</v>
      </c>
      <c r="D38" t="s">
        <v>1</v>
      </c>
      <c r="E38" t="s">
        <v>2</v>
      </c>
      <c r="F38">
        <v>215000000</v>
      </c>
      <c r="G38">
        <v>2013</v>
      </c>
      <c r="H38">
        <v>6.4</v>
      </c>
    </row>
    <row r="39" spans="1:8" x14ac:dyDescent="0.25">
      <c r="A39">
        <v>130</v>
      </c>
      <c r="B39">
        <v>234903076</v>
      </c>
      <c r="C39" t="s">
        <v>42</v>
      </c>
      <c r="D39" t="s">
        <v>1</v>
      </c>
      <c r="E39" t="s">
        <v>2</v>
      </c>
      <c r="F39">
        <v>215000000</v>
      </c>
      <c r="G39">
        <v>2013</v>
      </c>
      <c r="H39">
        <v>6.4</v>
      </c>
    </row>
    <row r="40" spans="1:8" x14ac:dyDescent="0.25">
      <c r="A40">
        <v>104</v>
      </c>
      <c r="B40">
        <v>234360014</v>
      </c>
      <c r="C40" t="s">
        <v>37</v>
      </c>
      <c r="D40" t="s">
        <v>1</v>
      </c>
      <c r="E40" t="s">
        <v>38</v>
      </c>
      <c r="F40">
        <v>210000000</v>
      </c>
      <c r="G40">
        <v>2006</v>
      </c>
      <c r="H40">
        <v>6.8</v>
      </c>
    </row>
    <row r="41" spans="1:8" x14ac:dyDescent="0.25">
      <c r="A41">
        <v>165</v>
      </c>
      <c r="B41">
        <v>245428137</v>
      </c>
      <c r="C41" t="s">
        <v>41</v>
      </c>
      <c r="D41" t="s">
        <v>1</v>
      </c>
      <c r="E41" t="s">
        <v>2</v>
      </c>
      <c r="F41">
        <v>210000000</v>
      </c>
      <c r="G41">
        <v>2014</v>
      </c>
      <c r="H41">
        <v>5.7</v>
      </c>
    </row>
    <row r="42" spans="1:8" x14ac:dyDescent="0.25">
      <c r="A42">
        <v>169</v>
      </c>
      <c r="B42">
        <v>200069408</v>
      </c>
      <c r="C42" t="s">
        <v>13</v>
      </c>
      <c r="D42" t="s">
        <v>1</v>
      </c>
      <c r="E42" t="s">
        <v>2</v>
      </c>
      <c r="F42">
        <v>209000000</v>
      </c>
      <c r="G42">
        <v>2006</v>
      </c>
      <c r="H42">
        <v>6.1</v>
      </c>
    </row>
    <row r="43" spans="1:8" x14ac:dyDescent="0.25">
      <c r="A43">
        <v>131</v>
      </c>
      <c r="B43">
        <v>65173160</v>
      </c>
      <c r="C43" t="s">
        <v>31</v>
      </c>
      <c r="D43" t="s">
        <v>1</v>
      </c>
      <c r="E43" t="s">
        <v>2</v>
      </c>
      <c r="F43">
        <v>209000000</v>
      </c>
      <c r="G43">
        <v>2012</v>
      </c>
      <c r="H43">
        <v>5.9</v>
      </c>
    </row>
    <row r="44" spans="1:8" x14ac:dyDescent="0.25">
      <c r="A44">
        <v>201</v>
      </c>
      <c r="B44">
        <v>218051260</v>
      </c>
      <c r="C44" t="s">
        <v>28</v>
      </c>
      <c r="D44" t="s">
        <v>1</v>
      </c>
      <c r="E44" t="s">
        <v>23</v>
      </c>
      <c r="F44">
        <v>207000000</v>
      </c>
      <c r="G44">
        <v>2005</v>
      </c>
      <c r="H44">
        <v>7.2</v>
      </c>
    </row>
    <row r="45" spans="1:8" x14ac:dyDescent="0.25">
      <c r="A45">
        <v>201</v>
      </c>
      <c r="B45">
        <v>218051260</v>
      </c>
      <c r="C45" t="s">
        <v>28</v>
      </c>
      <c r="D45" t="s">
        <v>1</v>
      </c>
      <c r="E45" t="s">
        <v>23</v>
      </c>
      <c r="F45">
        <v>207000000</v>
      </c>
      <c r="G45">
        <v>2005</v>
      </c>
      <c r="H45">
        <v>7.2</v>
      </c>
    </row>
    <row r="46" spans="1:8" x14ac:dyDescent="0.25">
      <c r="A46">
        <v>201</v>
      </c>
      <c r="B46">
        <v>218051260</v>
      </c>
      <c r="C46" t="s">
        <v>28</v>
      </c>
      <c r="D46" t="s">
        <v>1</v>
      </c>
      <c r="E46" t="s">
        <v>23</v>
      </c>
      <c r="F46">
        <v>207000000</v>
      </c>
      <c r="G46">
        <v>2005</v>
      </c>
      <c r="H46">
        <v>7.2</v>
      </c>
    </row>
    <row r="47" spans="1:8" x14ac:dyDescent="0.25">
      <c r="A47">
        <v>106</v>
      </c>
      <c r="B47">
        <v>168368427</v>
      </c>
      <c r="C47" t="s">
        <v>14</v>
      </c>
      <c r="D47" t="s">
        <v>1</v>
      </c>
      <c r="E47" t="s">
        <v>5</v>
      </c>
      <c r="F47">
        <v>200000000</v>
      </c>
      <c r="G47">
        <v>2008</v>
      </c>
      <c r="H47">
        <v>6.7</v>
      </c>
    </row>
    <row r="48" spans="1:8" x14ac:dyDescent="0.25">
      <c r="A48">
        <v>156</v>
      </c>
      <c r="B48">
        <v>105219735</v>
      </c>
      <c r="C48" t="s">
        <v>25</v>
      </c>
      <c r="D48" t="s">
        <v>1</v>
      </c>
      <c r="E48" t="s">
        <v>2</v>
      </c>
      <c r="F48">
        <v>200000000</v>
      </c>
      <c r="G48">
        <v>2010</v>
      </c>
      <c r="H48">
        <v>6.7</v>
      </c>
    </row>
    <row r="49" spans="1:8" x14ac:dyDescent="0.25">
      <c r="A49">
        <v>194</v>
      </c>
      <c r="B49">
        <v>658672302</v>
      </c>
      <c r="C49" t="s">
        <v>29</v>
      </c>
      <c r="D49" t="s">
        <v>1</v>
      </c>
      <c r="E49" t="s">
        <v>2</v>
      </c>
      <c r="F49">
        <v>200000000</v>
      </c>
      <c r="G49">
        <v>1997</v>
      </c>
      <c r="H49">
        <v>7.7</v>
      </c>
    </row>
    <row r="50" spans="1:8" x14ac:dyDescent="0.25">
      <c r="A50">
        <v>143</v>
      </c>
      <c r="B50">
        <v>304360277</v>
      </c>
      <c r="C50" t="s">
        <v>33</v>
      </c>
      <c r="D50" t="s">
        <v>1</v>
      </c>
      <c r="E50" t="s">
        <v>5</v>
      </c>
      <c r="F50">
        <v>200000000</v>
      </c>
      <c r="G50">
        <v>2012</v>
      </c>
      <c r="H50">
        <v>7.8</v>
      </c>
    </row>
    <row r="51" spans="1:8" x14ac:dyDescent="0.25">
      <c r="A51">
        <v>135</v>
      </c>
      <c r="B51">
        <v>373377893</v>
      </c>
      <c r="C51" t="s">
        <v>34</v>
      </c>
      <c r="D51" t="s">
        <v>1</v>
      </c>
      <c r="E51" t="s">
        <v>2</v>
      </c>
      <c r="F51">
        <v>200000000</v>
      </c>
      <c r="G51">
        <v>2004</v>
      </c>
      <c r="H51">
        <v>7.3</v>
      </c>
    </row>
    <row r="52" spans="1:8" x14ac:dyDescent="0.25">
      <c r="A52">
        <v>195</v>
      </c>
      <c r="B52">
        <v>408992272</v>
      </c>
      <c r="C52" t="s">
        <v>35</v>
      </c>
      <c r="D52" t="s">
        <v>1</v>
      </c>
      <c r="E52" t="s">
        <v>2</v>
      </c>
      <c r="F52">
        <v>200000000</v>
      </c>
      <c r="G52">
        <v>2013</v>
      </c>
      <c r="H52">
        <v>7.2</v>
      </c>
    </row>
    <row r="53" spans="1:8" x14ac:dyDescent="0.25">
      <c r="A53">
        <v>108</v>
      </c>
      <c r="B53">
        <v>334185206</v>
      </c>
      <c r="C53" t="s">
        <v>36</v>
      </c>
      <c r="D53" t="s">
        <v>1</v>
      </c>
      <c r="E53" t="s">
        <v>2</v>
      </c>
      <c r="F53">
        <v>200000000</v>
      </c>
      <c r="G53">
        <v>2010</v>
      </c>
      <c r="H53">
        <v>6.5</v>
      </c>
    </row>
    <row r="54" spans="1:8" x14ac:dyDescent="0.25">
      <c r="A54">
        <v>104</v>
      </c>
      <c r="B54">
        <v>268488329</v>
      </c>
      <c r="C54" t="s">
        <v>39</v>
      </c>
      <c r="D54" t="s">
        <v>1</v>
      </c>
      <c r="E54" t="s">
        <v>2</v>
      </c>
      <c r="F54">
        <v>200000000</v>
      </c>
      <c r="G54">
        <v>2013</v>
      </c>
      <c r="H54">
        <v>7.3</v>
      </c>
    </row>
    <row r="55" spans="1:8" x14ac:dyDescent="0.25">
      <c r="A55">
        <v>150</v>
      </c>
      <c r="B55">
        <v>402076689</v>
      </c>
      <c r="C55" t="s">
        <v>40</v>
      </c>
      <c r="D55" t="s">
        <v>1</v>
      </c>
      <c r="E55" t="s">
        <v>2</v>
      </c>
      <c r="F55">
        <v>200000000</v>
      </c>
      <c r="G55">
        <v>2009</v>
      </c>
      <c r="H55">
        <v>6</v>
      </c>
    </row>
    <row r="56" spans="1:8" x14ac:dyDescent="0.25">
      <c r="A56">
        <v>142</v>
      </c>
      <c r="B56">
        <v>202853933</v>
      </c>
      <c r="C56" t="s">
        <v>43</v>
      </c>
      <c r="D56" t="s">
        <v>1</v>
      </c>
      <c r="E56" t="s">
        <v>2</v>
      </c>
      <c r="F56">
        <v>200000000</v>
      </c>
      <c r="G56">
        <v>2014</v>
      </c>
      <c r="H56">
        <v>6.7</v>
      </c>
    </row>
    <row r="57" spans="1:8" x14ac:dyDescent="0.25">
      <c r="A57">
        <v>106</v>
      </c>
      <c r="B57">
        <v>191450875</v>
      </c>
      <c r="C57" t="s">
        <v>45</v>
      </c>
      <c r="D57" t="s">
        <v>1</v>
      </c>
      <c r="E57" t="s">
        <v>2</v>
      </c>
      <c r="F57">
        <v>200000000</v>
      </c>
      <c r="G57">
        <v>2011</v>
      </c>
      <c r="H57">
        <v>6.3</v>
      </c>
    </row>
    <row r="58" spans="1:8" x14ac:dyDescent="0.25">
      <c r="A58">
        <v>123</v>
      </c>
      <c r="B58">
        <v>116593191</v>
      </c>
      <c r="C58" t="s">
        <v>46</v>
      </c>
      <c r="D58" t="s">
        <v>1</v>
      </c>
      <c r="E58" t="s">
        <v>2</v>
      </c>
      <c r="F58">
        <v>200000000</v>
      </c>
      <c r="G58">
        <v>2011</v>
      </c>
      <c r="H58">
        <v>5.6</v>
      </c>
    </row>
    <row r="59" spans="1:8" x14ac:dyDescent="0.25">
      <c r="A59">
        <v>103</v>
      </c>
      <c r="B59">
        <v>414984497</v>
      </c>
      <c r="C59" t="s">
        <v>47</v>
      </c>
      <c r="D59" t="s">
        <v>1</v>
      </c>
      <c r="E59" t="s">
        <v>2</v>
      </c>
      <c r="F59">
        <v>200000000</v>
      </c>
      <c r="G59">
        <v>2010</v>
      </c>
      <c r="H59">
        <v>8.3000000000000007</v>
      </c>
    </row>
    <row r="60" spans="1:8" x14ac:dyDescent="0.25">
      <c r="A60">
        <v>118</v>
      </c>
      <c r="B60">
        <v>125320003</v>
      </c>
      <c r="C60" t="s">
        <v>48</v>
      </c>
      <c r="D60" t="s">
        <v>1</v>
      </c>
      <c r="E60" t="s">
        <v>2</v>
      </c>
      <c r="F60">
        <v>200000000</v>
      </c>
      <c r="G60">
        <v>2009</v>
      </c>
      <c r="H60">
        <v>6.6</v>
      </c>
    </row>
    <row r="61" spans="1:8" x14ac:dyDescent="0.25">
      <c r="A61">
        <v>149</v>
      </c>
      <c r="B61">
        <v>233914986</v>
      </c>
      <c r="C61" t="s">
        <v>51</v>
      </c>
      <c r="D61" t="s">
        <v>1</v>
      </c>
      <c r="E61" t="s">
        <v>2</v>
      </c>
      <c r="F61">
        <v>200000000</v>
      </c>
      <c r="G61">
        <v>2014</v>
      </c>
      <c r="H61">
        <v>8</v>
      </c>
    </row>
    <row r="62" spans="1:8" x14ac:dyDescent="0.25">
      <c r="A62">
        <v>116</v>
      </c>
      <c r="B62">
        <v>90755643</v>
      </c>
      <c r="C62" t="s">
        <v>56</v>
      </c>
      <c r="D62" t="s">
        <v>1</v>
      </c>
      <c r="E62" t="s">
        <v>2</v>
      </c>
      <c r="F62">
        <v>200000000</v>
      </c>
      <c r="G62">
        <v>2010</v>
      </c>
      <c r="H62">
        <v>6.6</v>
      </c>
    </row>
    <row r="63" spans="1:8" x14ac:dyDescent="0.25">
      <c r="A63">
        <v>158</v>
      </c>
      <c r="B63">
        <v>166112167</v>
      </c>
      <c r="C63" t="s">
        <v>64</v>
      </c>
      <c r="D63" t="s">
        <v>1</v>
      </c>
      <c r="E63" t="s">
        <v>2</v>
      </c>
      <c r="F63">
        <v>200000000</v>
      </c>
      <c r="G63">
        <v>2009</v>
      </c>
      <c r="H63">
        <v>5.8</v>
      </c>
    </row>
    <row r="64" spans="1:8" x14ac:dyDescent="0.25">
      <c r="A64">
        <v>96</v>
      </c>
      <c r="B64">
        <v>137850096</v>
      </c>
      <c r="C64" t="s">
        <v>65</v>
      </c>
      <c r="D64" t="s">
        <v>1</v>
      </c>
      <c r="E64" t="s">
        <v>2</v>
      </c>
      <c r="F64">
        <v>200000000</v>
      </c>
      <c r="G64">
        <v>2009</v>
      </c>
      <c r="H64">
        <v>6.8</v>
      </c>
    </row>
    <row r="65" spans="1:8" x14ac:dyDescent="0.25">
      <c r="A65">
        <v>124</v>
      </c>
      <c r="B65">
        <v>312057433</v>
      </c>
      <c r="C65" t="s">
        <v>84</v>
      </c>
      <c r="D65" t="s">
        <v>1</v>
      </c>
      <c r="E65" t="s">
        <v>2</v>
      </c>
      <c r="F65">
        <v>200000000</v>
      </c>
      <c r="G65">
        <v>2010</v>
      </c>
      <c r="H65">
        <v>7</v>
      </c>
    </row>
    <row r="66" spans="1:8" x14ac:dyDescent="0.25">
      <c r="A66">
        <v>109</v>
      </c>
      <c r="B66">
        <v>150350192</v>
      </c>
      <c r="C66" t="s">
        <v>98</v>
      </c>
      <c r="D66" t="s">
        <v>1</v>
      </c>
      <c r="E66" t="s">
        <v>2</v>
      </c>
      <c r="F66">
        <v>200000000</v>
      </c>
      <c r="G66">
        <v>2003</v>
      </c>
      <c r="H66">
        <v>6.4</v>
      </c>
    </row>
    <row r="67" spans="1:8" x14ac:dyDescent="0.25">
      <c r="A67">
        <v>143</v>
      </c>
      <c r="B67">
        <v>304360277</v>
      </c>
      <c r="C67" t="s">
        <v>33</v>
      </c>
      <c r="D67" t="s">
        <v>1</v>
      </c>
      <c r="E67" t="s">
        <v>5</v>
      </c>
      <c r="F67">
        <v>200000000</v>
      </c>
      <c r="G67">
        <v>2012</v>
      </c>
      <c r="H67">
        <v>7.8</v>
      </c>
    </row>
    <row r="68" spans="1:8" x14ac:dyDescent="0.25">
      <c r="A68">
        <v>111</v>
      </c>
      <c r="B68">
        <v>11905519</v>
      </c>
      <c r="C68" t="s">
        <v>3172</v>
      </c>
      <c r="D68" t="s">
        <v>2508</v>
      </c>
      <c r="E68" t="s">
        <v>2509</v>
      </c>
      <c r="F68">
        <v>200000000</v>
      </c>
      <c r="G68">
        <v>2005</v>
      </c>
      <c r="H68">
        <v>7.1</v>
      </c>
    </row>
    <row r="69" spans="1:8" x14ac:dyDescent="0.25">
      <c r="A69">
        <v>108</v>
      </c>
      <c r="B69">
        <v>334185206</v>
      </c>
      <c r="C69" t="s">
        <v>36</v>
      </c>
      <c r="D69" t="s">
        <v>1</v>
      </c>
      <c r="E69" t="s">
        <v>2</v>
      </c>
      <c r="F69">
        <v>200000000</v>
      </c>
      <c r="G69">
        <v>2010</v>
      </c>
      <c r="H69">
        <v>6.5</v>
      </c>
    </row>
    <row r="70" spans="1:8" x14ac:dyDescent="0.25">
      <c r="A70">
        <v>114</v>
      </c>
      <c r="B70">
        <v>65171860</v>
      </c>
      <c r="C70" t="s">
        <v>53</v>
      </c>
      <c r="D70" t="s">
        <v>1</v>
      </c>
      <c r="E70" t="s">
        <v>2</v>
      </c>
      <c r="F70">
        <v>195000000</v>
      </c>
      <c r="G70">
        <v>2013</v>
      </c>
      <c r="H70">
        <v>6.3</v>
      </c>
    </row>
    <row r="71" spans="1:8" x14ac:dyDescent="0.25">
      <c r="A71">
        <v>154</v>
      </c>
      <c r="B71">
        <v>352358779</v>
      </c>
      <c r="C71" t="s">
        <v>58</v>
      </c>
      <c r="D71" t="s">
        <v>1</v>
      </c>
      <c r="E71" t="s">
        <v>2</v>
      </c>
      <c r="F71">
        <v>195000000</v>
      </c>
      <c r="G71">
        <v>2011</v>
      </c>
      <c r="H71">
        <v>6.3</v>
      </c>
    </row>
    <row r="72" spans="1:8" x14ac:dyDescent="0.25">
      <c r="A72">
        <v>140</v>
      </c>
      <c r="B72">
        <v>350034110</v>
      </c>
      <c r="C72" t="s">
        <v>49</v>
      </c>
      <c r="D72" t="s">
        <v>1</v>
      </c>
      <c r="E72" t="s">
        <v>2</v>
      </c>
      <c r="F72">
        <v>190000000</v>
      </c>
      <c r="G72">
        <v>2015</v>
      </c>
      <c r="H72">
        <v>7.2</v>
      </c>
    </row>
    <row r="73" spans="1:8" x14ac:dyDescent="0.25">
      <c r="A73">
        <v>123</v>
      </c>
      <c r="B73">
        <v>202351611</v>
      </c>
      <c r="C73" t="s">
        <v>50</v>
      </c>
      <c r="D73" t="s">
        <v>1</v>
      </c>
      <c r="E73" t="s">
        <v>2</v>
      </c>
      <c r="F73">
        <v>190000000</v>
      </c>
      <c r="G73">
        <v>2013</v>
      </c>
      <c r="H73">
        <v>7</v>
      </c>
    </row>
    <row r="74" spans="1:8" x14ac:dyDescent="0.25">
      <c r="A74">
        <v>132</v>
      </c>
      <c r="B74">
        <v>228756232</v>
      </c>
      <c r="C74" t="s">
        <v>52</v>
      </c>
      <c r="D74" t="s">
        <v>1</v>
      </c>
      <c r="E74" t="s">
        <v>2</v>
      </c>
      <c r="F74">
        <v>190000000</v>
      </c>
      <c r="G74">
        <v>2013</v>
      </c>
      <c r="H74">
        <v>7.8</v>
      </c>
    </row>
    <row r="75" spans="1:8" x14ac:dyDescent="0.25">
      <c r="A75">
        <v>131</v>
      </c>
      <c r="B75">
        <v>101785482</v>
      </c>
      <c r="C75" t="s">
        <v>57</v>
      </c>
      <c r="D75" t="s">
        <v>1</v>
      </c>
      <c r="E75" t="s">
        <v>2</v>
      </c>
      <c r="F75">
        <v>190000000</v>
      </c>
      <c r="G75">
        <v>2013</v>
      </c>
      <c r="H75">
        <v>7</v>
      </c>
    </row>
    <row r="76" spans="1:8" x14ac:dyDescent="0.25">
      <c r="A76">
        <v>130</v>
      </c>
      <c r="B76">
        <v>93417865</v>
      </c>
      <c r="C76" t="s">
        <v>92</v>
      </c>
      <c r="D76" t="s">
        <v>1</v>
      </c>
      <c r="E76" t="s">
        <v>2</v>
      </c>
      <c r="F76">
        <v>190000000</v>
      </c>
      <c r="G76">
        <v>2015</v>
      </c>
      <c r="H76">
        <v>6.5</v>
      </c>
    </row>
    <row r="77" spans="1:8" x14ac:dyDescent="0.25">
      <c r="A77">
        <v>122</v>
      </c>
      <c r="B77">
        <v>317011114</v>
      </c>
      <c r="C77" t="s">
        <v>59</v>
      </c>
      <c r="D77" t="s">
        <v>1</v>
      </c>
      <c r="E77" t="s">
        <v>2</v>
      </c>
      <c r="F77">
        <v>185000000</v>
      </c>
      <c r="G77">
        <v>2008</v>
      </c>
      <c r="H77">
        <v>6.2</v>
      </c>
    </row>
    <row r="78" spans="1:8" x14ac:dyDescent="0.25">
      <c r="A78">
        <v>93</v>
      </c>
      <c r="B78">
        <v>237282182</v>
      </c>
      <c r="C78" t="s">
        <v>60</v>
      </c>
      <c r="D78" t="s">
        <v>1</v>
      </c>
      <c r="E78" t="s">
        <v>2</v>
      </c>
      <c r="F78">
        <v>185000000</v>
      </c>
      <c r="G78">
        <v>2012</v>
      </c>
      <c r="H78">
        <v>7.2</v>
      </c>
    </row>
    <row r="79" spans="1:8" x14ac:dyDescent="0.25">
      <c r="A79">
        <v>122</v>
      </c>
      <c r="B79">
        <v>130468626</v>
      </c>
      <c r="C79" t="s">
        <v>61</v>
      </c>
      <c r="D79" t="s">
        <v>1</v>
      </c>
      <c r="E79" t="s">
        <v>2</v>
      </c>
      <c r="F79">
        <v>185000000</v>
      </c>
      <c r="G79">
        <v>2016</v>
      </c>
      <c r="H79">
        <v>7.5</v>
      </c>
    </row>
    <row r="80" spans="1:8" x14ac:dyDescent="0.25">
      <c r="A80">
        <v>152</v>
      </c>
      <c r="B80">
        <v>533316061</v>
      </c>
      <c r="C80" t="s">
        <v>70</v>
      </c>
      <c r="D80" t="s">
        <v>1</v>
      </c>
      <c r="E80" t="s">
        <v>2</v>
      </c>
      <c r="F80">
        <v>185000000</v>
      </c>
      <c r="G80">
        <v>2008</v>
      </c>
      <c r="H80">
        <v>9</v>
      </c>
    </row>
    <row r="81" spans="1:8" x14ac:dyDescent="0.25">
      <c r="A81">
        <v>113</v>
      </c>
      <c r="B81">
        <v>70083519</v>
      </c>
      <c r="C81" t="s">
        <v>27</v>
      </c>
      <c r="D81" t="s">
        <v>1</v>
      </c>
      <c r="E81" t="s">
        <v>2</v>
      </c>
      <c r="F81">
        <v>180000000</v>
      </c>
      <c r="G81">
        <v>2007</v>
      </c>
      <c r="H81">
        <v>6.1</v>
      </c>
    </row>
    <row r="82" spans="1:8" x14ac:dyDescent="0.25">
      <c r="A82">
        <v>98</v>
      </c>
      <c r="B82">
        <v>223806889</v>
      </c>
      <c r="C82" t="s">
        <v>62</v>
      </c>
      <c r="D82" t="s">
        <v>1</v>
      </c>
      <c r="E82" t="s">
        <v>2</v>
      </c>
      <c r="F82">
        <v>180000000</v>
      </c>
      <c r="G82">
        <v>2008</v>
      </c>
      <c r="H82">
        <v>8.4</v>
      </c>
    </row>
    <row r="83" spans="1:8" x14ac:dyDescent="0.25">
      <c r="A83">
        <v>110</v>
      </c>
      <c r="B83">
        <v>124051759</v>
      </c>
      <c r="C83" t="s">
        <v>67</v>
      </c>
      <c r="D83" t="s">
        <v>1</v>
      </c>
      <c r="E83" t="s">
        <v>2</v>
      </c>
      <c r="F83">
        <v>180000000</v>
      </c>
      <c r="G83">
        <v>2016</v>
      </c>
      <c r="H83">
        <v>6.6</v>
      </c>
    </row>
    <row r="84" spans="1:8" x14ac:dyDescent="0.25">
      <c r="A84">
        <v>150</v>
      </c>
      <c r="B84">
        <v>291709845</v>
      </c>
      <c r="C84" t="s">
        <v>68</v>
      </c>
      <c r="D84" t="s">
        <v>1</v>
      </c>
      <c r="E84" t="s">
        <v>2</v>
      </c>
      <c r="F84">
        <v>180000000</v>
      </c>
      <c r="G84">
        <v>2005</v>
      </c>
      <c r="H84">
        <v>6.9</v>
      </c>
    </row>
    <row r="85" spans="1:8" x14ac:dyDescent="0.25">
      <c r="A85">
        <v>97</v>
      </c>
      <c r="B85">
        <v>241407328</v>
      </c>
      <c r="C85" t="s">
        <v>86</v>
      </c>
      <c r="D85" t="s">
        <v>1</v>
      </c>
      <c r="E85" t="s">
        <v>2</v>
      </c>
      <c r="F85">
        <v>180000000</v>
      </c>
      <c r="G85">
        <v>2014</v>
      </c>
      <c r="H85">
        <v>7</v>
      </c>
    </row>
    <row r="86" spans="1:8" x14ac:dyDescent="0.25">
      <c r="A86">
        <v>182</v>
      </c>
      <c r="B86">
        <v>303001229</v>
      </c>
      <c r="C86" t="s">
        <v>104</v>
      </c>
      <c r="D86" t="s">
        <v>1</v>
      </c>
      <c r="E86" t="s">
        <v>2</v>
      </c>
      <c r="F86">
        <v>180000000</v>
      </c>
      <c r="G86">
        <v>2012</v>
      </c>
      <c r="H86">
        <v>7.9</v>
      </c>
    </row>
    <row r="87" spans="1:8" x14ac:dyDescent="0.25">
      <c r="A87">
        <v>110</v>
      </c>
      <c r="B87">
        <v>124051759</v>
      </c>
      <c r="C87" t="s">
        <v>67</v>
      </c>
      <c r="D87" t="s">
        <v>1</v>
      </c>
      <c r="E87" t="s">
        <v>2</v>
      </c>
      <c r="F87">
        <v>180000000</v>
      </c>
      <c r="G87">
        <v>2016</v>
      </c>
      <c r="H87">
        <v>6.6</v>
      </c>
    </row>
    <row r="88" spans="1:8" x14ac:dyDescent="0.25">
      <c r="A88">
        <v>144</v>
      </c>
      <c r="B88">
        <v>154985087</v>
      </c>
      <c r="C88" t="s">
        <v>69</v>
      </c>
      <c r="D88" t="s">
        <v>1</v>
      </c>
      <c r="E88" t="s">
        <v>2</v>
      </c>
      <c r="F88">
        <v>178000000</v>
      </c>
      <c r="G88">
        <v>2016</v>
      </c>
      <c r="H88">
        <v>7.3</v>
      </c>
    </row>
    <row r="89" spans="1:8" x14ac:dyDescent="0.25">
      <c r="A89">
        <v>113</v>
      </c>
      <c r="B89">
        <v>100189501</v>
      </c>
      <c r="C89" t="s">
        <v>79</v>
      </c>
      <c r="D89" t="s">
        <v>1</v>
      </c>
      <c r="E89" t="s">
        <v>2</v>
      </c>
      <c r="F89">
        <v>178000000</v>
      </c>
      <c r="G89">
        <v>2014</v>
      </c>
      <c r="H89">
        <v>7.9</v>
      </c>
    </row>
    <row r="90" spans="1:8" x14ac:dyDescent="0.25">
      <c r="A90">
        <v>127</v>
      </c>
      <c r="B90">
        <v>47375327</v>
      </c>
      <c r="C90" t="s">
        <v>66</v>
      </c>
      <c r="D90" t="s">
        <v>1</v>
      </c>
      <c r="E90" t="s">
        <v>2</v>
      </c>
      <c r="F90">
        <v>176000000</v>
      </c>
      <c r="G90">
        <v>2015</v>
      </c>
      <c r="H90">
        <v>5.4</v>
      </c>
    </row>
    <row r="91" spans="1:8" x14ac:dyDescent="0.25">
      <c r="A91">
        <v>96</v>
      </c>
      <c r="B91">
        <v>292979556</v>
      </c>
      <c r="C91" t="s">
        <v>71</v>
      </c>
      <c r="D91" t="s">
        <v>1</v>
      </c>
      <c r="E91" t="s">
        <v>2</v>
      </c>
      <c r="F91">
        <v>175000000</v>
      </c>
      <c r="G91">
        <v>2009</v>
      </c>
      <c r="H91">
        <v>8.3000000000000007</v>
      </c>
    </row>
    <row r="92" spans="1:8" x14ac:dyDescent="0.25">
      <c r="A92">
        <v>94</v>
      </c>
      <c r="B92">
        <v>198332128</v>
      </c>
      <c r="C92" t="s">
        <v>72</v>
      </c>
      <c r="D92" t="s">
        <v>1</v>
      </c>
      <c r="E92" t="s">
        <v>2</v>
      </c>
      <c r="F92">
        <v>175000000</v>
      </c>
      <c r="G92">
        <v>2009</v>
      </c>
      <c r="H92">
        <v>6.5</v>
      </c>
    </row>
    <row r="93" spans="1:8" x14ac:dyDescent="0.25">
      <c r="A93">
        <v>123</v>
      </c>
      <c r="B93">
        <v>161087183</v>
      </c>
      <c r="C93" t="s">
        <v>77</v>
      </c>
      <c r="D93" t="s">
        <v>1</v>
      </c>
      <c r="E93" t="s">
        <v>2</v>
      </c>
      <c r="F93">
        <v>175000000</v>
      </c>
      <c r="G93">
        <v>2016</v>
      </c>
      <c r="H93">
        <v>6.9</v>
      </c>
    </row>
    <row r="94" spans="1:8" x14ac:dyDescent="0.25">
      <c r="A94">
        <v>96</v>
      </c>
      <c r="B94">
        <v>100289690</v>
      </c>
      <c r="C94" t="s">
        <v>78</v>
      </c>
      <c r="D94" t="s">
        <v>1</v>
      </c>
      <c r="E94" t="s">
        <v>2</v>
      </c>
      <c r="F94">
        <v>175000000</v>
      </c>
      <c r="G94">
        <v>2007</v>
      </c>
      <c r="H94">
        <v>5.4</v>
      </c>
    </row>
    <row r="95" spans="1:8" x14ac:dyDescent="0.25">
      <c r="A95">
        <v>176</v>
      </c>
      <c r="B95">
        <v>88246220</v>
      </c>
      <c r="C95" t="s">
        <v>80</v>
      </c>
      <c r="D95" t="s">
        <v>1</v>
      </c>
      <c r="E95" t="s">
        <v>2</v>
      </c>
      <c r="F95">
        <v>175000000</v>
      </c>
      <c r="G95">
        <v>1995</v>
      </c>
      <c r="H95">
        <v>6.1</v>
      </c>
    </row>
    <row r="96" spans="1:8" x14ac:dyDescent="0.25">
      <c r="A96">
        <v>118</v>
      </c>
      <c r="B96">
        <v>150167630</v>
      </c>
      <c r="C96" t="s">
        <v>81</v>
      </c>
      <c r="D96" t="s">
        <v>1</v>
      </c>
      <c r="E96" t="s">
        <v>2</v>
      </c>
      <c r="F96">
        <v>175000000</v>
      </c>
      <c r="G96">
        <v>2009</v>
      </c>
      <c r="H96">
        <v>5.8</v>
      </c>
    </row>
    <row r="97" spans="1:8" x14ac:dyDescent="0.25">
      <c r="A97">
        <v>95</v>
      </c>
      <c r="B97">
        <v>356454367</v>
      </c>
      <c r="C97" t="s">
        <v>82</v>
      </c>
      <c r="D97" t="s">
        <v>1</v>
      </c>
      <c r="E97" t="s">
        <v>2</v>
      </c>
      <c r="F97">
        <v>175000000</v>
      </c>
      <c r="G97">
        <v>2015</v>
      </c>
      <c r="H97">
        <v>8.3000000000000007</v>
      </c>
    </row>
    <row r="98" spans="1:8" x14ac:dyDescent="0.25">
      <c r="A98">
        <v>106</v>
      </c>
      <c r="B98">
        <v>362645141</v>
      </c>
      <c r="C98" t="s">
        <v>83</v>
      </c>
      <c r="D98" t="s">
        <v>1</v>
      </c>
      <c r="E98" t="s">
        <v>5</v>
      </c>
      <c r="F98">
        <v>175000000</v>
      </c>
      <c r="G98">
        <v>2016</v>
      </c>
      <c r="H98">
        <v>7.8</v>
      </c>
    </row>
    <row r="99" spans="1:8" x14ac:dyDescent="0.25">
      <c r="A99">
        <v>128</v>
      </c>
      <c r="B99">
        <v>38297305</v>
      </c>
      <c r="C99" t="s">
        <v>89</v>
      </c>
      <c r="D99" t="s">
        <v>1</v>
      </c>
      <c r="E99" t="s">
        <v>2</v>
      </c>
      <c r="F99">
        <v>175000000</v>
      </c>
      <c r="G99">
        <v>2013</v>
      </c>
      <c r="H99">
        <v>6.3</v>
      </c>
    </row>
    <row r="100" spans="1:8" x14ac:dyDescent="0.25">
      <c r="A100">
        <v>196</v>
      </c>
      <c r="B100">
        <v>133228348</v>
      </c>
      <c r="C100" t="s">
        <v>153</v>
      </c>
      <c r="D100" t="s">
        <v>1</v>
      </c>
      <c r="E100" t="s">
        <v>2</v>
      </c>
      <c r="F100">
        <v>175000000</v>
      </c>
      <c r="G100">
        <v>2004</v>
      </c>
      <c r="H100">
        <v>7.2</v>
      </c>
    </row>
    <row r="101" spans="1:8" x14ac:dyDescent="0.25">
      <c r="A101">
        <v>106</v>
      </c>
      <c r="B101">
        <v>362645141</v>
      </c>
      <c r="C101" t="s">
        <v>83</v>
      </c>
      <c r="D101" t="s">
        <v>1</v>
      </c>
      <c r="E101" t="s">
        <v>5</v>
      </c>
      <c r="F101">
        <v>175000000</v>
      </c>
      <c r="G101">
        <v>2016</v>
      </c>
      <c r="H101">
        <v>7.8</v>
      </c>
    </row>
    <row r="102" spans="1:8" x14ac:dyDescent="0.25">
      <c r="A102">
        <v>125</v>
      </c>
      <c r="B102">
        <v>172051787</v>
      </c>
      <c r="C102" t="s">
        <v>44</v>
      </c>
      <c r="D102" t="s">
        <v>1</v>
      </c>
      <c r="E102" t="s">
        <v>2</v>
      </c>
      <c r="F102">
        <v>170000000</v>
      </c>
      <c r="G102">
        <v>2010</v>
      </c>
      <c r="H102">
        <v>6.8</v>
      </c>
    </row>
    <row r="103" spans="1:8" x14ac:dyDescent="0.25">
      <c r="A103">
        <v>126</v>
      </c>
      <c r="B103">
        <v>73820094</v>
      </c>
      <c r="C103" t="s">
        <v>74</v>
      </c>
      <c r="D103" t="s">
        <v>1</v>
      </c>
      <c r="E103" t="s">
        <v>2</v>
      </c>
      <c r="F103">
        <v>170000000</v>
      </c>
      <c r="G103">
        <v>2011</v>
      </c>
      <c r="H103">
        <v>7.5</v>
      </c>
    </row>
    <row r="104" spans="1:8" x14ac:dyDescent="0.25">
      <c r="A104">
        <v>106</v>
      </c>
      <c r="B104">
        <v>113745408</v>
      </c>
      <c r="C104" t="s">
        <v>75</v>
      </c>
      <c r="D104" t="s">
        <v>1</v>
      </c>
      <c r="E104" t="s">
        <v>2</v>
      </c>
      <c r="F104">
        <v>170000000</v>
      </c>
      <c r="G104">
        <v>1999</v>
      </c>
      <c r="H104">
        <v>4.8</v>
      </c>
    </row>
    <row r="105" spans="1:8" x14ac:dyDescent="0.25">
      <c r="A105">
        <v>132</v>
      </c>
      <c r="B105">
        <v>155111815</v>
      </c>
      <c r="C105" t="s">
        <v>85</v>
      </c>
      <c r="D105" t="s">
        <v>1</v>
      </c>
      <c r="E105" t="s">
        <v>2</v>
      </c>
      <c r="F105">
        <v>170000000</v>
      </c>
      <c r="G105">
        <v>2012</v>
      </c>
      <c r="H105">
        <v>6.1</v>
      </c>
    </row>
    <row r="106" spans="1:8" x14ac:dyDescent="0.25">
      <c r="A106">
        <v>130</v>
      </c>
      <c r="B106">
        <v>208543795</v>
      </c>
      <c r="C106" t="s">
        <v>87</v>
      </c>
      <c r="D106" t="s">
        <v>1</v>
      </c>
      <c r="E106" t="s">
        <v>2</v>
      </c>
      <c r="F106">
        <v>170000000</v>
      </c>
      <c r="G106">
        <v>2014</v>
      </c>
      <c r="H106">
        <v>7.6</v>
      </c>
    </row>
    <row r="107" spans="1:8" x14ac:dyDescent="0.25">
      <c r="A107">
        <v>136</v>
      </c>
      <c r="B107">
        <v>259746958</v>
      </c>
      <c r="C107" t="s">
        <v>90</v>
      </c>
      <c r="D107" t="s">
        <v>1</v>
      </c>
      <c r="E107" t="s">
        <v>2</v>
      </c>
      <c r="F107">
        <v>170000000</v>
      </c>
      <c r="G107">
        <v>2014</v>
      </c>
      <c r="H107">
        <v>7.8</v>
      </c>
    </row>
    <row r="108" spans="1:8" x14ac:dyDescent="0.25">
      <c r="A108">
        <v>121</v>
      </c>
      <c r="B108">
        <v>333130696</v>
      </c>
      <c r="C108" t="s">
        <v>99</v>
      </c>
      <c r="D108" t="s">
        <v>1</v>
      </c>
      <c r="E108" t="s">
        <v>2</v>
      </c>
      <c r="F108">
        <v>170000000</v>
      </c>
      <c r="G108">
        <v>2014</v>
      </c>
      <c r="H108">
        <v>8.1</v>
      </c>
    </row>
    <row r="109" spans="1:8" x14ac:dyDescent="0.25">
      <c r="A109">
        <v>113</v>
      </c>
      <c r="B109">
        <v>76846624</v>
      </c>
      <c r="C109" t="s">
        <v>111</v>
      </c>
      <c r="D109" t="s">
        <v>1</v>
      </c>
      <c r="E109" t="s">
        <v>2</v>
      </c>
      <c r="F109">
        <v>170000000</v>
      </c>
      <c r="G109">
        <v>2016</v>
      </c>
      <c r="H109">
        <v>6.4</v>
      </c>
    </row>
    <row r="110" spans="1:8" x14ac:dyDescent="0.25">
      <c r="A110">
        <v>112</v>
      </c>
      <c r="B110">
        <v>206360018</v>
      </c>
      <c r="C110" t="s">
        <v>133</v>
      </c>
      <c r="D110" t="s">
        <v>1</v>
      </c>
      <c r="E110" t="s">
        <v>2</v>
      </c>
      <c r="F110">
        <v>170000000</v>
      </c>
      <c r="G110">
        <v>2013</v>
      </c>
      <c r="H110">
        <v>7.1</v>
      </c>
    </row>
    <row r="111" spans="1:8" x14ac:dyDescent="0.25">
      <c r="A111">
        <v>125</v>
      </c>
      <c r="B111">
        <v>172051787</v>
      </c>
      <c r="C111" t="s">
        <v>44</v>
      </c>
      <c r="D111" t="s">
        <v>1</v>
      </c>
      <c r="E111" t="s">
        <v>2</v>
      </c>
      <c r="F111">
        <v>170000000</v>
      </c>
      <c r="G111">
        <v>2010</v>
      </c>
      <c r="H111">
        <v>6.8</v>
      </c>
    </row>
    <row r="112" spans="1:8" x14ac:dyDescent="0.25">
      <c r="A112">
        <v>93</v>
      </c>
      <c r="B112">
        <v>238371987</v>
      </c>
      <c r="C112" t="s">
        <v>91</v>
      </c>
      <c r="D112" t="s">
        <v>1</v>
      </c>
      <c r="E112" t="s">
        <v>2</v>
      </c>
      <c r="F112">
        <v>165000000</v>
      </c>
      <c r="G112">
        <v>2010</v>
      </c>
      <c r="H112">
        <v>6.4</v>
      </c>
    </row>
    <row r="113" spans="1:8" x14ac:dyDescent="0.25">
      <c r="A113">
        <v>102</v>
      </c>
      <c r="B113">
        <v>222487711</v>
      </c>
      <c r="C113" t="s">
        <v>93</v>
      </c>
      <c r="D113" t="s">
        <v>1</v>
      </c>
      <c r="E113" t="s">
        <v>2</v>
      </c>
      <c r="F113">
        <v>165000000</v>
      </c>
      <c r="G113">
        <v>2014</v>
      </c>
      <c r="H113">
        <v>7.9</v>
      </c>
    </row>
    <row r="114" spans="1:8" x14ac:dyDescent="0.25">
      <c r="A114">
        <v>101</v>
      </c>
      <c r="B114">
        <v>189412677</v>
      </c>
      <c r="C114" t="s">
        <v>94</v>
      </c>
      <c r="D114" t="s">
        <v>1</v>
      </c>
      <c r="E114" t="s">
        <v>2</v>
      </c>
      <c r="F114">
        <v>165000000</v>
      </c>
      <c r="G114">
        <v>2012</v>
      </c>
      <c r="H114">
        <v>7.8</v>
      </c>
    </row>
    <row r="115" spans="1:8" x14ac:dyDescent="0.25">
      <c r="A115">
        <v>100</v>
      </c>
      <c r="B115">
        <v>665426</v>
      </c>
      <c r="C115" t="s">
        <v>95</v>
      </c>
      <c r="D115" t="s">
        <v>1</v>
      </c>
      <c r="E115" t="s">
        <v>2</v>
      </c>
      <c r="F115">
        <v>165000000</v>
      </c>
      <c r="G115">
        <v>2004</v>
      </c>
      <c r="H115">
        <v>6.6</v>
      </c>
    </row>
    <row r="116" spans="1:8" x14ac:dyDescent="0.25">
      <c r="A116">
        <v>120</v>
      </c>
      <c r="B116">
        <v>102315545</v>
      </c>
      <c r="C116" t="s">
        <v>96</v>
      </c>
      <c r="D116" t="s">
        <v>1</v>
      </c>
      <c r="E116" t="s">
        <v>2</v>
      </c>
      <c r="F116">
        <v>165000000</v>
      </c>
      <c r="G116">
        <v>2016</v>
      </c>
      <c r="H116">
        <v>5.5</v>
      </c>
    </row>
    <row r="117" spans="1:8" x14ac:dyDescent="0.25">
      <c r="A117">
        <v>98</v>
      </c>
      <c r="B117">
        <v>217387997</v>
      </c>
      <c r="C117" t="s">
        <v>97</v>
      </c>
      <c r="D117" t="s">
        <v>1</v>
      </c>
      <c r="E117" t="s">
        <v>2</v>
      </c>
      <c r="F117">
        <v>165000000</v>
      </c>
      <c r="G117">
        <v>2010</v>
      </c>
      <c r="H117">
        <v>8.1999999999999993</v>
      </c>
    </row>
    <row r="118" spans="1:8" x14ac:dyDescent="0.25">
      <c r="A118">
        <v>169</v>
      </c>
      <c r="B118">
        <v>187991439</v>
      </c>
      <c r="C118" t="s">
        <v>100</v>
      </c>
      <c r="D118" t="s">
        <v>1</v>
      </c>
      <c r="E118" t="s">
        <v>2</v>
      </c>
      <c r="F118">
        <v>165000000</v>
      </c>
      <c r="G118">
        <v>2014</v>
      </c>
      <c r="H118">
        <v>8.6</v>
      </c>
    </row>
    <row r="119" spans="1:8" x14ac:dyDescent="0.25">
      <c r="A119">
        <v>148</v>
      </c>
      <c r="B119">
        <v>292568851</v>
      </c>
      <c r="C119" t="s">
        <v>101</v>
      </c>
      <c r="D119" t="s">
        <v>1</v>
      </c>
      <c r="E119" t="s">
        <v>2</v>
      </c>
      <c r="F119">
        <v>160000000</v>
      </c>
      <c r="G119">
        <v>2010</v>
      </c>
      <c r="H119">
        <v>8.8000000000000007</v>
      </c>
    </row>
    <row r="120" spans="1:8" x14ac:dyDescent="0.25">
      <c r="A120">
        <v>132</v>
      </c>
      <c r="B120">
        <v>146405371</v>
      </c>
      <c r="C120" t="s">
        <v>107</v>
      </c>
      <c r="D120" t="s">
        <v>1</v>
      </c>
      <c r="E120" t="s">
        <v>2</v>
      </c>
      <c r="F120">
        <v>160000000</v>
      </c>
      <c r="G120">
        <v>2011</v>
      </c>
      <c r="H120">
        <v>7.8</v>
      </c>
    </row>
    <row r="121" spans="1:8" x14ac:dyDescent="0.25">
      <c r="A121">
        <v>137</v>
      </c>
      <c r="B121">
        <v>281666058</v>
      </c>
      <c r="C121" t="s">
        <v>108</v>
      </c>
      <c r="D121" t="s">
        <v>1</v>
      </c>
      <c r="E121" t="s">
        <v>2</v>
      </c>
      <c r="F121">
        <v>160000000</v>
      </c>
      <c r="G121">
        <v>2015</v>
      </c>
      <c r="H121">
        <v>6.6</v>
      </c>
    </row>
    <row r="122" spans="1:8" x14ac:dyDescent="0.25">
      <c r="A122">
        <v>98</v>
      </c>
      <c r="B122">
        <v>60655503</v>
      </c>
      <c r="C122" t="s">
        <v>110</v>
      </c>
      <c r="D122" t="s">
        <v>1</v>
      </c>
      <c r="E122" t="s">
        <v>2</v>
      </c>
      <c r="F122">
        <v>160000000</v>
      </c>
      <c r="G122">
        <v>2006</v>
      </c>
      <c r="H122">
        <v>5.6</v>
      </c>
    </row>
    <row r="123" spans="1:8" x14ac:dyDescent="0.25">
      <c r="A123">
        <v>93</v>
      </c>
      <c r="B123">
        <v>320706665</v>
      </c>
      <c r="C123" t="s">
        <v>112</v>
      </c>
      <c r="D123" t="s">
        <v>1</v>
      </c>
      <c r="E123" t="s">
        <v>2</v>
      </c>
      <c r="F123">
        <v>160000000</v>
      </c>
      <c r="G123">
        <v>2007</v>
      </c>
      <c r="H123">
        <v>6.1</v>
      </c>
    </row>
    <row r="124" spans="1:8" x14ac:dyDescent="0.25">
      <c r="A124">
        <v>123</v>
      </c>
      <c r="B124">
        <v>46978995</v>
      </c>
      <c r="C124" t="s">
        <v>113</v>
      </c>
      <c r="D124" t="s">
        <v>1</v>
      </c>
      <c r="E124" t="s">
        <v>2</v>
      </c>
      <c r="F124">
        <v>160000000</v>
      </c>
      <c r="G124">
        <v>2016</v>
      </c>
      <c r="H124">
        <v>7.3</v>
      </c>
    </row>
    <row r="125" spans="1:8" x14ac:dyDescent="0.25">
      <c r="A125">
        <v>121</v>
      </c>
      <c r="B125">
        <v>48068396</v>
      </c>
      <c r="C125" t="s">
        <v>268</v>
      </c>
      <c r="D125" t="s">
        <v>1</v>
      </c>
      <c r="E125" t="s">
        <v>2</v>
      </c>
      <c r="F125">
        <v>160000000</v>
      </c>
      <c r="G125">
        <v>1997</v>
      </c>
      <c r="H125">
        <v>3.7</v>
      </c>
    </row>
    <row r="126" spans="1:8" x14ac:dyDescent="0.25">
      <c r="A126">
        <v>81</v>
      </c>
      <c r="B126">
        <v>10762178</v>
      </c>
      <c r="C126" t="s">
        <v>1690</v>
      </c>
      <c r="D126" t="s">
        <v>1</v>
      </c>
      <c r="E126" t="s">
        <v>244</v>
      </c>
      <c r="F126">
        <v>160000000</v>
      </c>
      <c r="G126">
        <v>2001</v>
      </c>
      <c r="H126">
        <v>8</v>
      </c>
    </row>
    <row r="127" spans="1:8" x14ac:dyDescent="0.25">
      <c r="A127">
        <v>126</v>
      </c>
      <c r="B127">
        <v>89732035</v>
      </c>
      <c r="C127" t="s">
        <v>114</v>
      </c>
      <c r="D127" t="s">
        <v>1</v>
      </c>
      <c r="E127" t="s">
        <v>2</v>
      </c>
      <c r="F127">
        <v>155000000</v>
      </c>
      <c r="G127">
        <v>2015</v>
      </c>
      <c r="H127">
        <v>6.6</v>
      </c>
    </row>
    <row r="128" spans="1:8" x14ac:dyDescent="0.25">
      <c r="A128">
        <v>113</v>
      </c>
      <c r="B128">
        <v>104383624</v>
      </c>
      <c r="C128" t="s">
        <v>115</v>
      </c>
      <c r="D128" t="s">
        <v>1</v>
      </c>
      <c r="E128" t="s">
        <v>2</v>
      </c>
      <c r="F128">
        <v>155000000</v>
      </c>
      <c r="G128">
        <v>2010</v>
      </c>
      <c r="H128">
        <v>6.3</v>
      </c>
    </row>
    <row r="129" spans="1:8" x14ac:dyDescent="0.25">
      <c r="A129">
        <v>206</v>
      </c>
      <c r="B129">
        <v>34293771</v>
      </c>
      <c r="C129" t="s">
        <v>118</v>
      </c>
      <c r="D129" t="s">
        <v>1</v>
      </c>
      <c r="E129" t="s">
        <v>119</v>
      </c>
      <c r="F129">
        <v>155000000</v>
      </c>
      <c r="G129">
        <v>2004</v>
      </c>
      <c r="H129">
        <v>5.5</v>
      </c>
    </row>
    <row r="130" spans="1:8" x14ac:dyDescent="0.25">
      <c r="A130">
        <v>124</v>
      </c>
      <c r="B130">
        <v>652177271</v>
      </c>
      <c r="C130" t="s">
        <v>32</v>
      </c>
      <c r="D130" t="s">
        <v>1</v>
      </c>
      <c r="E130" t="s">
        <v>2</v>
      </c>
      <c r="F130">
        <v>150000000</v>
      </c>
      <c r="G130">
        <v>2015</v>
      </c>
      <c r="H130">
        <v>7</v>
      </c>
    </row>
    <row r="131" spans="1:8" x14ac:dyDescent="0.25">
      <c r="A131">
        <v>166</v>
      </c>
      <c r="B131">
        <v>127490802</v>
      </c>
      <c r="C131" t="s">
        <v>106</v>
      </c>
      <c r="D131" t="s">
        <v>1</v>
      </c>
      <c r="E131" t="s">
        <v>2</v>
      </c>
      <c r="F131">
        <v>150000000</v>
      </c>
      <c r="G131">
        <v>2008</v>
      </c>
      <c r="H131">
        <v>7.8</v>
      </c>
    </row>
    <row r="132" spans="1:8" x14ac:dyDescent="0.25">
      <c r="A132">
        <v>109</v>
      </c>
      <c r="B132">
        <v>63143812</v>
      </c>
      <c r="C132" t="s">
        <v>109</v>
      </c>
      <c r="D132" t="s">
        <v>1</v>
      </c>
      <c r="E132" t="s">
        <v>2</v>
      </c>
      <c r="F132">
        <v>150000000</v>
      </c>
      <c r="G132">
        <v>2010</v>
      </c>
      <c r="H132">
        <v>6.1</v>
      </c>
    </row>
    <row r="133" spans="1:8" x14ac:dyDescent="0.25">
      <c r="A133">
        <v>144</v>
      </c>
      <c r="B133">
        <v>318759914</v>
      </c>
      <c r="C133" t="s">
        <v>117</v>
      </c>
      <c r="D133" t="s">
        <v>1</v>
      </c>
      <c r="E133" t="s">
        <v>2</v>
      </c>
      <c r="F133">
        <v>150000000</v>
      </c>
      <c r="G133">
        <v>2007</v>
      </c>
      <c r="H133">
        <v>7.1</v>
      </c>
    </row>
    <row r="134" spans="1:8" x14ac:dyDescent="0.25">
      <c r="A134">
        <v>138</v>
      </c>
      <c r="B134">
        <v>292000866</v>
      </c>
      <c r="C134" t="s">
        <v>120</v>
      </c>
      <c r="D134" t="s">
        <v>1</v>
      </c>
      <c r="E134" t="s">
        <v>5</v>
      </c>
      <c r="F134">
        <v>150000000</v>
      </c>
      <c r="G134">
        <v>2007</v>
      </c>
      <c r="H134">
        <v>7.5</v>
      </c>
    </row>
    <row r="135" spans="1:8" x14ac:dyDescent="0.25">
      <c r="A135">
        <v>157</v>
      </c>
      <c r="B135">
        <v>289994397</v>
      </c>
      <c r="C135" t="s">
        <v>121</v>
      </c>
      <c r="D135" t="s">
        <v>1</v>
      </c>
      <c r="E135" t="s">
        <v>5</v>
      </c>
      <c r="F135">
        <v>150000000</v>
      </c>
      <c r="G135">
        <v>2005</v>
      </c>
      <c r="H135">
        <v>7.6</v>
      </c>
    </row>
    <row r="136" spans="1:8" x14ac:dyDescent="0.25">
      <c r="A136">
        <v>102</v>
      </c>
      <c r="B136">
        <v>227946274</v>
      </c>
      <c r="C136" t="s">
        <v>122</v>
      </c>
      <c r="D136" t="s">
        <v>1</v>
      </c>
      <c r="E136" t="s">
        <v>2</v>
      </c>
      <c r="F136">
        <v>150000000</v>
      </c>
      <c r="G136">
        <v>2008</v>
      </c>
      <c r="H136">
        <v>6.4</v>
      </c>
    </row>
    <row r="137" spans="1:8" x14ac:dyDescent="0.25">
      <c r="A137">
        <v>104</v>
      </c>
      <c r="B137">
        <v>256386216</v>
      </c>
      <c r="C137" t="s">
        <v>123</v>
      </c>
      <c r="D137" t="s">
        <v>1</v>
      </c>
      <c r="E137" t="s">
        <v>2</v>
      </c>
      <c r="F137">
        <v>150000000</v>
      </c>
      <c r="G137">
        <v>2007</v>
      </c>
      <c r="H137">
        <v>7.2</v>
      </c>
    </row>
    <row r="138" spans="1:8" x14ac:dyDescent="0.25">
      <c r="A138">
        <v>115</v>
      </c>
      <c r="B138">
        <v>206456431</v>
      </c>
      <c r="C138" t="s">
        <v>124</v>
      </c>
      <c r="D138" t="s">
        <v>1</v>
      </c>
      <c r="E138" t="s">
        <v>2</v>
      </c>
      <c r="F138">
        <v>150000000</v>
      </c>
      <c r="G138">
        <v>2005</v>
      </c>
      <c r="H138">
        <v>6.7</v>
      </c>
    </row>
    <row r="139" spans="1:8" x14ac:dyDescent="0.25">
      <c r="A139">
        <v>111</v>
      </c>
      <c r="B139">
        <v>206435493</v>
      </c>
      <c r="C139" t="s">
        <v>125</v>
      </c>
      <c r="D139" t="s">
        <v>1</v>
      </c>
      <c r="E139" t="s">
        <v>2</v>
      </c>
      <c r="F139">
        <v>150000000</v>
      </c>
      <c r="G139">
        <v>2007</v>
      </c>
      <c r="H139">
        <v>8</v>
      </c>
    </row>
    <row r="140" spans="1:8" x14ac:dyDescent="0.25">
      <c r="A140">
        <v>128</v>
      </c>
      <c r="B140">
        <v>205343774</v>
      </c>
      <c r="C140" t="s">
        <v>126</v>
      </c>
      <c r="D140" t="s">
        <v>1</v>
      </c>
      <c r="E140" t="s">
        <v>2</v>
      </c>
      <c r="F140">
        <v>150000000</v>
      </c>
      <c r="G140">
        <v>2005</v>
      </c>
      <c r="H140">
        <v>8.3000000000000007</v>
      </c>
    </row>
    <row r="141" spans="1:8" x14ac:dyDescent="0.25">
      <c r="A141">
        <v>89</v>
      </c>
      <c r="B141">
        <v>179982968</v>
      </c>
      <c r="C141" t="s">
        <v>127</v>
      </c>
      <c r="D141" t="s">
        <v>1</v>
      </c>
      <c r="E141" t="s">
        <v>2</v>
      </c>
      <c r="F141">
        <v>150000000</v>
      </c>
      <c r="G141">
        <v>2008</v>
      </c>
      <c r="H141">
        <v>6.7</v>
      </c>
    </row>
    <row r="142" spans="1:8" x14ac:dyDescent="0.25">
      <c r="A142">
        <v>105</v>
      </c>
      <c r="B142">
        <v>177243721</v>
      </c>
      <c r="C142" t="s">
        <v>128</v>
      </c>
      <c r="D142" t="s">
        <v>1</v>
      </c>
      <c r="E142" t="s">
        <v>2</v>
      </c>
      <c r="F142">
        <v>150000000</v>
      </c>
      <c r="G142">
        <v>2009</v>
      </c>
      <c r="H142">
        <v>5.9</v>
      </c>
    </row>
    <row r="143" spans="1:8" x14ac:dyDescent="0.25">
      <c r="A143">
        <v>119</v>
      </c>
      <c r="B143">
        <v>179883016</v>
      </c>
      <c r="C143" t="s">
        <v>129</v>
      </c>
      <c r="D143" t="s">
        <v>1</v>
      </c>
      <c r="E143" t="s">
        <v>2</v>
      </c>
      <c r="F143">
        <v>150000000</v>
      </c>
      <c r="G143">
        <v>2009</v>
      </c>
      <c r="H143">
        <v>6.7</v>
      </c>
    </row>
    <row r="144" spans="1:8" x14ac:dyDescent="0.25">
      <c r="A144">
        <v>129</v>
      </c>
      <c r="B144">
        <v>139259759</v>
      </c>
      <c r="C144" t="s">
        <v>130</v>
      </c>
      <c r="D144" t="s">
        <v>1</v>
      </c>
      <c r="E144" t="s">
        <v>55</v>
      </c>
      <c r="F144">
        <v>150000000</v>
      </c>
      <c r="G144">
        <v>2003</v>
      </c>
      <c r="H144">
        <v>6.7</v>
      </c>
    </row>
    <row r="145" spans="1:8" x14ac:dyDescent="0.25">
      <c r="A145">
        <v>102</v>
      </c>
      <c r="B145">
        <v>400736600</v>
      </c>
      <c r="C145" t="s">
        <v>131</v>
      </c>
      <c r="D145" t="s">
        <v>1</v>
      </c>
      <c r="E145" t="s">
        <v>2</v>
      </c>
      <c r="F145">
        <v>150000000</v>
      </c>
      <c r="G145">
        <v>2013</v>
      </c>
      <c r="H145">
        <v>7.6</v>
      </c>
    </row>
    <row r="146" spans="1:8" x14ac:dyDescent="0.25">
      <c r="A146">
        <v>138</v>
      </c>
      <c r="B146">
        <v>281492479</v>
      </c>
      <c r="C146" t="s">
        <v>132</v>
      </c>
      <c r="D146" t="s">
        <v>1</v>
      </c>
      <c r="E146" t="s">
        <v>2</v>
      </c>
      <c r="F146">
        <v>150000000</v>
      </c>
      <c r="G146">
        <v>2003</v>
      </c>
      <c r="H146">
        <v>7.2</v>
      </c>
    </row>
    <row r="147" spans="1:8" x14ac:dyDescent="0.25">
      <c r="A147">
        <v>120</v>
      </c>
      <c r="B147">
        <v>153629485</v>
      </c>
      <c r="C147" t="s">
        <v>134</v>
      </c>
      <c r="D147" t="s">
        <v>1</v>
      </c>
      <c r="E147" t="s">
        <v>55</v>
      </c>
      <c r="F147">
        <v>150000000</v>
      </c>
      <c r="G147">
        <v>2015</v>
      </c>
      <c r="H147">
        <v>8.1</v>
      </c>
    </row>
    <row r="148" spans="1:8" x14ac:dyDescent="0.25">
      <c r="A148">
        <v>146</v>
      </c>
      <c r="B148">
        <v>133375846</v>
      </c>
      <c r="C148" t="s">
        <v>135</v>
      </c>
      <c r="D148" t="s">
        <v>1</v>
      </c>
      <c r="E148" t="s">
        <v>2</v>
      </c>
      <c r="F148">
        <v>150000000</v>
      </c>
      <c r="G148">
        <v>2009</v>
      </c>
      <c r="H148">
        <v>6.7</v>
      </c>
    </row>
    <row r="149" spans="1:8" x14ac:dyDescent="0.25">
      <c r="A149">
        <v>115</v>
      </c>
      <c r="B149">
        <v>181015141</v>
      </c>
      <c r="C149" t="s">
        <v>136</v>
      </c>
      <c r="D149" t="s">
        <v>1</v>
      </c>
      <c r="E149" t="s">
        <v>2</v>
      </c>
      <c r="F149">
        <v>150000000</v>
      </c>
      <c r="G149">
        <v>2011</v>
      </c>
      <c r="H149">
        <v>7</v>
      </c>
    </row>
    <row r="150" spans="1:8" x14ac:dyDescent="0.25">
      <c r="A150">
        <v>96</v>
      </c>
      <c r="B150">
        <v>114053579</v>
      </c>
      <c r="C150" t="s">
        <v>137</v>
      </c>
      <c r="D150" t="s">
        <v>1</v>
      </c>
      <c r="E150" t="s">
        <v>2</v>
      </c>
      <c r="F150">
        <v>150000000</v>
      </c>
      <c r="G150">
        <v>2008</v>
      </c>
      <c r="H150">
        <v>6.9</v>
      </c>
    </row>
    <row r="151" spans="1:8" x14ac:dyDescent="0.25">
      <c r="A151">
        <v>88</v>
      </c>
      <c r="B151">
        <v>119420252</v>
      </c>
      <c r="C151" t="s">
        <v>138</v>
      </c>
      <c r="D151" t="s">
        <v>1</v>
      </c>
      <c r="E151" t="s">
        <v>2</v>
      </c>
      <c r="F151">
        <v>150000000</v>
      </c>
      <c r="G151">
        <v>2009</v>
      </c>
      <c r="H151">
        <v>5.0999999999999996</v>
      </c>
    </row>
    <row r="152" spans="1:8" x14ac:dyDescent="0.25">
      <c r="A152">
        <v>99</v>
      </c>
      <c r="B152">
        <v>83640426</v>
      </c>
      <c r="C152" t="s">
        <v>139</v>
      </c>
      <c r="D152" t="s">
        <v>1</v>
      </c>
      <c r="E152" t="s">
        <v>2</v>
      </c>
      <c r="F152">
        <v>150000000</v>
      </c>
      <c r="G152">
        <v>2012</v>
      </c>
      <c r="H152">
        <v>5.8</v>
      </c>
    </row>
    <row r="153" spans="1:8" x14ac:dyDescent="0.25">
      <c r="A153">
        <v>131</v>
      </c>
      <c r="B153">
        <v>195000874</v>
      </c>
      <c r="C153" t="s">
        <v>141</v>
      </c>
      <c r="D153" t="s">
        <v>1</v>
      </c>
      <c r="E153" t="s">
        <v>142</v>
      </c>
      <c r="F153">
        <v>150000000</v>
      </c>
      <c r="G153">
        <v>2015</v>
      </c>
      <c r="H153">
        <v>7.4</v>
      </c>
    </row>
    <row r="154" spans="1:8" x14ac:dyDescent="0.25">
      <c r="A154">
        <v>119</v>
      </c>
      <c r="B154">
        <v>61937495</v>
      </c>
      <c r="C154" t="s">
        <v>143</v>
      </c>
      <c r="D154" t="s">
        <v>1</v>
      </c>
      <c r="E154" t="s">
        <v>2</v>
      </c>
      <c r="F154">
        <v>150000000</v>
      </c>
      <c r="G154">
        <v>2010</v>
      </c>
      <c r="H154">
        <v>5.8</v>
      </c>
    </row>
    <row r="155" spans="1:8" x14ac:dyDescent="0.25">
      <c r="A155">
        <v>91</v>
      </c>
      <c r="B155">
        <v>126597121</v>
      </c>
      <c r="C155" t="s">
        <v>144</v>
      </c>
      <c r="D155" t="s">
        <v>1</v>
      </c>
      <c r="E155" t="s">
        <v>2</v>
      </c>
      <c r="F155">
        <v>150000000</v>
      </c>
      <c r="G155">
        <v>2007</v>
      </c>
      <c r="H155">
        <v>6.2</v>
      </c>
    </row>
    <row r="156" spans="1:8" x14ac:dyDescent="0.25">
      <c r="A156">
        <v>90</v>
      </c>
      <c r="B156">
        <v>165230261</v>
      </c>
      <c r="C156" t="s">
        <v>145</v>
      </c>
      <c r="D156" t="s">
        <v>1</v>
      </c>
      <c r="E156" t="s">
        <v>2</v>
      </c>
      <c r="F156">
        <v>150000000</v>
      </c>
      <c r="G156">
        <v>2011</v>
      </c>
      <c r="H156">
        <v>7.3</v>
      </c>
    </row>
    <row r="157" spans="1:8" x14ac:dyDescent="0.25">
      <c r="A157">
        <v>103</v>
      </c>
      <c r="B157">
        <v>131564731</v>
      </c>
      <c r="C157" t="s">
        <v>146</v>
      </c>
      <c r="D157" t="s">
        <v>1</v>
      </c>
      <c r="E157" t="s">
        <v>2</v>
      </c>
      <c r="F157">
        <v>150000000</v>
      </c>
      <c r="G157">
        <v>2010</v>
      </c>
      <c r="H157">
        <v>4.2</v>
      </c>
    </row>
    <row r="158" spans="1:8" x14ac:dyDescent="0.25">
      <c r="A158">
        <v>124</v>
      </c>
      <c r="B158">
        <v>133382309</v>
      </c>
      <c r="C158" t="s">
        <v>147</v>
      </c>
      <c r="D158" t="s">
        <v>1</v>
      </c>
      <c r="E158" t="s">
        <v>2</v>
      </c>
      <c r="F158">
        <v>150000000</v>
      </c>
      <c r="G158">
        <v>2006</v>
      </c>
      <c r="H158">
        <v>6.9</v>
      </c>
    </row>
    <row r="159" spans="1:8" x14ac:dyDescent="0.25">
      <c r="A159">
        <v>131</v>
      </c>
      <c r="B159">
        <v>73103784</v>
      </c>
      <c r="C159" t="s">
        <v>148</v>
      </c>
      <c r="D159" t="s">
        <v>1</v>
      </c>
      <c r="E159" t="s">
        <v>2</v>
      </c>
      <c r="F159">
        <v>150000000</v>
      </c>
      <c r="G159">
        <v>2013</v>
      </c>
      <c r="H159">
        <v>6.4</v>
      </c>
    </row>
    <row r="160" spans="1:8" x14ac:dyDescent="0.25">
      <c r="A160">
        <v>88</v>
      </c>
      <c r="B160">
        <v>21379315</v>
      </c>
      <c r="C160" t="s">
        <v>149</v>
      </c>
      <c r="D160" t="s">
        <v>1</v>
      </c>
      <c r="E160" t="s">
        <v>2</v>
      </c>
      <c r="F160">
        <v>150000000</v>
      </c>
      <c r="G160">
        <v>2011</v>
      </c>
      <c r="H160">
        <v>5.4</v>
      </c>
    </row>
    <row r="161" spans="1:8" x14ac:dyDescent="0.25">
      <c r="A161">
        <v>111</v>
      </c>
      <c r="B161">
        <v>34964818</v>
      </c>
      <c r="C161" t="s">
        <v>151</v>
      </c>
      <c r="D161" t="s">
        <v>1</v>
      </c>
      <c r="E161" t="s">
        <v>2</v>
      </c>
      <c r="F161">
        <v>150000000</v>
      </c>
      <c r="G161">
        <v>2015</v>
      </c>
      <c r="H161">
        <v>5.8</v>
      </c>
    </row>
    <row r="162" spans="1:8" x14ac:dyDescent="0.25">
      <c r="A162">
        <v>115</v>
      </c>
      <c r="B162">
        <v>82161969</v>
      </c>
      <c r="C162" t="s">
        <v>159</v>
      </c>
      <c r="D162" t="s">
        <v>1</v>
      </c>
      <c r="E162" t="s">
        <v>2</v>
      </c>
      <c r="F162">
        <v>150000000</v>
      </c>
      <c r="G162">
        <v>2007</v>
      </c>
      <c r="H162">
        <v>6.3</v>
      </c>
    </row>
    <row r="163" spans="1:8" x14ac:dyDescent="0.25">
      <c r="A163">
        <v>127</v>
      </c>
      <c r="B163">
        <v>257704099</v>
      </c>
      <c r="C163" t="s">
        <v>166</v>
      </c>
      <c r="D163" t="s">
        <v>1</v>
      </c>
      <c r="E163" t="s">
        <v>2</v>
      </c>
      <c r="F163">
        <v>150000000</v>
      </c>
      <c r="G163">
        <v>2009</v>
      </c>
      <c r="H163">
        <v>8</v>
      </c>
    </row>
    <row r="164" spans="1:8" x14ac:dyDescent="0.25">
      <c r="A164">
        <v>138</v>
      </c>
      <c r="B164">
        <v>93926386</v>
      </c>
      <c r="C164" t="s">
        <v>179</v>
      </c>
      <c r="D164" t="s">
        <v>1</v>
      </c>
      <c r="E164" t="s">
        <v>2</v>
      </c>
      <c r="F164">
        <v>150000000</v>
      </c>
      <c r="G164">
        <v>2003</v>
      </c>
      <c r="H164">
        <v>7.4</v>
      </c>
    </row>
    <row r="165" spans="1:8" x14ac:dyDescent="0.25">
      <c r="A165">
        <v>135</v>
      </c>
      <c r="B165">
        <v>134518390</v>
      </c>
      <c r="C165" t="s">
        <v>182</v>
      </c>
      <c r="D165" t="s">
        <v>1</v>
      </c>
      <c r="E165" t="s">
        <v>2</v>
      </c>
      <c r="F165">
        <v>150000000</v>
      </c>
      <c r="G165">
        <v>2008</v>
      </c>
      <c r="H165">
        <v>6.8</v>
      </c>
    </row>
    <row r="166" spans="1:8" x14ac:dyDescent="0.25">
      <c r="A166">
        <v>144</v>
      </c>
      <c r="B166">
        <v>167007184</v>
      </c>
      <c r="C166" t="s">
        <v>285</v>
      </c>
      <c r="D166" t="s">
        <v>1</v>
      </c>
      <c r="E166" t="s">
        <v>5</v>
      </c>
      <c r="F166">
        <v>150000000</v>
      </c>
      <c r="G166">
        <v>2006</v>
      </c>
      <c r="H166">
        <v>8</v>
      </c>
    </row>
    <row r="167" spans="1:8" x14ac:dyDescent="0.25">
      <c r="A167">
        <v>111</v>
      </c>
      <c r="B167">
        <v>34964818</v>
      </c>
      <c r="C167" t="s">
        <v>151</v>
      </c>
      <c r="D167" t="s">
        <v>1</v>
      </c>
      <c r="E167" t="s">
        <v>2</v>
      </c>
      <c r="F167">
        <v>150000000</v>
      </c>
      <c r="G167">
        <v>2015</v>
      </c>
      <c r="H167">
        <v>5.8</v>
      </c>
    </row>
    <row r="168" spans="1:8" x14ac:dyDescent="0.25">
      <c r="A168">
        <v>93</v>
      </c>
      <c r="B168">
        <v>436471036</v>
      </c>
      <c r="C168" t="s">
        <v>568</v>
      </c>
      <c r="D168" t="s">
        <v>1</v>
      </c>
      <c r="E168" t="s">
        <v>2</v>
      </c>
      <c r="F168">
        <v>150000000</v>
      </c>
      <c r="G168">
        <v>2004</v>
      </c>
      <c r="H168">
        <v>7.2</v>
      </c>
    </row>
    <row r="169" spans="1:8" x14ac:dyDescent="0.25">
      <c r="A169">
        <v>81</v>
      </c>
      <c r="B169">
        <v>135381507</v>
      </c>
      <c r="C169" t="s">
        <v>692</v>
      </c>
      <c r="D169" t="s">
        <v>1</v>
      </c>
      <c r="E169" t="s">
        <v>2</v>
      </c>
      <c r="F169">
        <v>150000000</v>
      </c>
      <c r="G169">
        <v>2005</v>
      </c>
      <c r="H169">
        <v>5.8</v>
      </c>
    </row>
    <row r="170" spans="1:8" x14ac:dyDescent="0.25">
      <c r="A170">
        <v>144</v>
      </c>
      <c r="B170">
        <v>167007184</v>
      </c>
      <c r="C170" t="s">
        <v>285</v>
      </c>
      <c r="D170" t="s">
        <v>1</v>
      </c>
      <c r="E170" t="s">
        <v>5</v>
      </c>
      <c r="F170">
        <v>150000000</v>
      </c>
      <c r="G170">
        <v>2006</v>
      </c>
      <c r="H170">
        <v>8</v>
      </c>
    </row>
    <row r="171" spans="1:8" x14ac:dyDescent="0.25">
      <c r="A171">
        <v>133</v>
      </c>
      <c r="B171">
        <v>199228</v>
      </c>
      <c r="C171" t="s">
        <v>3301</v>
      </c>
      <c r="D171" t="s">
        <v>1012</v>
      </c>
      <c r="E171" t="s">
        <v>1013</v>
      </c>
      <c r="F171">
        <v>150000000</v>
      </c>
      <c r="G171">
        <v>2009</v>
      </c>
      <c r="H171">
        <v>7.2</v>
      </c>
    </row>
    <row r="172" spans="1:8" x14ac:dyDescent="0.25">
      <c r="A172">
        <v>111</v>
      </c>
      <c r="B172">
        <v>34964818</v>
      </c>
      <c r="C172" t="s">
        <v>151</v>
      </c>
      <c r="D172" t="s">
        <v>1</v>
      </c>
      <c r="E172" t="s">
        <v>2</v>
      </c>
      <c r="F172">
        <v>150000000</v>
      </c>
      <c r="G172">
        <v>2015</v>
      </c>
      <c r="H172">
        <v>5.8</v>
      </c>
    </row>
    <row r="173" spans="1:8" x14ac:dyDescent="0.25">
      <c r="A173">
        <v>85</v>
      </c>
      <c r="B173">
        <v>64459316</v>
      </c>
      <c r="C173" t="s">
        <v>150</v>
      </c>
      <c r="D173" t="s">
        <v>1</v>
      </c>
      <c r="E173" t="s">
        <v>5</v>
      </c>
      <c r="F173">
        <v>149000000</v>
      </c>
      <c r="G173">
        <v>2006</v>
      </c>
      <c r="H173">
        <v>6.7</v>
      </c>
    </row>
    <row r="174" spans="1:8" x14ac:dyDescent="0.25">
      <c r="A174">
        <v>112</v>
      </c>
      <c r="B174">
        <v>102176165</v>
      </c>
      <c r="C174" t="s">
        <v>76</v>
      </c>
      <c r="D174" t="s">
        <v>1</v>
      </c>
      <c r="E174" t="s">
        <v>2</v>
      </c>
      <c r="F174">
        <v>145000000</v>
      </c>
      <c r="G174">
        <v>2008</v>
      </c>
      <c r="H174">
        <v>5.2</v>
      </c>
    </row>
    <row r="175" spans="1:8" x14ac:dyDescent="0.25">
      <c r="A175">
        <v>92</v>
      </c>
      <c r="B175">
        <v>111505642</v>
      </c>
      <c r="C175" t="s">
        <v>152</v>
      </c>
      <c r="D175" t="s">
        <v>1</v>
      </c>
      <c r="E175" t="s">
        <v>2</v>
      </c>
      <c r="F175">
        <v>145000000</v>
      </c>
      <c r="G175">
        <v>2014</v>
      </c>
      <c r="H175">
        <v>6.9</v>
      </c>
    </row>
    <row r="176" spans="1:8" x14ac:dyDescent="0.25">
      <c r="A176">
        <v>93</v>
      </c>
      <c r="B176">
        <v>216366733</v>
      </c>
      <c r="C176" t="s">
        <v>154</v>
      </c>
      <c r="D176" t="s">
        <v>1</v>
      </c>
      <c r="E176" t="s">
        <v>2</v>
      </c>
      <c r="F176">
        <v>145000000</v>
      </c>
      <c r="G176">
        <v>2012</v>
      </c>
      <c r="H176">
        <v>6.9</v>
      </c>
    </row>
    <row r="177" spans="1:8" x14ac:dyDescent="0.25">
      <c r="A177">
        <v>95</v>
      </c>
      <c r="B177">
        <v>143523463</v>
      </c>
      <c r="C177" t="s">
        <v>160</v>
      </c>
      <c r="D177" t="s">
        <v>1</v>
      </c>
      <c r="E177" t="s">
        <v>2</v>
      </c>
      <c r="F177">
        <v>145000000</v>
      </c>
      <c r="G177">
        <v>2016</v>
      </c>
      <c r="H177">
        <v>7.2</v>
      </c>
    </row>
    <row r="178" spans="1:8" x14ac:dyDescent="0.25">
      <c r="A178">
        <v>133</v>
      </c>
      <c r="B178">
        <v>209364921</v>
      </c>
      <c r="C178" t="s">
        <v>161</v>
      </c>
      <c r="D178" t="s">
        <v>1</v>
      </c>
      <c r="E178" t="s">
        <v>2</v>
      </c>
      <c r="F178">
        <v>145000000</v>
      </c>
      <c r="G178">
        <v>2011</v>
      </c>
      <c r="H178">
        <v>7.4</v>
      </c>
    </row>
    <row r="179" spans="1:8" x14ac:dyDescent="0.25">
      <c r="A179">
        <v>97</v>
      </c>
      <c r="B179">
        <v>103400692</v>
      </c>
      <c r="C179" t="s">
        <v>162</v>
      </c>
      <c r="D179" t="s">
        <v>1</v>
      </c>
      <c r="E179" t="s">
        <v>2</v>
      </c>
      <c r="F179">
        <v>145000000</v>
      </c>
      <c r="G179">
        <v>2012</v>
      </c>
      <c r="H179">
        <v>7.3</v>
      </c>
    </row>
    <row r="180" spans="1:8" x14ac:dyDescent="0.25">
      <c r="A180">
        <v>102</v>
      </c>
      <c r="B180">
        <v>176997107</v>
      </c>
      <c r="C180" t="s">
        <v>168</v>
      </c>
      <c r="D180" t="s">
        <v>1</v>
      </c>
      <c r="E180" t="s">
        <v>2</v>
      </c>
      <c r="F180">
        <v>145000000</v>
      </c>
      <c r="G180">
        <v>2014</v>
      </c>
      <c r="H180">
        <v>7.9</v>
      </c>
    </row>
    <row r="181" spans="1:8" x14ac:dyDescent="0.25">
      <c r="A181">
        <v>116</v>
      </c>
      <c r="B181">
        <v>118099659</v>
      </c>
      <c r="C181" t="s">
        <v>156</v>
      </c>
      <c r="D181" t="s">
        <v>1</v>
      </c>
      <c r="E181" t="s">
        <v>2</v>
      </c>
      <c r="F181">
        <v>144000000</v>
      </c>
      <c r="G181">
        <v>2016</v>
      </c>
      <c r="H181">
        <v>5.5</v>
      </c>
    </row>
    <row r="182" spans="1:8" x14ac:dyDescent="0.25">
      <c r="A182">
        <v>116</v>
      </c>
      <c r="B182">
        <v>118099659</v>
      </c>
      <c r="C182" t="s">
        <v>156</v>
      </c>
      <c r="D182" t="s">
        <v>1</v>
      </c>
      <c r="E182" t="s">
        <v>2</v>
      </c>
      <c r="F182">
        <v>144000000</v>
      </c>
      <c r="G182">
        <v>2016</v>
      </c>
      <c r="H182">
        <v>5.5</v>
      </c>
    </row>
    <row r="183" spans="1:8" x14ac:dyDescent="0.25">
      <c r="A183">
        <v>133</v>
      </c>
      <c r="B183">
        <v>160201106</v>
      </c>
      <c r="C183" t="s">
        <v>155</v>
      </c>
      <c r="D183" t="s">
        <v>1</v>
      </c>
      <c r="E183" t="s">
        <v>5</v>
      </c>
      <c r="F183">
        <v>142000000</v>
      </c>
      <c r="G183">
        <v>2002</v>
      </c>
      <c r="H183">
        <v>6.1</v>
      </c>
    </row>
    <row r="184" spans="1:8" x14ac:dyDescent="0.25">
      <c r="A184">
        <v>91</v>
      </c>
      <c r="B184">
        <v>140080850</v>
      </c>
      <c r="C184" t="s">
        <v>63</v>
      </c>
      <c r="D184" t="s">
        <v>1</v>
      </c>
      <c r="E184" t="s">
        <v>2</v>
      </c>
      <c r="F184">
        <v>140000000</v>
      </c>
      <c r="G184">
        <v>2007</v>
      </c>
      <c r="H184">
        <v>6.2</v>
      </c>
    </row>
    <row r="185" spans="1:8" x14ac:dyDescent="0.25">
      <c r="A185">
        <v>126</v>
      </c>
      <c r="B185">
        <v>318298180</v>
      </c>
      <c r="C185" t="s">
        <v>73</v>
      </c>
      <c r="D185" t="s">
        <v>1</v>
      </c>
      <c r="E185" t="s">
        <v>2</v>
      </c>
      <c r="F185">
        <v>140000000</v>
      </c>
      <c r="G185">
        <v>2008</v>
      </c>
      <c r="H185">
        <v>7.9</v>
      </c>
    </row>
    <row r="186" spans="1:8" x14ac:dyDescent="0.25">
      <c r="A186">
        <v>184</v>
      </c>
      <c r="B186">
        <v>198539855</v>
      </c>
      <c r="C186" t="s">
        <v>116</v>
      </c>
      <c r="D186" t="s">
        <v>1</v>
      </c>
      <c r="E186" t="s">
        <v>2</v>
      </c>
      <c r="F186">
        <v>140000000</v>
      </c>
      <c r="G186">
        <v>2001</v>
      </c>
      <c r="H186">
        <v>6.1</v>
      </c>
    </row>
    <row r="187" spans="1:8" x14ac:dyDescent="0.25">
      <c r="A187">
        <v>153</v>
      </c>
      <c r="B187">
        <v>201573391</v>
      </c>
      <c r="C187" t="s">
        <v>157</v>
      </c>
      <c r="D187" t="s">
        <v>1</v>
      </c>
      <c r="E187" t="s">
        <v>2</v>
      </c>
      <c r="F187">
        <v>140000000</v>
      </c>
      <c r="G187">
        <v>1998</v>
      </c>
      <c r="H187">
        <v>6.6</v>
      </c>
    </row>
    <row r="188" spans="1:8" x14ac:dyDescent="0.25">
      <c r="A188">
        <v>88</v>
      </c>
      <c r="B188">
        <v>190418803</v>
      </c>
      <c r="C188" t="s">
        <v>158</v>
      </c>
      <c r="D188" t="s">
        <v>1</v>
      </c>
      <c r="E188" t="s">
        <v>2</v>
      </c>
      <c r="F188">
        <v>140000000</v>
      </c>
      <c r="G188">
        <v>2002</v>
      </c>
      <c r="H188">
        <v>6.1</v>
      </c>
    </row>
    <row r="189" spans="1:8" x14ac:dyDescent="0.25">
      <c r="A189">
        <v>154</v>
      </c>
      <c r="B189">
        <v>111110575</v>
      </c>
      <c r="C189" t="s">
        <v>164</v>
      </c>
      <c r="D189" t="s">
        <v>1</v>
      </c>
      <c r="E189" t="s">
        <v>2</v>
      </c>
      <c r="F189">
        <v>140000000</v>
      </c>
      <c r="G189">
        <v>2003</v>
      </c>
      <c r="H189">
        <v>7.7</v>
      </c>
    </row>
    <row r="190" spans="1:8" x14ac:dyDescent="0.25">
      <c r="A190">
        <v>150</v>
      </c>
      <c r="B190">
        <v>65007045</v>
      </c>
      <c r="C190" t="s">
        <v>165</v>
      </c>
      <c r="D190" t="s">
        <v>1</v>
      </c>
      <c r="E190" t="s">
        <v>5</v>
      </c>
      <c r="F190">
        <v>140000000</v>
      </c>
      <c r="G190">
        <v>2014</v>
      </c>
      <c r="H190">
        <v>6.1</v>
      </c>
    </row>
    <row r="191" spans="1:8" x14ac:dyDescent="0.25">
      <c r="A191">
        <v>126</v>
      </c>
      <c r="B191">
        <v>31141074</v>
      </c>
      <c r="C191" t="s">
        <v>169</v>
      </c>
      <c r="D191" t="s">
        <v>1</v>
      </c>
      <c r="E191" t="s">
        <v>2</v>
      </c>
      <c r="F191">
        <v>140000000</v>
      </c>
      <c r="G191">
        <v>2016</v>
      </c>
      <c r="H191">
        <v>5.5</v>
      </c>
    </row>
    <row r="192" spans="1:8" x14ac:dyDescent="0.25">
      <c r="A192">
        <v>127</v>
      </c>
      <c r="B192">
        <v>129734803</v>
      </c>
      <c r="C192" t="s">
        <v>172</v>
      </c>
      <c r="D192" t="s">
        <v>1</v>
      </c>
      <c r="E192" t="s">
        <v>2</v>
      </c>
      <c r="F192">
        <v>140000000</v>
      </c>
      <c r="G192">
        <v>1998</v>
      </c>
      <c r="H192">
        <v>6.6</v>
      </c>
    </row>
    <row r="193" spans="1:8" x14ac:dyDescent="0.25">
      <c r="A193">
        <v>124</v>
      </c>
      <c r="B193">
        <v>176636816</v>
      </c>
      <c r="C193" t="s">
        <v>177</v>
      </c>
      <c r="D193" t="s">
        <v>1</v>
      </c>
      <c r="E193" t="s">
        <v>2</v>
      </c>
      <c r="F193">
        <v>140000000</v>
      </c>
      <c r="G193">
        <v>2011</v>
      </c>
      <c r="H193">
        <v>6.9</v>
      </c>
    </row>
    <row r="194" spans="1:8" x14ac:dyDescent="0.25">
      <c r="A194">
        <v>117</v>
      </c>
      <c r="B194">
        <v>52792307</v>
      </c>
      <c r="C194" t="s">
        <v>183</v>
      </c>
      <c r="D194" t="s">
        <v>1</v>
      </c>
      <c r="E194" t="s">
        <v>5</v>
      </c>
      <c r="F194">
        <v>140000000</v>
      </c>
      <c r="G194">
        <v>2016</v>
      </c>
      <c r="H194">
        <v>6.8</v>
      </c>
    </row>
    <row r="195" spans="1:8" x14ac:dyDescent="0.25">
      <c r="A195">
        <v>143</v>
      </c>
      <c r="B195">
        <v>305388685</v>
      </c>
      <c r="C195" t="s">
        <v>207</v>
      </c>
      <c r="D195" t="s">
        <v>1</v>
      </c>
      <c r="E195" t="s">
        <v>2</v>
      </c>
      <c r="F195">
        <v>140000000</v>
      </c>
      <c r="G195">
        <v>2003</v>
      </c>
      <c r="H195">
        <v>8.1</v>
      </c>
    </row>
    <row r="196" spans="1:8" x14ac:dyDescent="0.25">
      <c r="A196">
        <v>130</v>
      </c>
      <c r="B196">
        <v>182618434</v>
      </c>
      <c r="C196" t="s">
        <v>222</v>
      </c>
      <c r="D196" t="s">
        <v>1</v>
      </c>
      <c r="E196" t="s">
        <v>2</v>
      </c>
      <c r="F196">
        <v>140000000</v>
      </c>
      <c r="G196">
        <v>2000</v>
      </c>
      <c r="H196">
        <v>6.4</v>
      </c>
    </row>
    <row r="197" spans="1:8" x14ac:dyDescent="0.25">
      <c r="A197">
        <v>95</v>
      </c>
      <c r="B197">
        <v>38120554</v>
      </c>
      <c r="C197" t="s">
        <v>313</v>
      </c>
      <c r="D197" t="s">
        <v>1</v>
      </c>
      <c r="E197" t="s">
        <v>2</v>
      </c>
      <c r="F197">
        <v>140000000</v>
      </c>
      <c r="G197">
        <v>2002</v>
      </c>
      <c r="H197">
        <v>7.1</v>
      </c>
    </row>
    <row r="198" spans="1:8" x14ac:dyDescent="0.25">
      <c r="A198">
        <v>118</v>
      </c>
      <c r="B198">
        <v>146072</v>
      </c>
      <c r="C198" t="s">
        <v>2178</v>
      </c>
      <c r="D198" t="s">
        <v>243</v>
      </c>
      <c r="E198" t="s">
        <v>244</v>
      </c>
      <c r="F198">
        <v>140000000</v>
      </c>
      <c r="G198">
        <v>1998</v>
      </c>
      <c r="H198">
        <v>6</v>
      </c>
    </row>
    <row r="199" spans="1:8" x14ac:dyDescent="0.25">
      <c r="A199">
        <v>150</v>
      </c>
      <c r="B199">
        <v>65007045</v>
      </c>
      <c r="C199" t="s">
        <v>165</v>
      </c>
      <c r="D199" t="s">
        <v>1</v>
      </c>
      <c r="E199" t="s">
        <v>5</v>
      </c>
      <c r="F199">
        <v>140000000</v>
      </c>
      <c r="G199">
        <v>2014</v>
      </c>
      <c r="H199">
        <v>6.1</v>
      </c>
    </row>
    <row r="200" spans="1:8" x14ac:dyDescent="0.25">
      <c r="A200">
        <v>121</v>
      </c>
      <c r="B200">
        <v>403706375</v>
      </c>
      <c r="C200" t="s">
        <v>167</v>
      </c>
      <c r="D200" t="s">
        <v>1</v>
      </c>
      <c r="E200" t="s">
        <v>2</v>
      </c>
      <c r="F200">
        <v>139000000</v>
      </c>
      <c r="G200">
        <v>2002</v>
      </c>
      <c r="H200">
        <v>7.3</v>
      </c>
    </row>
    <row r="201" spans="1:8" x14ac:dyDescent="0.25">
      <c r="A201">
        <v>138</v>
      </c>
      <c r="B201">
        <v>132122995</v>
      </c>
      <c r="C201" t="s">
        <v>173</v>
      </c>
      <c r="D201" t="s">
        <v>1</v>
      </c>
      <c r="E201" t="s">
        <v>2</v>
      </c>
      <c r="F201">
        <v>137000000</v>
      </c>
      <c r="G201">
        <v>2003</v>
      </c>
      <c r="H201">
        <v>5.7</v>
      </c>
    </row>
    <row r="202" spans="1:8" x14ac:dyDescent="0.25">
      <c r="A202">
        <v>106</v>
      </c>
      <c r="B202">
        <v>32131830</v>
      </c>
      <c r="C202" t="s">
        <v>176</v>
      </c>
      <c r="D202" t="s">
        <v>1</v>
      </c>
      <c r="E202" t="s">
        <v>2</v>
      </c>
      <c r="F202">
        <v>137000000</v>
      </c>
      <c r="G202">
        <v>2001</v>
      </c>
      <c r="H202">
        <v>6.4</v>
      </c>
    </row>
    <row r="203" spans="1:8" x14ac:dyDescent="0.25">
      <c r="A203">
        <v>121</v>
      </c>
      <c r="B203">
        <v>31704416</v>
      </c>
      <c r="C203" t="s">
        <v>170</v>
      </c>
      <c r="D203" t="s">
        <v>1</v>
      </c>
      <c r="E203" t="s">
        <v>2</v>
      </c>
      <c r="F203">
        <v>135000000</v>
      </c>
      <c r="G203">
        <v>2005</v>
      </c>
      <c r="H203">
        <v>5</v>
      </c>
    </row>
    <row r="204" spans="1:8" x14ac:dyDescent="0.25">
      <c r="A204">
        <v>128</v>
      </c>
      <c r="B204">
        <v>126930660</v>
      </c>
      <c r="C204" t="s">
        <v>178</v>
      </c>
      <c r="D204" t="s">
        <v>1</v>
      </c>
      <c r="E204" t="s">
        <v>5</v>
      </c>
      <c r="F204">
        <v>135000000</v>
      </c>
      <c r="G204">
        <v>1999</v>
      </c>
      <c r="H204">
        <v>6.4</v>
      </c>
    </row>
    <row r="205" spans="1:8" x14ac:dyDescent="0.25">
      <c r="A205">
        <v>100</v>
      </c>
      <c r="B205">
        <v>63992328</v>
      </c>
      <c r="C205" t="s">
        <v>181</v>
      </c>
      <c r="D205" t="s">
        <v>1</v>
      </c>
      <c r="E205" t="s">
        <v>55</v>
      </c>
      <c r="F205">
        <v>135000000</v>
      </c>
      <c r="G205">
        <v>2011</v>
      </c>
      <c r="H205">
        <v>5.9</v>
      </c>
    </row>
    <row r="206" spans="1:8" x14ac:dyDescent="0.25">
      <c r="A206">
        <v>156</v>
      </c>
      <c r="B206">
        <v>183635922</v>
      </c>
      <c r="C206" t="s">
        <v>184</v>
      </c>
      <c r="D206" t="s">
        <v>1</v>
      </c>
      <c r="E206" t="s">
        <v>2</v>
      </c>
      <c r="F206">
        <v>135000000</v>
      </c>
      <c r="G206">
        <v>2015</v>
      </c>
      <c r="H206">
        <v>8.1</v>
      </c>
    </row>
    <row r="207" spans="1:8" x14ac:dyDescent="0.25">
      <c r="A207">
        <v>96</v>
      </c>
      <c r="B207">
        <v>83024900</v>
      </c>
      <c r="C207" t="s">
        <v>185</v>
      </c>
      <c r="D207" t="s">
        <v>1</v>
      </c>
      <c r="E207" t="s">
        <v>2</v>
      </c>
      <c r="F207">
        <v>135000000</v>
      </c>
      <c r="G207">
        <v>2013</v>
      </c>
      <c r="H207">
        <v>6.5</v>
      </c>
    </row>
    <row r="208" spans="1:8" x14ac:dyDescent="0.25">
      <c r="A208">
        <v>107</v>
      </c>
      <c r="B208">
        <v>123207194</v>
      </c>
      <c r="C208" t="s">
        <v>186</v>
      </c>
      <c r="D208" t="s">
        <v>1</v>
      </c>
      <c r="E208" t="s">
        <v>2</v>
      </c>
      <c r="F208">
        <v>135000000</v>
      </c>
      <c r="G208">
        <v>2011</v>
      </c>
      <c r="H208">
        <v>7.2</v>
      </c>
    </row>
    <row r="209" spans="1:8" x14ac:dyDescent="0.25">
      <c r="A209">
        <v>94</v>
      </c>
      <c r="B209">
        <v>177343675</v>
      </c>
      <c r="C209" t="s">
        <v>192</v>
      </c>
      <c r="D209" t="s">
        <v>1</v>
      </c>
      <c r="E209" t="s">
        <v>2</v>
      </c>
      <c r="F209">
        <v>135000000</v>
      </c>
      <c r="G209">
        <v>2015</v>
      </c>
      <c r="H209">
        <v>6.7</v>
      </c>
    </row>
    <row r="210" spans="1:8" x14ac:dyDescent="0.25">
      <c r="A210">
        <v>107</v>
      </c>
      <c r="B210">
        <v>77564037</v>
      </c>
      <c r="C210" t="s">
        <v>198</v>
      </c>
      <c r="D210" t="s">
        <v>1</v>
      </c>
      <c r="E210" t="s">
        <v>2</v>
      </c>
      <c r="F210">
        <v>135000000</v>
      </c>
      <c r="G210">
        <v>2011</v>
      </c>
      <c r="H210">
        <v>7.4</v>
      </c>
    </row>
    <row r="211" spans="1:8" x14ac:dyDescent="0.25">
      <c r="A211">
        <v>98</v>
      </c>
      <c r="B211">
        <v>187165546</v>
      </c>
      <c r="C211" t="s">
        <v>242</v>
      </c>
      <c r="D211" t="s">
        <v>1</v>
      </c>
      <c r="E211" t="s">
        <v>2</v>
      </c>
      <c r="F211">
        <v>135000000</v>
      </c>
      <c r="G211">
        <v>2013</v>
      </c>
      <c r="H211">
        <v>7.3</v>
      </c>
    </row>
    <row r="212" spans="1:8" x14ac:dyDescent="0.25">
      <c r="A212">
        <v>112</v>
      </c>
      <c r="B212">
        <v>81638674</v>
      </c>
      <c r="C212" t="s">
        <v>250</v>
      </c>
      <c r="D212" t="s">
        <v>1</v>
      </c>
      <c r="E212" t="s">
        <v>2</v>
      </c>
      <c r="F212">
        <v>135000000</v>
      </c>
      <c r="G212">
        <v>2016</v>
      </c>
      <c r="H212">
        <v>6.3</v>
      </c>
    </row>
    <row r="213" spans="1:8" x14ac:dyDescent="0.25">
      <c r="A213">
        <v>94</v>
      </c>
      <c r="B213">
        <v>177343675</v>
      </c>
      <c r="C213" t="s">
        <v>192</v>
      </c>
      <c r="D213" t="s">
        <v>1</v>
      </c>
      <c r="E213" t="s">
        <v>2</v>
      </c>
      <c r="F213">
        <v>135000000</v>
      </c>
      <c r="G213">
        <v>2015</v>
      </c>
      <c r="H213">
        <v>6.7</v>
      </c>
    </row>
    <row r="214" spans="1:8" x14ac:dyDescent="0.25">
      <c r="A214">
        <v>94</v>
      </c>
      <c r="B214">
        <v>177343675</v>
      </c>
      <c r="C214" t="s">
        <v>192</v>
      </c>
      <c r="D214" t="s">
        <v>1</v>
      </c>
      <c r="E214" t="s">
        <v>2</v>
      </c>
      <c r="F214">
        <v>135000000</v>
      </c>
      <c r="G214">
        <v>2015</v>
      </c>
      <c r="H214">
        <v>6.7</v>
      </c>
    </row>
    <row r="215" spans="1:8" x14ac:dyDescent="0.25">
      <c r="A215">
        <v>84</v>
      </c>
      <c r="B215">
        <v>140015224</v>
      </c>
      <c r="C215" t="s">
        <v>277</v>
      </c>
      <c r="D215" t="s">
        <v>1</v>
      </c>
      <c r="E215" t="s">
        <v>119</v>
      </c>
      <c r="F215">
        <v>133000000</v>
      </c>
      <c r="G215">
        <v>1999</v>
      </c>
      <c r="H215">
        <v>5.9</v>
      </c>
    </row>
    <row r="216" spans="1:8" x14ac:dyDescent="0.25">
      <c r="A216">
        <v>92</v>
      </c>
      <c r="B216">
        <v>83348920</v>
      </c>
      <c r="C216" t="s">
        <v>187</v>
      </c>
      <c r="D216" t="s">
        <v>1</v>
      </c>
      <c r="E216" t="s">
        <v>2</v>
      </c>
      <c r="F216">
        <v>132000000</v>
      </c>
      <c r="G216">
        <v>2014</v>
      </c>
      <c r="H216">
        <v>6.7</v>
      </c>
    </row>
    <row r="217" spans="1:8" x14ac:dyDescent="0.25">
      <c r="A217">
        <v>116</v>
      </c>
      <c r="B217">
        <v>234277056</v>
      </c>
      <c r="C217" t="s">
        <v>193</v>
      </c>
      <c r="D217" t="s">
        <v>1</v>
      </c>
      <c r="E217" t="s">
        <v>2</v>
      </c>
      <c r="F217">
        <v>132000000</v>
      </c>
      <c r="G217">
        <v>2005</v>
      </c>
      <c r="H217">
        <v>6.5</v>
      </c>
    </row>
    <row r="218" spans="1:8" x14ac:dyDescent="0.25">
      <c r="A218">
        <v>215</v>
      </c>
      <c r="B218">
        <v>107503316</v>
      </c>
      <c r="C218" t="s">
        <v>171</v>
      </c>
      <c r="D218" t="s">
        <v>1</v>
      </c>
      <c r="E218" t="s">
        <v>2</v>
      </c>
      <c r="F218">
        <v>130000000</v>
      </c>
      <c r="G218">
        <v>2009</v>
      </c>
      <c r="H218">
        <v>7.7</v>
      </c>
    </row>
    <row r="219" spans="1:8" x14ac:dyDescent="0.25">
      <c r="A219">
        <v>122</v>
      </c>
      <c r="B219">
        <v>122512052</v>
      </c>
      <c r="C219" t="s">
        <v>174</v>
      </c>
      <c r="D219" t="s">
        <v>1</v>
      </c>
      <c r="E219" t="s">
        <v>2</v>
      </c>
      <c r="F219">
        <v>130000000</v>
      </c>
      <c r="G219">
        <v>2013</v>
      </c>
      <c r="H219">
        <v>5.8</v>
      </c>
    </row>
    <row r="220" spans="1:8" x14ac:dyDescent="0.25">
      <c r="A220">
        <v>124</v>
      </c>
      <c r="B220">
        <v>68642452</v>
      </c>
      <c r="C220" t="s">
        <v>175</v>
      </c>
      <c r="D220" t="s">
        <v>1</v>
      </c>
      <c r="E220" t="s">
        <v>5</v>
      </c>
      <c r="F220">
        <v>130000000</v>
      </c>
      <c r="G220">
        <v>2005</v>
      </c>
      <c r="H220">
        <v>6</v>
      </c>
    </row>
    <row r="221" spans="1:8" x14ac:dyDescent="0.25">
      <c r="A221">
        <v>92</v>
      </c>
      <c r="B221">
        <v>215395021</v>
      </c>
      <c r="C221" t="s">
        <v>189</v>
      </c>
      <c r="D221" t="s">
        <v>1</v>
      </c>
      <c r="E221" t="s">
        <v>2</v>
      </c>
      <c r="F221">
        <v>130000000</v>
      </c>
      <c r="G221">
        <v>2008</v>
      </c>
      <c r="H221">
        <v>7.6</v>
      </c>
    </row>
    <row r="222" spans="1:8" x14ac:dyDescent="0.25">
      <c r="A222">
        <v>117</v>
      </c>
      <c r="B222">
        <v>180191634</v>
      </c>
      <c r="C222" t="s">
        <v>190</v>
      </c>
      <c r="D222" t="s">
        <v>1</v>
      </c>
      <c r="E222" t="s">
        <v>2</v>
      </c>
      <c r="F222">
        <v>130000000</v>
      </c>
      <c r="G222">
        <v>2015</v>
      </c>
      <c r="H222">
        <v>7.4</v>
      </c>
    </row>
    <row r="223" spans="1:8" x14ac:dyDescent="0.25">
      <c r="A223">
        <v>146</v>
      </c>
      <c r="B223">
        <v>424645577</v>
      </c>
      <c r="C223" t="s">
        <v>191</v>
      </c>
      <c r="D223" t="s">
        <v>1</v>
      </c>
      <c r="E223" t="s">
        <v>2</v>
      </c>
      <c r="F223">
        <v>130000000</v>
      </c>
      <c r="G223">
        <v>2013</v>
      </c>
      <c r="H223">
        <v>7.6</v>
      </c>
    </row>
    <row r="224" spans="1:8" x14ac:dyDescent="0.25">
      <c r="A224">
        <v>147</v>
      </c>
      <c r="B224">
        <v>138396624</v>
      </c>
      <c r="C224" t="s">
        <v>194</v>
      </c>
      <c r="D224" t="s">
        <v>1</v>
      </c>
      <c r="E224" t="s">
        <v>2</v>
      </c>
      <c r="F224">
        <v>130000000</v>
      </c>
      <c r="G224">
        <v>2003</v>
      </c>
      <c r="H224">
        <v>6.6</v>
      </c>
    </row>
    <row r="225" spans="1:8" x14ac:dyDescent="0.25">
      <c r="A225">
        <v>90</v>
      </c>
      <c r="B225">
        <v>149234747</v>
      </c>
      <c r="C225" t="s">
        <v>195</v>
      </c>
      <c r="D225" t="s">
        <v>1</v>
      </c>
      <c r="E225" t="s">
        <v>2</v>
      </c>
      <c r="F225">
        <v>130000000</v>
      </c>
      <c r="G225">
        <v>2011</v>
      </c>
      <c r="H225">
        <v>6.7</v>
      </c>
    </row>
    <row r="226" spans="1:8" x14ac:dyDescent="0.25">
      <c r="A226">
        <v>142</v>
      </c>
      <c r="B226">
        <v>249358727</v>
      </c>
      <c r="C226" t="s">
        <v>199</v>
      </c>
      <c r="D226" t="s">
        <v>1</v>
      </c>
      <c r="E226" t="s">
        <v>5</v>
      </c>
      <c r="F226">
        <v>130000000</v>
      </c>
      <c r="G226">
        <v>2004</v>
      </c>
      <c r="H226">
        <v>7.8</v>
      </c>
    </row>
    <row r="227" spans="1:8" x14ac:dyDescent="0.25">
      <c r="A227">
        <v>165</v>
      </c>
      <c r="B227">
        <v>49551662</v>
      </c>
      <c r="C227" t="s">
        <v>200</v>
      </c>
      <c r="D227" t="s">
        <v>1</v>
      </c>
      <c r="E227" t="s">
        <v>55</v>
      </c>
      <c r="F227">
        <v>130000000</v>
      </c>
      <c r="G227">
        <v>2008</v>
      </c>
      <c r="H227">
        <v>6.6</v>
      </c>
    </row>
    <row r="228" spans="1:8" x14ac:dyDescent="0.25">
      <c r="A228">
        <v>100</v>
      </c>
      <c r="B228">
        <v>60522097</v>
      </c>
      <c r="C228" t="s">
        <v>201</v>
      </c>
      <c r="D228" t="s">
        <v>1</v>
      </c>
      <c r="E228" t="s">
        <v>2</v>
      </c>
      <c r="F228">
        <v>130000000</v>
      </c>
      <c r="G228">
        <v>2013</v>
      </c>
      <c r="H228">
        <v>4.9000000000000004</v>
      </c>
    </row>
    <row r="229" spans="1:8" x14ac:dyDescent="0.25">
      <c r="A229">
        <v>95</v>
      </c>
      <c r="B229">
        <v>148337537</v>
      </c>
      <c r="C229" t="s">
        <v>204</v>
      </c>
      <c r="D229" t="s">
        <v>1</v>
      </c>
      <c r="E229" t="s">
        <v>2</v>
      </c>
      <c r="F229">
        <v>130000000</v>
      </c>
      <c r="G229">
        <v>2010</v>
      </c>
      <c r="H229">
        <v>7.3</v>
      </c>
    </row>
    <row r="230" spans="1:8" x14ac:dyDescent="0.25">
      <c r="A230">
        <v>96</v>
      </c>
      <c r="B230">
        <v>33592415</v>
      </c>
      <c r="C230" t="s">
        <v>206</v>
      </c>
      <c r="D230" t="s">
        <v>1</v>
      </c>
      <c r="E230" t="s">
        <v>2</v>
      </c>
      <c r="F230">
        <v>130000000</v>
      </c>
      <c r="G230">
        <v>2013</v>
      </c>
      <c r="H230">
        <v>5.6</v>
      </c>
    </row>
    <row r="231" spans="1:8" x14ac:dyDescent="0.25">
      <c r="A231">
        <v>92</v>
      </c>
      <c r="B231">
        <v>131920333</v>
      </c>
      <c r="C231" t="s">
        <v>223</v>
      </c>
      <c r="D231" t="s">
        <v>1</v>
      </c>
      <c r="E231" t="s">
        <v>2</v>
      </c>
      <c r="F231">
        <v>130000000</v>
      </c>
      <c r="G231">
        <v>2007</v>
      </c>
      <c r="H231">
        <v>5.6</v>
      </c>
    </row>
    <row r="232" spans="1:8" x14ac:dyDescent="0.25">
      <c r="A232">
        <v>124</v>
      </c>
      <c r="B232">
        <v>126464904</v>
      </c>
      <c r="C232" t="s">
        <v>228</v>
      </c>
      <c r="D232" t="s">
        <v>1</v>
      </c>
      <c r="E232" t="s">
        <v>2</v>
      </c>
      <c r="F232">
        <v>130000000</v>
      </c>
      <c r="G232">
        <v>2012</v>
      </c>
      <c r="H232">
        <v>7</v>
      </c>
    </row>
    <row r="233" spans="1:8" x14ac:dyDescent="0.25">
      <c r="A233">
        <v>194</v>
      </c>
      <c r="B233">
        <v>47396698</v>
      </c>
      <c r="C233" t="s">
        <v>276</v>
      </c>
      <c r="D233" t="s">
        <v>1</v>
      </c>
      <c r="E233" t="s">
        <v>2</v>
      </c>
      <c r="F233">
        <v>130000000</v>
      </c>
      <c r="G233">
        <v>2005</v>
      </c>
      <c r="H233">
        <v>7.2</v>
      </c>
    </row>
    <row r="234" spans="1:8" x14ac:dyDescent="0.25">
      <c r="A234">
        <v>82</v>
      </c>
      <c r="B234">
        <v>137748063</v>
      </c>
      <c r="C234" t="s">
        <v>202</v>
      </c>
      <c r="D234" t="s">
        <v>1</v>
      </c>
      <c r="E234" t="s">
        <v>2</v>
      </c>
      <c r="F234">
        <v>127500000</v>
      </c>
      <c r="G234">
        <v>2000</v>
      </c>
      <c r="H234">
        <v>6.5</v>
      </c>
    </row>
    <row r="235" spans="1:8" x14ac:dyDescent="0.25">
      <c r="A235">
        <v>98</v>
      </c>
      <c r="B235">
        <v>113733726</v>
      </c>
      <c r="C235" t="s">
        <v>203</v>
      </c>
      <c r="D235" t="s">
        <v>1</v>
      </c>
      <c r="E235" t="s">
        <v>2</v>
      </c>
      <c r="F235">
        <v>127000000</v>
      </c>
      <c r="G235">
        <v>2014</v>
      </c>
      <c r="H235">
        <v>6.2</v>
      </c>
    </row>
    <row r="236" spans="1:8" x14ac:dyDescent="0.25">
      <c r="A236">
        <v>136</v>
      </c>
      <c r="B236">
        <v>35799026</v>
      </c>
      <c r="C236" t="s">
        <v>280</v>
      </c>
      <c r="D236" t="s">
        <v>1</v>
      </c>
      <c r="E236" t="s">
        <v>2</v>
      </c>
      <c r="F236">
        <v>126000000</v>
      </c>
      <c r="G236">
        <v>2005</v>
      </c>
      <c r="H236">
        <v>6.9</v>
      </c>
    </row>
    <row r="237" spans="1:8" x14ac:dyDescent="0.25">
      <c r="A237">
        <v>136</v>
      </c>
      <c r="B237">
        <v>35799026</v>
      </c>
      <c r="C237" t="s">
        <v>280</v>
      </c>
      <c r="D237" t="s">
        <v>1</v>
      </c>
      <c r="E237" t="s">
        <v>2</v>
      </c>
      <c r="F237">
        <v>126000000</v>
      </c>
      <c r="G237">
        <v>2005</v>
      </c>
      <c r="H237">
        <v>6.9</v>
      </c>
    </row>
    <row r="238" spans="1:8" x14ac:dyDescent="0.25">
      <c r="A238">
        <v>138</v>
      </c>
      <c r="B238">
        <v>101160529</v>
      </c>
      <c r="C238" t="s">
        <v>197</v>
      </c>
      <c r="D238" t="s">
        <v>1</v>
      </c>
      <c r="E238" t="s">
        <v>2</v>
      </c>
      <c r="F238">
        <v>125000000</v>
      </c>
      <c r="G238">
        <v>2014</v>
      </c>
      <c r="H238">
        <v>5.8</v>
      </c>
    </row>
    <row r="239" spans="1:8" x14ac:dyDescent="0.25">
      <c r="A239">
        <v>159</v>
      </c>
      <c r="B239">
        <v>317557891</v>
      </c>
      <c r="C239" t="s">
        <v>205</v>
      </c>
      <c r="D239" t="s">
        <v>1</v>
      </c>
      <c r="E239" t="s">
        <v>5</v>
      </c>
      <c r="F239">
        <v>125000000</v>
      </c>
      <c r="G239">
        <v>2001</v>
      </c>
      <c r="H239">
        <v>7.5</v>
      </c>
    </row>
    <row r="240" spans="1:8" x14ac:dyDescent="0.25">
      <c r="A240">
        <v>123</v>
      </c>
      <c r="B240">
        <v>337103873</v>
      </c>
      <c r="C240" t="s">
        <v>208</v>
      </c>
      <c r="D240" t="s">
        <v>1</v>
      </c>
      <c r="E240" t="s">
        <v>2</v>
      </c>
      <c r="F240">
        <v>125000000</v>
      </c>
      <c r="G240">
        <v>2014</v>
      </c>
      <c r="H240">
        <v>6.7</v>
      </c>
    </row>
    <row r="241" spans="1:8" x14ac:dyDescent="0.25">
      <c r="A241">
        <v>174</v>
      </c>
      <c r="B241">
        <v>217536138</v>
      </c>
      <c r="C241" t="s">
        <v>209</v>
      </c>
      <c r="D241" t="s">
        <v>1</v>
      </c>
      <c r="E241" t="s">
        <v>2</v>
      </c>
      <c r="F241">
        <v>125000000</v>
      </c>
      <c r="G241">
        <v>2006</v>
      </c>
      <c r="H241">
        <v>6.6</v>
      </c>
    </row>
    <row r="242" spans="1:8" x14ac:dyDescent="0.25">
      <c r="A242">
        <v>132</v>
      </c>
      <c r="B242">
        <v>209805005</v>
      </c>
      <c r="C242" t="s">
        <v>212</v>
      </c>
      <c r="D242" t="s">
        <v>1</v>
      </c>
      <c r="E242" t="s">
        <v>2</v>
      </c>
      <c r="F242">
        <v>125000000</v>
      </c>
      <c r="G242">
        <v>2011</v>
      </c>
      <c r="H242">
        <v>7.3</v>
      </c>
    </row>
    <row r="243" spans="1:8" x14ac:dyDescent="0.25">
      <c r="A243">
        <v>129</v>
      </c>
      <c r="B243">
        <v>186830669</v>
      </c>
      <c r="C243" t="s">
        <v>213</v>
      </c>
      <c r="D243" t="s">
        <v>1</v>
      </c>
      <c r="E243" t="s">
        <v>2</v>
      </c>
      <c r="F243">
        <v>125000000</v>
      </c>
      <c r="G243">
        <v>2011</v>
      </c>
      <c r="H243">
        <v>7.5</v>
      </c>
    </row>
    <row r="244" spans="1:8" x14ac:dyDescent="0.25">
      <c r="A244">
        <v>106</v>
      </c>
      <c r="B244">
        <v>163192114</v>
      </c>
      <c r="C244" t="s">
        <v>214</v>
      </c>
      <c r="D244" t="s">
        <v>1</v>
      </c>
      <c r="E244" t="s">
        <v>2</v>
      </c>
      <c r="F244">
        <v>125000000</v>
      </c>
      <c r="G244">
        <v>2010</v>
      </c>
      <c r="H244">
        <v>5.8</v>
      </c>
    </row>
    <row r="245" spans="1:8" x14ac:dyDescent="0.25">
      <c r="A245">
        <v>135</v>
      </c>
      <c r="B245">
        <v>113165635</v>
      </c>
      <c r="C245" t="s">
        <v>217</v>
      </c>
      <c r="D245" t="s">
        <v>1</v>
      </c>
      <c r="E245" t="s">
        <v>2</v>
      </c>
      <c r="F245">
        <v>125000000</v>
      </c>
      <c r="G245">
        <v>2012</v>
      </c>
      <c r="H245">
        <v>6.7</v>
      </c>
    </row>
    <row r="246" spans="1:8" x14ac:dyDescent="0.25">
      <c r="A246">
        <v>125</v>
      </c>
      <c r="B246">
        <v>107285004</v>
      </c>
      <c r="C246" t="s">
        <v>218</v>
      </c>
      <c r="D246" t="s">
        <v>1</v>
      </c>
      <c r="E246" t="s">
        <v>2</v>
      </c>
      <c r="F246">
        <v>125000000</v>
      </c>
      <c r="G246">
        <v>1997</v>
      </c>
      <c r="H246">
        <v>3.7</v>
      </c>
    </row>
    <row r="247" spans="1:8" x14ac:dyDescent="0.25">
      <c r="A247">
        <v>124</v>
      </c>
      <c r="B247">
        <v>186739919</v>
      </c>
      <c r="C247" t="s">
        <v>220</v>
      </c>
      <c r="D247" t="s">
        <v>1</v>
      </c>
      <c r="E247" t="s">
        <v>2</v>
      </c>
      <c r="F247">
        <v>125000000</v>
      </c>
      <c r="G247">
        <v>2004</v>
      </c>
      <c r="H247">
        <v>6.4</v>
      </c>
    </row>
    <row r="248" spans="1:8" x14ac:dyDescent="0.25">
      <c r="A248">
        <v>123</v>
      </c>
      <c r="B248">
        <v>215397307</v>
      </c>
      <c r="C248" t="s">
        <v>221</v>
      </c>
      <c r="D248" t="s">
        <v>1</v>
      </c>
      <c r="E248" t="s">
        <v>2</v>
      </c>
      <c r="F248">
        <v>125000000</v>
      </c>
      <c r="G248">
        <v>2000</v>
      </c>
      <c r="H248">
        <v>6.1</v>
      </c>
    </row>
    <row r="249" spans="1:8" x14ac:dyDescent="0.25">
      <c r="A249">
        <v>101</v>
      </c>
      <c r="B249">
        <v>190871240</v>
      </c>
      <c r="C249" t="s">
        <v>247</v>
      </c>
      <c r="D249" t="s">
        <v>1</v>
      </c>
      <c r="E249" t="s">
        <v>2</v>
      </c>
      <c r="F249">
        <v>125000000</v>
      </c>
      <c r="G249">
        <v>2014</v>
      </c>
      <c r="H249">
        <v>5.9</v>
      </c>
    </row>
    <row r="250" spans="1:8" x14ac:dyDescent="0.25">
      <c r="A250">
        <v>106</v>
      </c>
      <c r="B250">
        <v>163192114</v>
      </c>
      <c r="C250" t="s">
        <v>214</v>
      </c>
      <c r="D250" t="s">
        <v>1</v>
      </c>
      <c r="E250" t="s">
        <v>2</v>
      </c>
      <c r="F250">
        <v>125000000</v>
      </c>
      <c r="G250">
        <v>2010</v>
      </c>
      <c r="H250">
        <v>5.8</v>
      </c>
    </row>
    <row r="251" spans="1:8" x14ac:dyDescent="0.25">
      <c r="A251">
        <v>101</v>
      </c>
      <c r="B251">
        <v>190871240</v>
      </c>
      <c r="C251" t="s">
        <v>247</v>
      </c>
      <c r="D251" t="s">
        <v>1</v>
      </c>
      <c r="E251" t="s">
        <v>2</v>
      </c>
      <c r="F251">
        <v>125000000</v>
      </c>
      <c r="G251">
        <v>2014</v>
      </c>
      <c r="H251">
        <v>5.9</v>
      </c>
    </row>
    <row r="252" spans="1:8" x14ac:dyDescent="0.25">
      <c r="A252">
        <v>110</v>
      </c>
      <c r="B252">
        <v>260031035</v>
      </c>
      <c r="C252" t="s">
        <v>219</v>
      </c>
      <c r="D252" t="s">
        <v>1</v>
      </c>
      <c r="E252" t="s">
        <v>2</v>
      </c>
      <c r="F252">
        <v>123000000</v>
      </c>
      <c r="G252">
        <v>2000</v>
      </c>
      <c r="H252">
        <v>6</v>
      </c>
    </row>
    <row r="253" spans="1:8" x14ac:dyDescent="0.25">
      <c r="A253">
        <v>115</v>
      </c>
      <c r="B253">
        <v>292298923</v>
      </c>
      <c r="C253" t="s">
        <v>180</v>
      </c>
      <c r="D253" t="s">
        <v>1</v>
      </c>
      <c r="E253" t="s">
        <v>2</v>
      </c>
      <c r="F253">
        <v>120000000</v>
      </c>
      <c r="G253">
        <v>2012</v>
      </c>
      <c r="H253">
        <v>5.5</v>
      </c>
    </row>
    <row r="254" spans="1:8" x14ac:dyDescent="0.25">
      <c r="A254">
        <v>115</v>
      </c>
      <c r="B254">
        <v>292298923</v>
      </c>
      <c r="C254" t="s">
        <v>180</v>
      </c>
      <c r="D254" t="s">
        <v>1</v>
      </c>
      <c r="E254" t="s">
        <v>2</v>
      </c>
      <c r="F254">
        <v>120000000</v>
      </c>
      <c r="G254">
        <v>2012</v>
      </c>
      <c r="H254">
        <v>5.5</v>
      </c>
    </row>
    <row r="255" spans="1:8" x14ac:dyDescent="0.25">
      <c r="A255">
        <v>127</v>
      </c>
      <c r="B255">
        <v>124976634</v>
      </c>
      <c r="C255" t="s">
        <v>224</v>
      </c>
      <c r="D255" t="s">
        <v>1</v>
      </c>
      <c r="E255" t="s">
        <v>2</v>
      </c>
      <c r="F255">
        <v>120000000</v>
      </c>
      <c r="G255">
        <v>2012</v>
      </c>
      <c r="H255">
        <v>8</v>
      </c>
    </row>
    <row r="256" spans="1:8" x14ac:dyDescent="0.25">
      <c r="A256">
        <v>123</v>
      </c>
      <c r="B256">
        <v>108521835</v>
      </c>
      <c r="C256" t="s">
        <v>226</v>
      </c>
      <c r="D256" t="s">
        <v>1</v>
      </c>
      <c r="E256" t="s">
        <v>5</v>
      </c>
      <c r="F256">
        <v>120000000</v>
      </c>
      <c r="G256">
        <v>2016</v>
      </c>
      <c r="H256">
        <v>7.1</v>
      </c>
    </row>
    <row r="257" spans="1:8" x14ac:dyDescent="0.25">
      <c r="A257">
        <v>107</v>
      </c>
      <c r="B257">
        <v>100685880</v>
      </c>
      <c r="C257" t="s">
        <v>227</v>
      </c>
      <c r="D257" t="s">
        <v>1</v>
      </c>
      <c r="E257" t="s">
        <v>2</v>
      </c>
      <c r="F257">
        <v>120000000</v>
      </c>
      <c r="G257">
        <v>2003</v>
      </c>
      <c r="H257">
        <v>4.8</v>
      </c>
    </row>
    <row r="258" spans="1:8" x14ac:dyDescent="0.25">
      <c r="A258">
        <v>77</v>
      </c>
      <c r="B258">
        <v>64736114</v>
      </c>
      <c r="C258" t="s">
        <v>229</v>
      </c>
      <c r="D258" t="s">
        <v>1</v>
      </c>
      <c r="E258" t="s">
        <v>2</v>
      </c>
      <c r="F258">
        <v>120000000</v>
      </c>
      <c r="G258">
        <v>2002</v>
      </c>
      <c r="H258">
        <v>5.4</v>
      </c>
    </row>
    <row r="259" spans="1:8" x14ac:dyDescent="0.25">
      <c r="A259">
        <v>135</v>
      </c>
      <c r="B259">
        <v>43929341</v>
      </c>
      <c r="C259" t="s">
        <v>233</v>
      </c>
      <c r="D259" t="s">
        <v>1</v>
      </c>
      <c r="E259" t="s">
        <v>2</v>
      </c>
      <c r="F259">
        <v>120000000</v>
      </c>
      <c r="G259">
        <v>2008</v>
      </c>
      <c r="H259">
        <v>6.1</v>
      </c>
    </row>
    <row r="260" spans="1:8" x14ac:dyDescent="0.25">
      <c r="A260">
        <v>121</v>
      </c>
      <c r="B260">
        <v>30212620</v>
      </c>
      <c r="C260" t="s">
        <v>234</v>
      </c>
      <c r="D260" t="s">
        <v>1</v>
      </c>
      <c r="E260" t="s">
        <v>2</v>
      </c>
      <c r="F260">
        <v>120000000</v>
      </c>
      <c r="G260">
        <v>2010</v>
      </c>
      <c r="H260">
        <v>5.3</v>
      </c>
    </row>
    <row r="261" spans="1:8" x14ac:dyDescent="0.25">
      <c r="A261">
        <v>124</v>
      </c>
      <c r="B261">
        <v>89021735</v>
      </c>
      <c r="C261" t="s">
        <v>236</v>
      </c>
      <c r="D261" t="s">
        <v>1</v>
      </c>
      <c r="E261" t="s">
        <v>2</v>
      </c>
      <c r="F261">
        <v>120000000</v>
      </c>
      <c r="G261">
        <v>2013</v>
      </c>
      <c r="H261">
        <v>7</v>
      </c>
    </row>
    <row r="262" spans="1:8" x14ac:dyDescent="0.25">
      <c r="A262">
        <v>138</v>
      </c>
      <c r="B262">
        <v>132550960</v>
      </c>
      <c r="C262" t="s">
        <v>240</v>
      </c>
      <c r="D262" t="s">
        <v>1</v>
      </c>
      <c r="E262" t="s">
        <v>2</v>
      </c>
      <c r="F262">
        <v>120000000</v>
      </c>
      <c r="G262">
        <v>2013</v>
      </c>
      <c r="H262">
        <v>6.7</v>
      </c>
    </row>
    <row r="263" spans="1:8" x14ac:dyDescent="0.25">
      <c r="A263">
        <v>100</v>
      </c>
      <c r="B263">
        <v>56114221</v>
      </c>
      <c r="C263" t="s">
        <v>251</v>
      </c>
      <c r="D263" t="s">
        <v>1</v>
      </c>
      <c r="E263" t="s">
        <v>2</v>
      </c>
      <c r="F263">
        <v>120000000</v>
      </c>
      <c r="G263">
        <v>2015</v>
      </c>
      <c r="H263">
        <v>4.3</v>
      </c>
    </row>
    <row r="264" spans="1:8" x14ac:dyDescent="0.25">
      <c r="A264">
        <v>126</v>
      </c>
      <c r="B264">
        <v>186336103</v>
      </c>
      <c r="C264" t="s">
        <v>257</v>
      </c>
      <c r="D264" t="s">
        <v>1</v>
      </c>
      <c r="E264" t="s">
        <v>2</v>
      </c>
      <c r="F264">
        <v>120000000</v>
      </c>
      <c r="G264">
        <v>2005</v>
      </c>
      <c r="H264">
        <v>6.5</v>
      </c>
    </row>
    <row r="265" spans="1:8" x14ac:dyDescent="0.25">
      <c r="A265">
        <v>119</v>
      </c>
      <c r="B265">
        <v>98780042</v>
      </c>
      <c r="C265" t="s">
        <v>261</v>
      </c>
      <c r="D265" t="s">
        <v>1</v>
      </c>
      <c r="E265" t="s">
        <v>2</v>
      </c>
      <c r="F265">
        <v>120000000</v>
      </c>
      <c r="G265">
        <v>2011</v>
      </c>
      <c r="H265">
        <v>5.8</v>
      </c>
    </row>
    <row r="266" spans="1:8" x14ac:dyDescent="0.25">
      <c r="A266">
        <v>115</v>
      </c>
      <c r="B266">
        <v>144795350</v>
      </c>
      <c r="C266" t="s">
        <v>275</v>
      </c>
      <c r="D266" t="s">
        <v>1</v>
      </c>
      <c r="E266" t="s">
        <v>2</v>
      </c>
      <c r="F266">
        <v>120000000</v>
      </c>
      <c r="G266">
        <v>2004</v>
      </c>
      <c r="H266">
        <v>7.1</v>
      </c>
    </row>
    <row r="267" spans="1:8" x14ac:dyDescent="0.25">
      <c r="A267">
        <v>95</v>
      </c>
      <c r="B267">
        <v>84037039</v>
      </c>
      <c r="C267" t="s">
        <v>366</v>
      </c>
      <c r="D267" t="s">
        <v>1</v>
      </c>
      <c r="E267" t="s">
        <v>2</v>
      </c>
      <c r="F267">
        <v>120000000</v>
      </c>
      <c r="G267">
        <v>2001</v>
      </c>
      <c r="H267">
        <v>6.8</v>
      </c>
    </row>
    <row r="268" spans="1:8" x14ac:dyDescent="0.25">
      <c r="A268">
        <v>100</v>
      </c>
      <c r="B268">
        <v>56114221</v>
      </c>
      <c r="C268" t="s">
        <v>251</v>
      </c>
      <c r="D268" t="s">
        <v>1</v>
      </c>
      <c r="E268" t="s">
        <v>2</v>
      </c>
      <c r="F268">
        <v>120000000</v>
      </c>
      <c r="G268">
        <v>2015</v>
      </c>
      <c r="H268">
        <v>4.3</v>
      </c>
    </row>
    <row r="269" spans="1:8" x14ac:dyDescent="0.25">
      <c r="A269">
        <v>117</v>
      </c>
      <c r="B269">
        <v>244052771</v>
      </c>
      <c r="C269" t="s">
        <v>569</v>
      </c>
      <c r="D269" t="s">
        <v>1</v>
      </c>
      <c r="E269" t="s">
        <v>2</v>
      </c>
      <c r="F269">
        <v>120000000</v>
      </c>
      <c r="G269">
        <v>2006</v>
      </c>
      <c r="H269">
        <v>7.2</v>
      </c>
    </row>
    <row r="270" spans="1:8" x14ac:dyDescent="0.25">
      <c r="A270">
        <v>95</v>
      </c>
      <c r="B270">
        <v>162792677</v>
      </c>
      <c r="C270" t="s">
        <v>1051</v>
      </c>
      <c r="D270" t="s">
        <v>1</v>
      </c>
      <c r="E270" t="s">
        <v>2</v>
      </c>
      <c r="F270">
        <v>120000000</v>
      </c>
      <c r="G270">
        <v>1998</v>
      </c>
      <c r="H270">
        <v>7.2</v>
      </c>
    </row>
    <row r="271" spans="1:8" x14ac:dyDescent="0.25">
      <c r="A271">
        <v>117</v>
      </c>
      <c r="B271">
        <v>76418654</v>
      </c>
      <c r="C271" t="s">
        <v>235</v>
      </c>
      <c r="D271" t="s">
        <v>1</v>
      </c>
      <c r="E271" t="s">
        <v>2</v>
      </c>
      <c r="F271">
        <v>117000000</v>
      </c>
      <c r="G271">
        <v>2010</v>
      </c>
      <c r="H271">
        <v>6.3</v>
      </c>
    </row>
    <row r="272" spans="1:8" x14ac:dyDescent="0.25">
      <c r="A272">
        <v>108</v>
      </c>
      <c r="B272">
        <v>67155742</v>
      </c>
      <c r="C272" t="s">
        <v>249</v>
      </c>
      <c r="D272" t="s">
        <v>1</v>
      </c>
      <c r="E272" t="s">
        <v>2</v>
      </c>
      <c r="F272">
        <v>116000000</v>
      </c>
      <c r="G272">
        <v>1997</v>
      </c>
      <c r="H272">
        <v>5.8</v>
      </c>
    </row>
    <row r="273" spans="1:8" x14ac:dyDescent="0.25">
      <c r="A273">
        <v>109</v>
      </c>
      <c r="B273">
        <v>93050117</v>
      </c>
      <c r="C273" t="s">
        <v>230</v>
      </c>
      <c r="D273" t="s">
        <v>1</v>
      </c>
      <c r="E273" t="s">
        <v>2</v>
      </c>
      <c r="F273">
        <v>115000000</v>
      </c>
      <c r="G273">
        <v>2013</v>
      </c>
      <c r="H273">
        <v>6.6</v>
      </c>
    </row>
    <row r="274" spans="1:8" x14ac:dyDescent="0.25">
      <c r="A274">
        <v>142</v>
      </c>
      <c r="B274">
        <v>310675583</v>
      </c>
      <c r="C274" t="s">
        <v>238</v>
      </c>
      <c r="D274" t="s">
        <v>1</v>
      </c>
      <c r="E274" t="s">
        <v>2</v>
      </c>
      <c r="F274">
        <v>115000000</v>
      </c>
      <c r="G274">
        <v>2002</v>
      </c>
      <c r="H274">
        <v>6.7</v>
      </c>
    </row>
    <row r="275" spans="1:8" x14ac:dyDescent="0.25">
      <c r="A275">
        <v>92</v>
      </c>
      <c r="B275">
        <v>289907418</v>
      </c>
      <c r="C275" t="s">
        <v>239</v>
      </c>
      <c r="D275" t="s">
        <v>1</v>
      </c>
      <c r="E275" t="s">
        <v>2</v>
      </c>
      <c r="F275">
        <v>115000000</v>
      </c>
      <c r="G275">
        <v>2001</v>
      </c>
      <c r="H275">
        <v>8.1</v>
      </c>
    </row>
    <row r="276" spans="1:8" x14ac:dyDescent="0.25">
      <c r="A276">
        <v>136</v>
      </c>
      <c r="B276">
        <v>474544677</v>
      </c>
      <c r="C276" t="s">
        <v>241</v>
      </c>
      <c r="D276" t="s">
        <v>1</v>
      </c>
      <c r="E276" t="s">
        <v>2</v>
      </c>
      <c r="F276">
        <v>115000000</v>
      </c>
      <c r="G276">
        <v>1999</v>
      </c>
      <c r="H276">
        <v>6.5</v>
      </c>
    </row>
    <row r="277" spans="1:8" x14ac:dyDescent="0.25">
      <c r="A277">
        <v>153</v>
      </c>
      <c r="B277">
        <v>40911830</v>
      </c>
      <c r="C277" t="s">
        <v>245</v>
      </c>
      <c r="D277" t="s">
        <v>1</v>
      </c>
      <c r="E277" t="s">
        <v>2</v>
      </c>
      <c r="F277">
        <v>115000000</v>
      </c>
      <c r="G277">
        <v>2002</v>
      </c>
      <c r="H277">
        <v>6</v>
      </c>
    </row>
    <row r="278" spans="1:8" x14ac:dyDescent="0.25">
      <c r="A278">
        <v>120</v>
      </c>
      <c r="B278">
        <v>47952020</v>
      </c>
      <c r="C278" t="s">
        <v>246</v>
      </c>
      <c r="D278" t="s">
        <v>1</v>
      </c>
      <c r="E278" t="s">
        <v>2</v>
      </c>
      <c r="F278">
        <v>115000000</v>
      </c>
      <c r="G278">
        <v>2016</v>
      </c>
      <c r="H278">
        <v>6.1</v>
      </c>
    </row>
    <row r="279" spans="1:8" x14ac:dyDescent="0.25">
      <c r="A279">
        <v>141</v>
      </c>
      <c r="B279">
        <v>146282411</v>
      </c>
      <c r="C279" t="s">
        <v>290</v>
      </c>
      <c r="D279" t="s">
        <v>1</v>
      </c>
      <c r="E279" t="s">
        <v>2</v>
      </c>
      <c r="F279">
        <v>115000000</v>
      </c>
      <c r="G279">
        <v>1994</v>
      </c>
      <c r="H279">
        <v>7.2</v>
      </c>
    </row>
    <row r="280" spans="1:8" x14ac:dyDescent="0.25">
      <c r="A280">
        <v>100</v>
      </c>
      <c r="B280">
        <v>131144183</v>
      </c>
      <c r="C280" t="s">
        <v>341</v>
      </c>
      <c r="D280" t="s">
        <v>1</v>
      </c>
      <c r="E280" t="s">
        <v>2</v>
      </c>
      <c r="F280">
        <v>115000000</v>
      </c>
      <c r="G280">
        <v>2001</v>
      </c>
      <c r="H280">
        <v>5.7</v>
      </c>
    </row>
    <row r="281" spans="1:8" x14ac:dyDescent="0.25">
      <c r="A281">
        <v>140</v>
      </c>
      <c r="B281">
        <v>380262555</v>
      </c>
      <c r="C281" t="s">
        <v>237</v>
      </c>
      <c r="D281" t="s">
        <v>1</v>
      </c>
      <c r="E281" t="s">
        <v>2</v>
      </c>
      <c r="F281">
        <v>113000000</v>
      </c>
      <c r="G281">
        <v>2005</v>
      </c>
      <c r="H281">
        <v>7.6</v>
      </c>
    </row>
    <row r="282" spans="1:8" x14ac:dyDescent="0.25">
      <c r="A282">
        <v>85</v>
      </c>
      <c r="B282">
        <v>42776259</v>
      </c>
      <c r="C282" t="s">
        <v>260</v>
      </c>
      <c r="D282" t="s">
        <v>1</v>
      </c>
      <c r="E282" t="s">
        <v>2</v>
      </c>
      <c r="F282">
        <v>112000000</v>
      </c>
      <c r="G282">
        <v>2010</v>
      </c>
      <c r="H282">
        <v>4.9000000000000004</v>
      </c>
    </row>
    <row r="283" spans="1:8" x14ac:dyDescent="0.25">
      <c r="A283">
        <v>115</v>
      </c>
      <c r="B283">
        <v>227137090</v>
      </c>
      <c r="C283" t="s">
        <v>188</v>
      </c>
      <c r="D283" t="s">
        <v>1</v>
      </c>
      <c r="E283" t="s">
        <v>2</v>
      </c>
      <c r="F283">
        <v>110000000</v>
      </c>
      <c r="G283">
        <v>2007</v>
      </c>
      <c r="H283">
        <v>8.1</v>
      </c>
    </row>
    <row r="284" spans="1:8" x14ac:dyDescent="0.25">
      <c r="A284">
        <v>101</v>
      </c>
      <c r="B284">
        <v>118311368</v>
      </c>
      <c r="C284" t="s">
        <v>196</v>
      </c>
      <c r="D284" t="s">
        <v>1</v>
      </c>
      <c r="E284" t="s">
        <v>2</v>
      </c>
      <c r="F284">
        <v>110000000</v>
      </c>
      <c r="G284">
        <v>2010</v>
      </c>
      <c r="H284">
        <v>6.4</v>
      </c>
    </row>
    <row r="285" spans="1:8" x14ac:dyDescent="0.25">
      <c r="A285">
        <v>134</v>
      </c>
      <c r="B285">
        <v>214948780</v>
      </c>
      <c r="C285" t="s">
        <v>211</v>
      </c>
      <c r="D285" t="s">
        <v>1</v>
      </c>
      <c r="E285" t="s">
        <v>38</v>
      </c>
      <c r="F285">
        <v>110000000</v>
      </c>
      <c r="G285">
        <v>2003</v>
      </c>
      <c r="H285">
        <v>7.5</v>
      </c>
    </row>
    <row r="286" spans="1:8" x14ac:dyDescent="0.25">
      <c r="A286">
        <v>123</v>
      </c>
      <c r="B286">
        <v>115802596</v>
      </c>
      <c r="C286" t="s">
        <v>225</v>
      </c>
      <c r="D286" t="s">
        <v>1</v>
      </c>
      <c r="E286" t="s">
        <v>2</v>
      </c>
      <c r="F286">
        <v>110000000</v>
      </c>
      <c r="G286">
        <v>2007</v>
      </c>
      <c r="H286">
        <v>5.2</v>
      </c>
    </row>
    <row r="287" spans="1:8" x14ac:dyDescent="0.25">
      <c r="A287">
        <v>108</v>
      </c>
      <c r="B287">
        <v>250863268</v>
      </c>
      <c r="C287" t="s">
        <v>252</v>
      </c>
      <c r="D287" t="s">
        <v>1</v>
      </c>
      <c r="E287" t="s">
        <v>2</v>
      </c>
      <c r="F287">
        <v>110000000</v>
      </c>
      <c r="G287">
        <v>2006</v>
      </c>
      <c r="H287">
        <v>6.4</v>
      </c>
    </row>
    <row r="288" spans="1:8" x14ac:dyDescent="0.25">
      <c r="A288">
        <v>114</v>
      </c>
      <c r="B288">
        <v>155181732</v>
      </c>
      <c r="C288" t="s">
        <v>253</v>
      </c>
      <c r="D288" t="s">
        <v>1</v>
      </c>
      <c r="E288" t="s">
        <v>2</v>
      </c>
      <c r="F288">
        <v>110000000</v>
      </c>
      <c r="G288">
        <v>2015</v>
      </c>
      <c r="H288">
        <v>6.1</v>
      </c>
    </row>
    <row r="289" spans="1:8" x14ac:dyDescent="0.25">
      <c r="A289">
        <v>119</v>
      </c>
      <c r="B289">
        <v>125332007</v>
      </c>
      <c r="C289" t="s">
        <v>254</v>
      </c>
      <c r="D289" t="s">
        <v>1</v>
      </c>
      <c r="E289" t="s">
        <v>5</v>
      </c>
      <c r="F289">
        <v>110000000</v>
      </c>
      <c r="G289">
        <v>1997</v>
      </c>
      <c r="H289">
        <v>6.5</v>
      </c>
    </row>
    <row r="290" spans="1:8" x14ac:dyDescent="0.25">
      <c r="A290">
        <v>142</v>
      </c>
      <c r="B290">
        <v>113330342</v>
      </c>
      <c r="C290" t="s">
        <v>255</v>
      </c>
      <c r="D290" t="s">
        <v>1</v>
      </c>
      <c r="E290" t="s">
        <v>2</v>
      </c>
      <c r="F290">
        <v>110000000</v>
      </c>
      <c r="G290">
        <v>2000</v>
      </c>
      <c r="H290">
        <v>7.1</v>
      </c>
    </row>
    <row r="291" spans="1:8" x14ac:dyDescent="0.25">
      <c r="A291">
        <v>125</v>
      </c>
      <c r="B291">
        <v>125531634</v>
      </c>
      <c r="C291" t="s">
        <v>256</v>
      </c>
      <c r="D291" t="s">
        <v>1</v>
      </c>
      <c r="E291" t="s">
        <v>2</v>
      </c>
      <c r="F291">
        <v>110000000</v>
      </c>
      <c r="G291">
        <v>2004</v>
      </c>
      <c r="H291">
        <v>6.4</v>
      </c>
    </row>
    <row r="292" spans="1:8" x14ac:dyDescent="0.25">
      <c r="A292">
        <v>119</v>
      </c>
      <c r="B292">
        <v>129995817</v>
      </c>
      <c r="C292" t="s">
        <v>258</v>
      </c>
      <c r="D292" t="s">
        <v>1</v>
      </c>
      <c r="E292" t="s">
        <v>2</v>
      </c>
      <c r="F292">
        <v>110000000</v>
      </c>
      <c r="G292">
        <v>2015</v>
      </c>
      <c r="H292">
        <v>6.3</v>
      </c>
    </row>
    <row r="293" spans="1:8" x14ac:dyDescent="0.25">
      <c r="A293">
        <v>170</v>
      </c>
      <c r="B293">
        <v>102608827</v>
      </c>
      <c r="C293" t="s">
        <v>259</v>
      </c>
      <c r="D293" t="s">
        <v>1</v>
      </c>
      <c r="E293" t="s">
        <v>2</v>
      </c>
      <c r="F293">
        <v>110000000</v>
      </c>
      <c r="G293">
        <v>2004</v>
      </c>
      <c r="H293">
        <v>7.5</v>
      </c>
    </row>
    <row r="294" spans="1:8" x14ac:dyDescent="0.25">
      <c r="A294">
        <v>102</v>
      </c>
      <c r="B294">
        <v>106369117</v>
      </c>
      <c r="C294" t="s">
        <v>262</v>
      </c>
      <c r="D294" t="s">
        <v>1</v>
      </c>
      <c r="E294" t="s">
        <v>2</v>
      </c>
      <c r="F294">
        <v>110000000</v>
      </c>
      <c r="G294">
        <v>2014</v>
      </c>
      <c r="H294">
        <v>6.2</v>
      </c>
    </row>
    <row r="295" spans="1:8" x14ac:dyDescent="0.25">
      <c r="A295">
        <v>103</v>
      </c>
      <c r="B295">
        <v>142614158</v>
      </c>
      <c r="C295" t="s">
        <v>263</v>
      </c>
      <c r="D295" t="s">
        <v>1</v>
      </c>
      <c r="E295" t="s">
        <v>2</v>
      </c>
      <c r="F295">
        <v>110000000</v>
      </c>
      <c r="G295">
        <v>2011</v>
      </c>
      <c r="H295">
        <v>5.5</v>
      </c>
    </row>
    <row r="296" spans="1:8" x14ac:dyDescent="0.25">
      <c r="A296">
        <v>76</v>
      </c>
      <c r="B296">
        <v>50026353</v>
      </c>
      <c r="C296" t="s">
        <v>264</v>
      </c>
      <c r="D296" t="s">
        <v>1</v>
      </c>
      <c r="E296" t="s">
        <v>2</v>
      </c>
      <c r="F296">
        <v>110000000</v>
      </c>
      <c r="G296">
        <v>2004</v>
      </c>
      <c r="H296">
        <v>5.4</v>
      </c>
    </row>
    <row r="297" spans="1:8" x14ac:dyDescent="0.25">
      <c r="A297">
        <v>120</v>
      </c>
      <c r="B297">
        <v>66002193</v>
      </c>
      <c r="C297" t="s">
        <v>265</v>
      </c>
      <c r="D297" t="s">
        <v>1</v>
      </c>
      <c r="E297" t="s">
        <v>2</v>
      </c>
      <c r="F297">
        <v>110000000</v>
      </c>
      <c r="G297">
        <v>2016</v>
      </c>
      <c r="H297">
        <v>5.8</v>
      </c>
    </row>
    <row r="298" spans="1:8" x14ac:dyDescent="0.25">
      <c r="A298">
        <v>127</v>
      </c>
      <c r="B298">
        <v>85463309</v>
      </c>
      <c r="C298" t="s">
        <v>266</v>
      </c>
      <c r="D298" t="s">
        <v>1</v>
      </c>
      <c r="E298" t="s">
        <v>2</v>
      </c>
      <c r="F298">
        <v>110000000</v>
      </c>
      <c r="G298">
        <v>2011</v>
      </c>
      <c r="H298">
        <v>7.1</v>
      </c>
    </row>
    <row r="299" spans="1:8" x14ac:dyDescent="0.25">
      <c r="A299">
        <v>114</v>
      </c>
      <c r="B299">
        <v>61656849</v>
      </c>
      <c r="C299" t="s">
        <v>269</v>
      </c>
      <c r="D299" t="s">
        <v>1</v>
      </c>
      <c r="E299" t="s">
        <v>2</v>
      </c>
      <c r="F299">
        <v>110000000</v>
      </c>
      <c r="G299">
        <v>2013</v>
      </c>
      <c r="H299">
        <v>6.7</v>
      </c>
    </row>
    <row r="300" spans="1:8" x14ac:dyDescent="0.25">
      <c r="A300">
        <v>129</v>
      </c>
      <c r="B300">
        <v>134520804</v>
      </c>
      <c r="C300" t="s">
        <v>270</v>
      </c>
      <c r="D300" t="s">
        <v>1</v>
      </c>
      <c r="E300" t="s">
        <v>2</v>
      </c>
      <c r="F300">
        <v>110000000</v>
      </c>
      <c r="G300">
        <v>2007</v>
      </c>
      <c r="H300">
        <v>7.2</v>
      </c>
    </row>
    <row r="301" spans="1:8" x14ac:dyDescent="0.25">
      <c r="A301">
        <v>120</v>
      </c>
      <c r="B301">
        <v>24004159</v>
      </c>
      <c r="C301" t="s">
        <v>272</v>
      </c>
      <c r="D301" t="s">
        <v>1</v>
      </c>
      <c r="E301" t="s">
        <v>2</v>
      </c>
      <c r="F301">
        <v>110000000</v>
      </c>
      <c r="G301">
        <v>2004</v>
      </c>
      <c r="H301">
        <v>5.8</v>
      </c>
    </row>
    <row r="302" spans="1:8" x14ac:dyDescent="0.25">
      <c r="A302">
        <v>120</v>
      </c>
      <c r="B302">
        <v>24004159</v>
      </c>
      <c r="C302" t="s">
        <v>272</v>
      </c>
      <c r="D302" t="s">
        <v>1</v>
      </c>
      <c r="E302" t="s">
        <v>2</v>
      </c>
      <c r="F302">
        <v>110000000</v>
      </c>
      <c r="G302">
        <v>2004</v>
      </c>
      <c r="H302">
        <v>5.8</v>
      </c>
    </row>
    <row r="303" spans="1:8" x14ac:dyDescent="0.25">
      <c r="A303">
        <v>82</v>
      </c>
      <c r="B303">
        <v>100446895</v>
      </c>
      <c r="C303" t="s">
        <v>274</v>
      </c>
      <c r="D303" t="s">
        <v>1</v>
      </c>
      <c r="E303" t="s">
        <v>2</v>
      </c>
      <c r="F303">
        <v>109000000</v>
      </c>
      <c r="G303">
        <v>2003</v>
      </c>
      <c r="H303">
        <v>3.8</v>
      </c>
    </row>
    <row r="304" spans="1:8" x14ac:dyDescent="0.25">
      <c r="A304">
        <v>151</v>
      </c>
      <c r="B304">
        <v>228430993</v>
      </c>
      <c r="C304" t="s">
        <v>279</v>
      </c>
      <c r="D304" t="s">
        <v>1</v>
      </c>
      <c r="E304" t="s">
        <v>2</v>
      </c>
      <c r="F304">
        <v>108000000</v>
      </c>
      <c r="G304">
        <v>2015</v>
      </c>
      <c r="H304">
        <v>8.1</v>
      </c>
    </row>
    <row r="305" spans="1:8" x14ac:dyDescent="0.25">
      <c r="A305">
        <v>165</v>
      </c>
      <c r="B305">
        <v>58183966</v>
      </c>
      <c r="C305" t="s">
        <v>273</v>
      </c>
      <c r="D305" t="s">
        <v>1</v>
      </c>
      <c r="E305" t="s">
        <v>2</v>
      </c>
      <c r="F305">
        <v>107000000</v>
      </c>
      <c r="G305">
        <v>2001</v>
      </c>
      <c r="H305">
        <v>6.8</v>
      </c>
    </row>
    <row r="306" spans="1:8" x14ac:dyDescent="0.25">
      <c r="A306">
        <v>137</v>
      </c>
      <c r="B306">
        <v>22406362</v>
      </c>
      <c r="C306" t="s">
        <v>347</v>
      </c>
      <c r="D306" t="s">
        <v>1</v>
      </c>
      <c r="E306" t="s">
        <v>2</v>
      </c>
      <c r="F306">
        <v>107000000</v>
      </c>
      <c r="G306">
        <v>2004</v>
      </c>
      <c r="H306">
        <v>6</v>
      </c>
    </row>
    <row r="307" spans="1:8" x14ac:dyDescent="0.25">
      <c r="A307">
        <v>137</v>
      </c>
      <c r="B307">
        <v>22406362</v>
      </c>
      <c r="C307" t="s">
        <v>347</v>
      </c>
      <c r="D307" t="s">
        <v>1</v>
      </c>
      <c r="E307" t="s">
        <v>2</v>
      </c>
      <c r="F307">
        <v>107000000</v>
      </c>
      <c r="G307">
        <v>2004</v>
      </c>
      <c r="H307">
        <v>6</v>
      </c>
    </row>
    <row r="308" spans="1:8" x14ac:dyDescent="0.25">
      <c r="A308">
        <v>143</v>
      </c>
      <c r="B308">
        <v>144812796</v>
      </c>
      <c r="C308" t="s">
        <v>54</v>
      </c>
      <c r="D308" t="s">
        <v>1</v>
      </c>
      <c r="E308" t="s">
        <v>55</v>
      </c>
      <c r="F308">
        <v>105000000</v>
      </c>
      <c r="G308">
        <v>2013</v>
      </c>
      <c r="H308">
        <v>7.3</v>
      </c>
    </row>
    <row r="309" spans="1:8" x14ac:dyDescent="0.25">
      <c r="A309">
        <v>134</v>
      </c>
      <c r="B309">
        <v>57637485</v>
      </c>
      <c r="C309" t="s">
        <v>231</v>
      </c>
      <c r="D309" t="s">
        <v>1</v>
      </c>
      <c r="E309" t="s">
        <v>2</v>
      </c>
      <c r="F309">
        <v>105000000</v>
      </c>
      <c r="G309">
        <v>2004</v>
      </c>
      <c r="H309">
        <v>6.7</v>
      </c>
    </row>
    <row r="310" spans="1:8" x14ac:dyDescent="0.25">
      <c r="A310">
        <v>105</v>
      </c>
      <c r="B310">
        <v>71017784</v>
      </c>
      <c r="C310" t="s">
        <v>267</v>
      </c>
      <c r="D310" t="s">
        <v>1</v>
      </c>
      <c r="E310" t="s">
        <v>2</v>
      </c>
      <c r="F310">
        <v>105000000</v>
      </c>
      <c r="G310">
        <v>2013</v>
      </c>
      <c r="H310">
        <v>5.4</v>
      </c>
    </row>
    <row r="311" spans="1:8" x14ac:dyDescent="0.25">
      <c r="A311">
        <v>97</v>
      </c>
      <c r="B311">
        <v>104374107</v>
      </c>
      <c r="C311" t="s">
        <v>278</v>
      </c>
      <c r="D311" t="s">
        <v>1</v>
      </c>
      <c r="E311" t="s">
        <v>2</v>
      </c>
      <c r="F311">
        <v>105000000</v>
      </c>
      <c r="G311">
        <v>2009</v>
      </c>
      <c r="H311">
        <v>7.1</v>
      </c>
    </row>
    <row r="312" spans="1:8" x14ac:dyDescent="0.25">
      <c r="A312">
        <v>129</v>
      </c>
      <c r="B312">
        <v>54700065</v>
      </c>
      <c r="C312" t="s">
        <v>308</v>
      </c>
      <c r="D312" t="s">
        <v>1</v>
      </c>
      <c r="E312" t="s">
        <v>2</v>
      </c>
      <c r="F312">
        <v>105000000</v>
      </c>
      <c r="G312">
        <v>1997</v>
      </c>
      <c r="H312">
        <v>7.2</v>
      </c>
    </row>
    <row r="313" spans="1:8" x14ac:dyDescent="0.25">
      <c r="A313">
        <v>114</v>
      </c>
      <c r="B313">
        <v>28772222</v>
      </c>
      <c r="C313" t="s">
        <v>316</v>
      </c>
      <c r="D313" t="s">
        <v>1</v>
      </c>
      <c r="E313" t="s">
        <v>2</v>
      </c>
      <c r="F313">
        <v>105000000</v>
      </c>
      <c r="G313">
        <v>2015</v>
      </c>
      <c r="H313">
        <v>5.3</v>
      </c>
    </row>
    <row r="314" spans="1:8" x14ac:dyDescent="0.25">
      <c r="A314">
        <v>83</v>
      </c>
      <c r="B314">
        <v>90646554</v>
      </c>
      <c r="C314" t="s">
        <v>704</v>
      </c>
      <c r="D314" t="s">
        <v>1</v>
      </c>
      <c r="E314" t="s">
        <v>2</v>
      </c>
      <c r="F314">
        <v>105000000</v>
      </c>
      <c r="G314">
        <v>1998</v>
      </c>
      <c r="H314">
        <v>6.6</v>
      </c>
    </row>
    <row r="315" spans="1:8" x14ac:dyDescent="0.25">
      <c r="A315">
        <v>114</v>
      </c>
      <c r="B315">
        <v>28772222</v>
      </c>
      <c r="C315" t="s">
        <v>316</v>
      </c>
      <c r="D315" t="s">
        <v>1</v>
      </c>
      <c r="E315" t="s">
        <v>2</v>
      </c>
      <c r="F315">
        <v>105000000</v>
      </c>
      <c r="G315">
        <v>2015</v>
      </c>
      <c r="H315">
        <v>5.3</v>
      </c>
    </row>
    <row r="316" spans="1:8" x14ac:dyDescent="0.25">
      <c r="A316">
        <v>143</v>
      </c>
      <c r="B316">
        <v>144812796</v>
      </c>
      <c r="C316" t="s">
        <v>54</v>
      </c>
      <c r="D316" t="s">
        <v>1</v>
      </c>
      <c r="E316" t="s">
        <v>55</v>
      </c>
      <c r="F316">
        <v>105000000</v>
      </c>
      <c r="G316">
        <v>2013</v>
      </c>
      <c r="H316">
        <v>7.3</v>
      </c>
    </row>
    <row r="317" spans="1:8" x14ac:dyDescent="0.25">
      <c r="A317">
        <v>101</v>
      </c>
      <c r="B317">
        <v>131536019</v>
      </c>
      <c r="C317" t="s">
        <v>210</v>
      </c>
      <c r="D317" t="s">
        <v>1</v>
      </c>
      <c r="E317" t="s">
        <v>2</v>
      </c>
      <c r="F317">
        <v>103000000</v>
      </c>
      <c r="G317">
        <v>2014</v>
      </c>
      <c r="H317">
        <v>6.4</v>
      </c>
    </row>
    <row r="318" spans="1:8" x14ac:dyDescent="0.25">
      <c r="A318">
        <v>171</v>
      </c>
      <c r="B318">
        <v>187670866</v>
      </c>
      <c r="C318" t="s">
        <v>282</v>
      </c>
      <c r="D318" t="s">
        <v>1</v>
      </c>
      <c r="E318" t="s">
        <v>2</v>
      </c>
      <c r="F318">
        <v>103000000</v>
      </c>
      <c r="G318">
        <v>2000</v>
      </c>
      <c r="H318">
        <v>8.5</v>
      </c>
    </row>
    <row r="319" spans="1:8" x14ac:dyDescent="0.25">
      <c r="A319">
        <v>132</v>
      </c>
      <c r="B319">
        <v>274299</v>
      </c>
      <c r="C319" t="s">
        <v>2558</v>
      </c>
      <c r="D319" t="s">
        <v>1</v>
      </c>
      <c r="E319" t="s">
        <v>244</v>
      </c>
      <c r="F319">
        <v>103000000</v>
      </c>
      <c r="G319">
        <v>2002</v>
      </c>
      <c r="H319">
        <v>7.3</v>
      </c>
    </row>
    <row r="320" spans="1:8" x14ac:dyDescent="0.25">
      <c r="A320">
        <v>145</v>
      </c>
      <c r="B320">
        <v>132014112</v>
      </c>
      <c r="C320" t="s">
        <v>283</v>
      </c>
      <c r="D320" t="s">
        <v>1</v>
      </c>
      <c r="E320" t="s">
        <v>2</v>
      </c>
      <c r="F320">
        <v>102000000</v>
      </c>
      <c r="G320">
        <v>2002</v>
      </c>
      <c r="H320">
        <v>7.7</v>
      </c>
    </row>
    <row r="321" spans="1:8" x14ac:dyDescent="0.25">
      <c r="A321">
        <v>153</v>
      </c>
      <c r="B321">
        <v>204843350</v>
      </c>
      <c r="C321" t="s">
        <v>287</v>
      </c>
      <c r="D321" t="s">
        <v>1</v>
      </c>
      <c r="E321" t="s">
        <v>2</v>
      </c>
      <c r="F321">
        <v>102000000</v>
      </c>
      <c r="G321">
        <v>1991</v>
      </c>
      <c r="H321">
        <v>8.5</v>
      </c>
    </row>
    <row r="322" spans="1:8" x14ac:dyDescent="0.25">
      <c r="A322">
        <v>172</v>
      </c>
      <c r="B322">
        <v>27098580</v>
      </c>
      <c r="C322" t="s">
        <v>309</v>
      </c>
      <c r="D322" t="s">
        <v>1</v>
      </c>
      <c r="E322" t="s">
        <v>119</v>
      </c>
      <c r="F322">
        <v>102000000</v>
      </c>
      <c r="G322">
        <v>2012</v>
      </c>
      <c r="H322">
        <v>7.5</v>
      </c>
    </row>
    <row r="323" spans="1:8" x14ac:dyDescent="0.25">
      <c r="A323">
        <v>113</v>
      </c>
      <c r="B323">
        <v>79711678</v>
      </c>
      <c r="C323" t="s">
        <v>140</v>
      </c>
      <c r="D323" t="s">
        <v>1</v>
      </c>
      <c r="E323" t="s">
        <v>2</v>
      </c>
      <c r="F323">
        <v>100000000</v>
      </c>
      <c r="G323">
        <v>2012</v>
      </c>
      <c r="H323">
        <v>6.2</v>
      </c>
    </row>
    <row r="324" spans="1:8" x14ac:dyDescent="0.25">
      <c r="A324">
        <v>90</v>
      </c>
      <c r="B324">
        <v>110332737</v>
      </c>
      <c r="C324" t="s">
        <v>163</v>
      </c>
      <c r="D324" t="s">
        <v>1</v>
      </c>
      <c r="E324" t="s">
        <v>2</v>
      </c>
      <c r="F324">
        <v>100000000</v>
      </c>
      <c r="G324">
        <v>2005</v>
      </c>
      <c r="H324">
        <v>6.1</v>
      </c>
    </row>
    <row r="325" spans="1:8" x14ac:dyDescent="0.25">
      <c r="A325">
        <v>117</v>
      </c>
      <c r="B325">
        <v>58607007</v>
      </c>
      <c r="C325" t="s">
        <v>232</v>
      </c>
      <c r="D325" t="s">
        <v>1</v>
      </c>
      <c r="E325" t="s">
        <v>2</v>
      </c>
      <c r="F325">
        <v>100000000</v>
      </c>
      <c r="G325">
        <v>2014</v>
      </c>
      <c r="H325">
        <v>6.2</v>
      </c>
    </row>
    <row r="326" spans="1:8" x14ac:dyDescent="0.25">
      <c r="A326">
        <v>91</v>
      </c>
      <c r="B326">
        <v>274084951</v>
      </c>
      <c r="C326" t="s">
        <v>248</v>
      </c>
      <c r="D326" t="s">
        <v>1</v>
      </c>
      <c r="E326" t="s">
        <v>5</v>
      </c>
      <c r="F326">
        <v>100000000</v>
      </c>
      <c r="G326">
        <v>2013</v>
      </c>
      <c r="H326">
        <v>7.8</v>
      </c>
    </row>
    <row r="327" spans="1:8" x14ac:dyDescent="0.25">
      <c r="A327">
        <v>174</v>
      </c>
      <c r="B327">
        <v>261970615</v>
      </c>
      <c r="C327" t="s">
        <v>284</v>
      </c>
      <c r="D327" t="s">
        <v>1</v>
      </c>
      <c r="E327" t="s">
        <v>5</v>
      </c>
      <c r="F327">
        <v>100000000</v>
      </c>
      <c r="G327">
        <v>2002</v>
      </c>
      <c r="H327">
        <v>7.4</v>
      </c>
    </row>
    <row r="328" spans="1:8" x14ac:dyDescent="0.25">
      <c r="A328">
        <v>119</v>
      </c>
      <c r="B328">
        <v>180011740</v>
      </c>
      <c r="C328" t="s">
        <v>286</v>
      </c>
      <c r="D328" t="s">
        <v>1</v>
      </c>
      <c r="E328" t="s">
        <v>2</v>
      </c>
      <c r="F328">
        <v>100000000</v>
      </c>
      <c r="G328">
        <v>2001</v>
      </c>
      <c r="H328">
        <v>5.7</v>
      </c>
    </row>
    <row r="329" spans="1:8" x14ac:dyDescent="0.25">
      <c r="A329">
        <v>140</v>
      </c>
      <c r="B329">
        <v>97030725</v>
      </c>
      <c r="C329" t="s">
        <v>288</v>
      </c>
      <c r="D329" t="s">
        <v>1</v>
      </c>
      <c r="E329" t="s">
        <v>2</v>
      </c>
      <c r="F329">
        <v>100000000</v>
      </c>
      <c r="G329">
        <v>2009</v>
      </c>
      <c r="H329">
        <v>7</v>
      </c>
    </row>
    <row r="330" spans="1:8" x14ac:dyDescent="0.25">
      <c r="A330">
        <v>176</v>
      </c>
      <c r="B330">
        <v>130127620</v>
      </c>
      <c r="C330" t="s">
        <v>289</v>
      </c>
      <c r="D330" t="s">
        <v>1</v>
      </c>
      <c r="E330" t="s">
        <v>2</v>
      </c>
      <c r="F330">
        <v>100000000</v>
      </c>
      <c r="G330">
        <v>2007</v>
      </c>
      <c r="H330">
        <v>7.8</v>
      </c>
    </row>
    <row r="331" spans="1:8" x14ac:dyDescent="0.25">
      <c r="A331">
        <v>106</v>
      </c>
      <c r="B331">
        <v>65452312</v>
      </c>
      <c r="C331" t="s">
        <v>291</v>
      </c>
      <c r="D331" t="s">
        <v>1</v>
      </c>
      <c r="E331" t="s">
        <v>2</v>
      </c>
      <c r="F331">
        <v>100000000</v>
      </c>
      <c r="G331">
        <v>2009</v>
      </c>
      <c r="H331">
        <v>6.4</v>
      </c>
    </row>
    <row r="332" spans="1:8" x14ac:dyDescent="0.25">
      <c r="A332">
        <v>98</v>
      </c>
      <c r="B332">
        <v>148383780</v>
      </c>
      <c r="C332" t="s">
        <v>292</v>
      </c>
      <c r="D332" t="s">
        <v>1</v>
      </c>
      <c r="E332" t="s">
        <v>2</v>
      </c>
      <c r="F332">
        <v>100000000</v>
      </c>
      <c r="G332">
        <v>2010</v>
      </c>
      <c r="H332">
        <v>5.5</v>
      </c>
    </row>
    <row r="333" spans="1:8" x14ac:dyDescent="0.25">
      <c r="A333">
        <v>116</v>
      </c>
      <c r="B333">
        <v>119219978</v>
      </c>
      <c r="C333" t="s">
        <v>293</v>
      </c>
      <c r="D333" t="s">
        <v>1</v>
      </c>
      <c r="E333" t="s">
        <v>2</v>
      </c>
      <c r="F333">
        <v>100000000</v>
      </c>
      <c r="G333">
        <v>2010</v>
      </c>
      <c r="H333">
        <v>6.7</v>
      </c>
    </row>
    <row r="334" spans="1:8" x14ac:dyDescent="0.25">
      <c r="A334">
        <v>115</v>
      </c>
      <c r="B334">
        <v>101228120</v>
      </c>
      <c r="C334" t="s">
        <v>294</v>
      </c>
      <c r="D334" t="s">
        <v>1</v>
      </c>
      <c r="E334" t="s">
        <v>2</v>
      </c>
      <c r="F334">
        <v>100000000</v>
      </c>
      <c r="G334">
        <v>1996</v>
      </c>
      <c r="H334">
        <v>6.1</v>
      </c>
    </row>
    <row r="335" spans="1:8" x14ac:dyDescent="0.25">
      <c r="A335">
        <v>165</v>
      </c>
      <c r="B335">
        <v>162804648</v>
      </c>
      <c r="C335" t="s">
        <v>295</v>
      </c>
      <c r="D335" t="s">
        <v>1</v>
      </c>
      <c r="E335" t="s">
        <v>2</v>
      </c>
      <c r="F335">
        <v>100000000</v>
      </c>
      <c r="G335">
        <v>2012</v>
      </c>
      <c r="H335">
        <v>8.5</v>
      </c>
    </row>
    <row r="336" spans="1:8" x14ac:dyDescent="0.25">
      <c r="A336">
        <v>91</v>
      </c>
      <c r="B336">
        <v>100117603</v>
      </c>
      <c r="C336" t="s">
        <v>296</v>
      </c>
      <c r="D336" t="s">
        <v>1</v>
      </c>
      <c r="E336" t="s">
        <v>2</v>
      </c>
      <c r="F336">
        <v>100000000</v>
      </c>
      <c r="G336">
        <v>1996</v>
      </c>
      <c r="H336">
        <v>6.9</v>
      </c>
    </row>
    <row r="337" spans="1:8" x14ac:dyDescent="0.25">
      <c r="A337">
        <v>78</v>
      </c>
      <c r="B337">
        <v>89296573</v>
      </c>
      <c r="C337" t="s">
        <v>297</v>
      </c>
      <c r="D337" t="s">
        <v>1</v>
      </c>
      <c r="E337" t="s">
        <v>2</v>
      </c>
      <c r="F337">
        <v>100000000</v>
      </c>
      <c r="G337">
        <v>2000</v>
      </c>
      <c r="H337">
        <v>7.3</v>
      </c>
    </row>
    <row r="338" spans="1:8" x14ac:dyDescent="0.25">
      <c r="A338">
        <v>131</v>
      </c>
      <c r="B338">
        <v>173005002</v>
      </c>
      <c r="C338" t="s">
        <v>299</v>
      </c>
      <c r="D338" t="s">
        <v>1</v>
      </c>
      <c r="E338" t="s">
        <v>2</v>
      </c>
      <c r="F338">
        <v>100000000</v>
      </c>
      <c r="G338">
        <v>2004</v>
      </c>
      <c r="H338">
        <v>6.9</v>
      </c>
    </row>
    <row r="339" spans="1:8" x14ac:dyDescent="0.25">
      <c r="A339">
        <v>104</v>
      </c>
      <c r="B339">
        <v>75030163</v>
      </c>
      <c r="C339" t="s">
        <v>300</v>
      </c>
      <c r="D339" t="s">
        <v>1</v>
      </c>
      <c r="E339" t="s">
        <v>2</v>
      </c>
      <c r="F339">
        <v>100000000</v>
      </c>
      <c r="G339">
        <v>2006</v>
      </c>
      <c r="H339">
        <v>5.0999999999999996</v>
      </c>
    </row>
    <row r="340" spans="1:8" x14ac:dyDescent="0.25">
      <c r="A340">
        <v>101</v>
      </c>
      <c r="B340">
        <v>77222184</v>
      </c>
      <c r="C340" t="s">
        <v>301</v>
      </c>
      <c r="D340" t="s">
        <v>1</v>
      </c>
      <c r="E340" t="s">
        <v>119</v>
      </c>
      <c r="F340">
        <v>100000000</v>
      </c>
      <c r="G340">
        <v>2009</v>
      </c>
      <c r="H340">
        <v>6.8</v>
      </c>
    </row>
    <row r="341" spans="1:8" x14ac:dyDescent="0.25">
      <c r="A341">
        <v>102</v>
      </c>
      <c r="B341">
        <v>107515297</v>
      </c>
      <c r="C341" t="s">
        <v>302</v>
      </c>
      <c r="D341" t="s">
        <v>1</v>
      </c>
      <c r="E341" t="s">
        <v>2</v>
      </c>
      <c r="F341">
        <v>100000000</v>
      </c>
      <c r="G341">
        <v>2013</v>
      </c>
      <c r="H341">
        <v>6.7</v>
      </c>
    </row>
    <row r="342" spans="1:8" x14ac:dyDescent="0.25">
      <c r="A342">
        <v>103</v>
      </c>
      <c r="B342">
        <v>67631157</v>
      </c>
      <c r="C342" t="s">
        <v>303</v>
      </c>
      <c r="D342" t="s">
        <v>1</v>
      </c>
      <c r="E342" t="s">
        <v>2</v>
      </c>
      <c r="F342">
        <v>100000000</v>
      </c>
      <c r="G342">
        <v>2010</v>
      </c>
      <c r="H342">
        <v>6</v>
      </c>
    </row>
    <row r="343" spans="1:8" x14ac:dyDescent="0.25">
      <c r="A343">
        <v>143</v>
      </c>
      <c r="B343">
        <v>57366262</v>
      </c>
      <c r="C343" t="s">
        <v>305</v>
      </c>
      <c r="D343" t="s">
        <v>1</v>
      </c>
      <c r="E343" t="s">
        <v>119</v>
      </c>
      <c r="F343">
        <v>100000000</v>
      </c>
      <c r="G343">
        <v>2006</v>
      </c>
      <c r="H343">
        <v>8</v>
      </c>
    </row>
    <row r="344" spans="1:8" x14ac:dyDescent="0.25">
      <c r="A344">
        <v>240</v>
      </c>
      <c r="B344">
        <v>116866727</v>
      </c>
      <c r="C344" t="s">
        <v>306</v>
      </c>
      <c r="D344" t="s">
        <v>1</v>
      </c>
      <c r="E344" t="s">
        <v>2</v>
      </c>
      <c r="F344">
        <v>100000000</v>
      </c>
      <c r="G344">
        <v>2013</v>
      </c>
      <c r="H344">
        <v>8.1999999999999993</v>
      </c>
    </row>
    <row r="345" spans="1:8" x14ac:dyDescent="0.25">
      <c r="A345">
        <v>121</v>
      </c>
      <c r="B345">
        <v>184031112</v>
      </c>
      <c r="C345" t="s">
        <v>307</v>
      </c>
      <c r="D345" t="s">
        <v>1</v>
      </c>
      <c r="E345" t="s">
        <v>2</v>
      </c>
      <c r="F345">
        <v>100000000</v>
      </c>
      <c r="G345">
        <v>1995</v>
      </c>
      <c r="H345">
        <v>5.4</v>
      </c>
    </row>
    <row r="346" spans="1:8" x14ac:dyDescent="0.25">
      <c r="A346">
        <v>87</v>
      </c>
      <c r="B346">
        <v>40198710</v>
      </c>
      <c r="C346" t="s">
        <v>311</v>
      </c>
      <c r="D346" t="s">
        <v>1</v>
      </c>
      <c r="E346" t="s">
        <v>2</v>
      </c>
      <c r="F346">
        <v>100000000</v>
      </c>
      <c r="G346">
        <v>2004</v>
      </c>
      <c r="H346">
        <v>3.3</v>
      </c>
    </row>
    <row r="347" spans="1:8" x14ac:dyDescent="0.25">
      <c r="A347">
        <v>101</v>
      </c>
      <c r="B347">
        <v>72660029</v>
      </c>
      <c r="C347" t="s">
        <v>312</v>
      </c>
      <c r="D347" t="s">
        <v>1</v>
      </c>
      <c r="E347" t="s">
        <v>2</v>
      </c>
      <c r="F347">
        <v>100000000</v>
      </c>
      <c r="G347">
        <v>2014</v>
      </c>
      <c r="H347">
        <v>6</v>
      </c>
    </row>
    <row r="348" spans="1:8" x14ac:dyDescent="0.25">
      <c r="A348">
        <v>102</v>
      </c>
      <c r="B348">
        <v>49392095</v>
      </c>
      <c r="C348" t="s">
        <v>314</v>
      </c>
      <c r="D348" t="s">
        <v>1</v>
      </c>
      <c r="E348" t="s">
        <v>2</v>
      </c>
      <c r="F348">
        <v>100000000</v>
      </c>
      <c r="G348">
        <v>2009</v>
      </c>
      <c r="H348">
        <v>5.4</v>
      </c>
    </row>
    <row r="349" spans="1:8" x14ac:dyDescent="0.25">
      <c r="A349">
        <v>122</v>
      </c>
      <c r="B349">
        <v>24985612</v>
      </c>
      <c r="C349" t="s">
        <v>318</v>
      </c>
      <c r="D349" t="s">
        <v>1</v>
      </c>
      <c r="E349" t="s">
        <v>2</v>
      </c>
      <c r="F349">
        <v>100000000</v>
      </c>
      <c r="G349">
        <v>2015</v>
      </c>
      <c r="H349">
        <v>7</v>
      </c>
    </row>
    <row r="350" spans="1:8" x14ac:dyDescent="0.25">
      <c r="A350">
        <v>95</v>
      </c>
      <c r="B350">
        <v>4411102</v>
      </c>
      <c r="C350" t="s">
        <v>319</v>
      </c>
      <c r="D350" t="s">
        <v>1</v>
      </c>
      <c r="E350" t="s">
        <v>2</v>
      </c>
      <c r="F350">
        <v>100000000</v>
      </c>
      <c r="G350">
        <v>2002</v>
      </c>
      <c r="H350">
        <v>3.8</v>
      </c>
    </row>
    <row r="351" spans="1:8" x14ac:dyDescent="0.25">
      <c r="A351">
        <v>115</v>
      </c>
      <c r="B351">
        <v>35024475</v>
      </c>
      <c r="C351" t="s">
        <v>320</v>
      </c>
      <c r="D351" t="s">
        <v>1</v>
      </c>
      <c r="E351" t="s">
        <v>244</v>
      </c>
      <c r="F351">
        <v>100000000</v>
      </c>
      <c r="G351">
        <v>2010</v>
      </c>
      <c r="H351">
        <v>6.9</v>
      </c>
    </row>
    <row r="352" spans="1:8" x14ac:dyDescent="0.25">
      <c r="A352">
        <v>216</v>
      </c>
      <c r="B352">
        <v>77679638</v>
      </c>
      <c r="C352" t="s">
        <v>324</v>
      </c>
      <c r="D352" t="s">
        <v>1</v>
      </c>
      <c r="E352" t="s">
        <v>2</v>
      </c>
      <c r="F352">
        <v>100000000</v>
      </c>
      <c r="G352">
        <v>2002</v>
      </c>
      <c r="H352">
        <v>7.5</v>
      </c>
    </row>
    <row r="353" spans="1:8" x14ac:dyDescent="0.25">
      <c r="A353">
        <v>85</v>
      </c>
      <c r="B353">
        <v>58867694</v>
      </c>
      <c r="C353" t="s">
        <v>327</v>
      </c>
      <c r="D353" t="s">
        <v>1</v>
      </c>
      <c r="E353" t="s">
        <v>2</v>
      </c>
      <c r="F353">
        <v>100000000</v>
      </c>
      <c r="G353">
        <v>2007</v>
      </c>
      <c r="H353">
        <v>6.8</v>
      </c>
    </row>
    <row r="354" spans="1:8" x14ac:dyDescent="0.25">
      <c r="A354">
        <v>146</v>
      </c>
      <c r="B354">
        <v>95328937</v>
      </c>
      <c r="C354" t="s">
        <v>332</v>
      </c>
      <c r="D354" t="s">
        <v>1</v>
      </c>
      <c r="E354" t="s">
        <v>2</v>
      </c>
      <c r="F354">
        <v>100000000</v>
      </c>
      <c r="G354">
        <v>2010</v>
      </c>
      <c r="H354">
        <v>4.3</v>
      </c>
    </row>
    <row r="355" spans="1:8" x14ac:dyDescent="0.25">
      <c r="A355">
        <v>119</v>
      </c>
      <c r="B355">
        <v>23014504</v>
      </c>
      <c r="C355" t="s">
        <v>342</v>
      </c>
      <c r="D355" t="s">
        <v>1</v>
      </c>
      <c r="E355" t="s">
        <v>5</v>
      </c>
      <c r="F355">
        <v>100000000</v>
      </c>
      <c r="G355">
        <v>2014</v>
      </c>
      <c r="H355">
        <v>6.3</v>
      </c>
    </row>
    <row r="356" spans="1:8" x14ac:dyDescent="0.25">
      <c r="A356">
        <v>98</v>
      </c>
      <c r="B356">
        <v>81557479</v>
      </c>
      <c r="C356" t="s">
        <v>353</v>
      </c>
      <c r="D356" t="s">
        <v>1</v>
      </c>
      <c r="E356" t="s">
        <v>2</v>
      </c>
      <c r="F356">
        <v>100000000</v>
      </c>
      <c r="G356">
        <v>2010</v>
      </c>
      <c r="H356">
        <v>6.8</v>
      </c>
    </row>
    <row r="357" spans="1:8" x14ac:dyDescent="0.25">
      <c r="A357">
        <v>130</v>
      </c>
      <c r="B357">
        <v>155370362</v>
      </c>
      <c r="C357" t="s">
        <v>355</v>
      </c>
      <c r="D357" t="s">
        <v>1</v>
      </c>
      <c r="E357" t="s">
        <v>2</v>
      </c>
      <c r="F357">
        <v>100000000</v>
      </c>
      <c r="G357">
        <v>2000</v>
      </c>
      <c r="H357">
        <v>6.6</v>
      </c>
    </row>
    <row r="358" spans="1:8" x14ac:dyDescent="0.25">
      <c r="A358">
        <v>90</v>
      </c>
      <c r="B358">
        <v>124870275</v>
      </c>
      <c r="C358" t="s">
        <v>356</v>
      </c>
      <c r="D358" t="s">
        <v>1</v>
      </c>
      <c r="E358" t="s">
        <v>2</v>
      </c>
      <c r="F358">
        <v>100000000</v>
      </c>
      <c r="G358">
        <v>2009</v>
      </c>
      <c r="H358">
        <v>7</v>
      </c>
    </row>
    <row r="359" spans="1:8" x14ac:dyDescent="0.25">
      <c r="A359">
        <v>146</v>
      </c>
      <c r="B359">
        <v>78616689</v>
      </c>
      <c r="C359" t="s">
        <v>371</v>
      </c>
      <c r="D359" t="s">
        <v>1</v>
      </c>
      <c r="E359" t="s">
        <v>2</v>
      </c>
      <c r="F359">
        <v>100000000</v>
      </c>
      <c r="G359">
        <v>2001</v>
      </c>
      <c r="H359">
        <v>7.1</v>
      </c>
    </row>
    <row r="360" spans="1:8" x14ac:dyDescent="0.25">
      <c r="A360">
        <v>132</v>
      </c>
      <c r="B360">
        <v>58220776</v>
      </c>
      <c r="C360" t="s">
        <v>384</v>
      </c>
      <c r="D360" t="s">
        <v>1</v>
      </c>
      <c r="E360" t="s">
        <v>2</v>
      </c>
      <c r="F360">
        <v>100000000</v>
      </c>
      <c r="G360">
        <v>1999</v>
      </c>
      <c r="H360">
        <v>6.8</v>
      </c>
    </row>
    <row r="361" spans="1:8" x14ac:dyDescent="0.25">
      <c r="A361">
        <v>138</v>
      </c>
      <c r="B361">
        <v>35168677</v>
      </c>
      <c r="C361" t="s">
        <v>387</v>
      </c>
      <c r="D361" t="s">
        <v>1</v>
      </c>
      <c r="E361" t="s">
        <v>5</v>
      </c>
      <c r="F361">
        <v>100000000</v>
      </c>
      <c r="G361">
        <v>2002</v>
      </c>
      <c r="H361">
        <v>6.7</v>
      </c>
    </row>
    <row r="362" spans="1:8" x14ac:dyDescent="0.25">
      <c r="A362">
        <v>108</v>
      </c>
      <c r="B362">
        <v>197992827</v>
      </c>
      <c r="C362" t="s">
        <v>394</v>
      </c>
      <c r="D362" t="s">
        <v>1</v>
      </c>
      <c r="E362" t="s">
        <v>2</v>
      </c>
      <c r="F362">
        <v>100000000</v>
      </c>
      <c r="G362">
        <v>2006</v>
      </c>
      <c r="H362">
        <v>6.5</v>
      </c>
    </row>
    <row r="363" spans="1:8" x14ac:dyDescent="0.25">
      <c r="A363">
        <v>97</v>
      </c>
      <c r="B363">
        <v>46440491</v>
      </c>
      <c r="C363" t="s">
        <v>415</v>
      </c>
      <c r="D363" t="s">
        <v>1</v>
      </c>
      <c r="E363" t="s">
        <v>5</v>
      </c>
      <c r="F363">
        <v>100000000</v>
      </c>
      <c r="G363">
        <v>2011</v>
      </c>
      <c r="H363">
        <v>7.1</v>
      </c>
    </row>
    <row r="364" spans="1:8" x14ac:dyDescent="0.25">
      <c r="A364">
        <v>136</v>
      </c>
      <c r="B364">
        <v>67286731</v>
      </c>
      <c r="C364" t="s">
        <v>502</v>
      </c>
      <c r="D364" t="s">
        <v>1</v>
      </c>
      <c r="E364" t="s">
        <v>2</v>
      </c>
      <c r="F364">
        <v>100000000</v>
      </c>
      <c r="G364">
        <v>2004</v>
      </c>
      <c r="H364">
        <v>6.7</v>
      </c>
    </row>
    <row r="365" spans="1:8" x14ac:dyDescent="0.25">
      <c r="A365">
        <v>101</v>
      </c>
      <c r="B365">
        <v>72660029</v>
      </c>
      <c r="C365" t="s">
        <v>312</v>
      </c>
      <c r="D365" t="s">
        <v>1</v>
      </c>
      <c r="E365" t="s">
        <v>2</v>
      </c>
      <c r="F365">
        <v>100000000</v>
      </c>
      <c r="G365">
        <v>2014</v>
      </c>
      <c r="H365">
        <v>6</v>
      </c>
    </row>
    <row r="366" spans="1:8" x14ac:dyDescent="0.25">
      <c r="A366">
        <v>105</v>
      </c>
      <c r="B366">
        <v>103738726</v>
      </c>
      <c r="C366" t="s">
        <v>1014</v>
      </c>
      <c r="D366" t="s">
        <v>1</v>
      </c>
      <c r="E366" t="s">
        <v>2</v>
      </c>
      <c r="F366">
        <v>100000000</v>
      </c>
      <c r="G366">
        <v>1990</v>
      </c>
      <c r="H366">
        <v>6.1</v>
      </c>
    </row>
    <row r="367" spans="1:8" x14ac:dyDescent="0.25">
      <c r="A367">
        <v>117</v>
      </c>
      <c r="B367">
        <v>58607007</v>
      </c>
      <c r="C367" t="s">
        <v>232</v>
      </c>
      <c r="D367" t="s">
        <v>1</v>
      </c>
      <c r="E367" t="s">
        <v>2</v>
      </c>
      <c r="F367">
        <v>100000000</v>
      </c>
      <c r="G367">
        <v>2014</v>
      </c>
      <c r="H367">
        <v>6.2</v>
      </c>
    </row>
    <row r="368" spans="1:8" x14ac:dyDescent="0.25">
      <c r="A368">
        <v>112</v>
      </c>
      <c r="B368">
        <v>3058380</v>
      </c>
      <c r="C368" t="s">
        <v>2615</v>
      </c>
      <c r="D368" t="s">
        <v>243</v>
      </c>
      <c r="E368" t="s">
        <v>244</v>
      </c>
      <c r="F368">
        <v>100000000</v>
      </c>
      <c r="G368">
        <v>2000</v>
      </c>
      <c r="H368">
        <v>7.3</v>
      </c>
    </row>
    <row r="369" spans="1:8" x14ac:dyDescent="0.25">
      <c r="A369">
        <v>119</v>
      </c>
      <c r="B369">
        <v>11041228</v>
      </c>
      <c r="C369" t="s">
        <v>2694</v>
      </c>
      <c r="D369" t="s">
        <v>326</v>
      </c>
      <c r="E369" t="s">
        <v>142</v>
      </c>
      <c r="F369">
        <v>100000000</v>
      </c>
      <c r="G369">
        <v>2004</v>
      </c>
      <c r="H369">
        <v>7.6</v>
      </c>
    </row>
    <row r="370" spans="1:8" x14ac:dyDescent="0.25">
      <c r="A370">
        <v>103</v>
      </c>
      <c r="B370">
        <v>67631157</v>
      </c>
      <c r="C370" t="s">
        <v>303</v>
      </c>
      <c r="D370" t="s">
        <v>1</v>
      </c>
      <c r="E370" t="s">
        <v>2</v>
      </c>
      <c r="F370">
        <v>100000000</v>
      </c>
      <c r="G370">
        <v>2010</v>
      </c>
      <c r="H370">
        <v>6</v>
      </c>
    </row>
    <row r="371" spans="1:8" x14ac:dyDescent="0.25">
      <c r="A371">
        <v>119</v>
      </c>
      <c r="B371">
        <v>180011740</v>
      </c>
      <c r="C371" t="s">
        <v>286</v>
      </c>
      <c r="D371" t="s">
        <v>1</v>
      </c>
      <c r="E371" t="s">
        <v>2</v>
      </c>
      <c r="F371">
        <v>100000000</v>
      </c>
      <c r="G371">
        <v>2001</v>
      </c>
      <c r="H371">
        <v>5.7</v>
      </c>
    </row>
    <row r="372" spans="1:8" x14ac:dyDescent="0.25">
      <c r="A372">
        <v>88</v>
      </c>
      <c r="B372">
        <v>130174897</v>
      </c>
      <c r="C372" t="s">
        <v>321</v>
      </c>
      <c r="D372" t="s">
        <v>1</v>
      </c>
      <c r="E372" t="s">
        <v>2</v>
      </c>
      <c r="F372">
        <v>99000000</v>
      </c>
      <c r="G372">
        <v>2015</v>
      </c>
      <c r="H372">
        <v>7.2</v>
      </c>
    </row>
    <row r="373" spans="1:8" x14ac:dyDescent="0.25">
      <c r="A373">
        <v>130</v>
      </c>
      <c r="B373">
        <v>202007640</v>
      </c>
      <c r="C373" t="s">
        <v>323</v>
      </c>
      <c r="D373" t="s">
        <v>1</v>
      </c>
      <c r="E373" t="s">
        <v>2</v>
      </c>
      <c r="F373">
        <v>98000000</v>
      </c>
      <c r="G373">
        <v>2001</v>
      </c>
      <c r="H373">
        <v>6.3</v>
      </c>
    </row>
    <row r="374" spans="1:8" x14ac:dyDescent="0.25">
      <c r="A374">
        <v>124</v>
      </c>
      <c r="B374">
        <v>11000000</v>
      </c>
      <c r="C374" t="s">
        <v>349</v>
      </c>
      <c r="D374" t="s">
        <v>1</v>
      </c>
      <c r="E374" t="s">
        <v>2</v>
      </c>
      <c r="F374">
        <v>98000000</v>
      </c>
      <c r="G374">
        <v>1995</v>
      </c>
      <c r="H374">
        <v>5.6</v>
      </c>
    </row>
    <row r="375" spans="1:8" x14ac:dyDescent="0.25">
      <c r="A375">
        <v>85</v>
      </c>
      <c r="B375">
        <v>86897182</v>
      </c>
      <c r="C375" t="s">
        <v>330</v>
      </c>
      <c r="D375" t="s">
        <v>1</v>
      </c>
      <c r="E375" t="s">
        <v>2</v>
      </c>
      <c r="F375">
        <v>95000000</v>
      </c>
      <c r="G375">
        <v>2012</v>
      </c>
      <c r="H375">
        <v>6.2</v>
      </c>
    </row>
    <row r="376" spans="1:8" x14ac:dyDescent="0.25">
      <c r="A376">
        <v>89</v>
      </c>
      <c r="B376">
        <v>50802661</v>
      </c>
      <c r="C376" t="s">
        <v>333</v>
      </c>
      <c r="D376" t="s">
        <v>1</v>
      </c>
      <c r="E376" t="s">
        <v>2</v>
      </c>
      <c r="F376">
        <v>95000000</v>
      </c>
      <c r="G376">
        <v>2000</v>
      </c>
      <c r="H376">
        <v>6.9</v>
      </c>
    </row>
    <row r="377" spans="1:8" x14ac:dyDescent="0.25">
      <c r="A377">
        <v>88</v>
      </c>
      <c r="B377">
        <v>161317423</v>
      </c>
      <c r="C377" t="s">
        <v>334</v>
      </c>
      <c r="D377" t="s">
        <v>1</v>
      </c>
      <c r="E377" t="s">
        <v>2</v>
      </c>
      <c r="F377">
        <v>95000000</v>
      </c>
      <c r="G377">
        <v>2012</v>
      </c>
      <c r="H377">
        <v>6.6</v>
      </c>
    </row>
    <row r="378" spans="1:8" x14ac:dyDescent="0.25">
      <c r="A378">
        <v>105</v>
      </c>
      <c r="B378">
        <v>201148159</v>
      </c>
      <c r="C378" t="s">
        <v>335</v>
      </c>
      <c r="D378" t="s">
        <v>1</v>
      </c>
      <c r="E378" t="s">
        <v>2</v>
      </c>
      <c r="F378">
        <v>95000000</v>
      </c>
      <c r="G378">
        <v>2015</v>
      </c>
      <c r="H378">
        <v>7</v>
      </c>
    </row>
    <row r="379" spans="1:8" x14ac:dyDescent="0.25">
      <c r="A379">
        <v>102</v>
      </c>
      <c r="B379">
        <v>17176900</v>
      </c>
      <c r="C379" t="s">
        <v>340</v>
      </c>
      <c r="D379" t="s">
        <v>1</v>
      </c>
      <c r="E379" t="s">
        <v>2</v>
      </c>
      <c r="F379">
        <v>95000000</v>
      </c>
      <c r="G379">
        <v>2014</v>
      </c>
      <c r="H379">
        <v>5.5</v>
      </c>
    </row>
    <row r="380" spans="1:8" x14ac:dyDescent="0.25">
      <c r="A380">
        <v>118</v>
      </c>
      <c r="B380">
        <v>88761720</v>
      </c>
      <c r="C380" t="s">
        <v>350</v>
      </c>
      <c r="D380" t="s">
        <v>1</v>
      </c>
      <c r="E380" t="s">
        <v>5</v>
      </c>
      <c r="F380">
        <v>95000000</v>
      </c>
      <c r="G380">
        <v>2010</v>
      </c>
      <c r="H380">
        <v>5.9</v>
      </c>
    </row>
    <row r="381" spans="1:8" x14ac:dyDescent="0.25">
      <c r="A381">
        <v>119</v>
      </c>
      <c r="B381">
        <v>73209340</v>
      </c>
      <c r="C381" t="s">
        <v>374</v>
      </c>
      <c r="D381" t="s">
        <v>1</v>
      </c>
      <c r="E381" t="s">
        <v>2</v>
      </c>
      <c r="F381">
        <v>95000000</v>
      </c>
      <c r="G381">
        <v>2000</v>
      </c>
      <c r="H381">
        <v>5.7</v>
      </c>
    </row>
    <row r="382" spans="1:8" x14ac:dyDescent="0.25">
      <c r="A382">
        <v>117</v>
      </c>
      <c r="B382">
        <v>65653758</v>
      </c>
      <c r="C382" t="s">
        <v>378</v>
      </c>
      <c r="D382" t="s">
        <v>1</v>
      </c>
      <c r="E382" t="s">
        <v>2</v>
      </c>
      <c r="F382">
        <v>95000000</v>
      </c>
      <c r="G382">
        <v>2003</v>
      </c>
      <c r="H382">
        <v>5.5</v>
      </c>
    </row>
    <row r="383" spans="1:8" x14ac:dyDescent="0.25">
      <c r="A383">
        <v>116</v>
      </c>
      <c r="B383">
        <v>102678089</v>
      </c>
      <c r="C383" t="s">
        <v>696</v>
      </c>
      <c r="D383" t="s">
        <v>1</v>
      </c>
      <c r="E383" t="s">
        <v>2</v>
      </c>
      <c r="F383">
        <v>95000000</v>
      </c>
      <c r="G383">
        <v>1999</v>
      </c>
      <c r="H383">
        <v>6.3</v>
      </c>
    </row>
    <row r="384" spans="1:8" x14ac:dyDescent="0.25">
      <c r="A384">
        <v>105</v>
      </c>
      <c r="B384">
        <v>201148159</v>
      </c>
      <c r="C384" t="s">
        <v>335</v>
      </c>
      <c r="D384" t="s">
        <v>1</v>
      </c>
      <c r="E384" t="s">
        <v>2</v>
      </c>
      <c r="F384">
        <v>95000000</v>
      </c>
      <c r="G384">
        <v>2015</v>
      </c>
      <c r="H384">
        <v>7</v>
      </c>
    </row>
    <row r="385" spans="1:8" x14ac:dyDescent="0.25">
      <c r="A385">
        <v>146</v>
      </c>
      <c r="B385">
        <v>9213</v>
      </c>
      <c r="C385" t="s">
        <v>325</v>
      </c>
      <c r="D385" t="s">
        <v>326</v>
      </c>
      <c r="E385" t="s">
        <v>142</v>
      </c>
      <c r="F385">
        <v>94000000</v>
      </c>
      <c r="G385">
        <v>2011</v>
      </c>
      <c r="H385">
        <v>7.6</v>
      </c>
    </row>
    <row r="386" spans="1:8" x14ac:dyDescent="0.25">
      <c r="A386">
        <v>100</v>
      </c>
      <c r="B386">
        <v>380838870</v>
      </c>
      <c r="C386" t="s">
        <v>337</v>
      </c>
      <c r="D386" t="s">
        <v>1</v>
      </c>
      <c r="E386" t="s">
        <v>2</v>
      </c>
      <c r="F386">
        <v>94000000</v>
      </c>
      <c r="G386">
        <v>2003</v>
      </c>
      <c r="H386">
        <v>8.1999999999999993</v>
      </c>
    </row>
    <row r="387" spans="1:8" x14ac:dyDescent="0.25">
      <c r="A387">
        <v>192</v>
      </c>
      <c r="B387">
        <v>377019252</v>
      </c>
      <c r="C387" t="s">
        <v>338</v>
      </c>
      <c r="D387" t="s">
        <v>1</v>
      </c>
      <c r="E387" t="s">
        <v>2</v>
      </c>
      <c r="F387">
        <v>94000000</v>
      </c>
      <c r="G387">
        <v>2003</v>
      </c>
      <c r="H387">
        <v>8.9</v>
      </c>
    </row>
    <row r="388" spans="1:8" x14ac:dyDescent="0.25">
      <c r="A388">
        <v>172</v>
      </c>
      <c r="B388">
        <v>340478898</v>
      </c>
      <c r="C388" t="s">
        <v>339</v>
      </c>
      <c r="D388" t="s">
        <v>1</v>
      </c>
      <c r="E388" t="s">
        <v>2</v>
      </c>
      <c r="F388">
        <v>94000000</v>
      </c>
      <c r="G388">
        <v>2002</v>
      </c>
      <c r="H388">
        <v>8.6999999999999993</v>
      </c>
    </row>
    <row r="389" spans="1:8" x14ac:dyDescent="0.25">
      <c r="A389">
        <v>171</v>
      </c>
      <c r="B389">
        <v>313837577</v>
      </c>
      <c r="C389" t="s">
        <v>271</v>
      </c>
      <c r="D389" t="s">
        <v>1</v>
      </c>
      <c r="E389" t="s">
        <v>23</v>
      </c>
      <c r="F389">
        <v>93000000</v>
      </c>
      <c r="G389">
        <v>2001</v>
      </c>
      <c r="H389">
        <v>8.8000000000000007</v>
      </c>
    </row>
    <row r="390" spans="1:8" x14ac:dyDescent="0.25">
      <c r="A390">
        <v>126</v>
      </c>
      <c r="B390">
        <v>63540020</v>
      </c>
      <c r="C390" t="s">
        <v>331</v>
      </c>
      <c r="D390" t="s">
        <v>1</v>
      </c>
      <c r="E390" t="s">
        <v>244</v>
      </c>
      <c r="F390">
        <v>93000000</v>
      </c>
      <c r="G390">
        <v>1997</v>
      </c>
      <c r="H390">
        <v>7.7</v>
      </c>
    </row>
    <row r="391" spans="1:8" x14ac:dyDescent="0.25">
      <c r="A391">
        <v>92</v>
      </c>
      <c r="B391">
        <v>181166115</v>
      </c>
      <c r="C391" t="s">
        <v>343</v>
      </c>
      <c r="D391" t="s">
        <v>1</v>
      </c>
      <c r="E391" t="s">
        <v>2</v>
      </c>
      <c r="F391">
        <v>93000000</v>
      </c>
      <c r="G391">
        <v>2001</v>
      </c>
      <c r="H391">
        <v>5.9</v>
      </c>
    </row>
    <row r="392" spans="1:8" x14ac:dyDescent="0.25">
      <c r="A392">
        <v>105</v>
      </c>
      <c r="B392">
        <v>176740650</v>
      </c>
      <c r="C392" t="s">
        <v>344</v>
      </c>
      <c r="D392" t="s">
        <v>1</v>
      </c>
      <c r="E392" t="s">
        <v>2</v>
      </c>
      <c r="F392">
        <v>93000000</v>
      </c>
      <c r="G392">
        <v>2011</v>
      </c>
      <c r="H392">
        <v>7.6</v>
      </c>
    </row>
    <row r="393" spans="1:8" x14ac:dyDescent="0.25">
      <c r="A393">
        <v>103</v>
      </c>
      <c r="B393">
        <v>85017401</v>
      </c>
      <c r="C393" t="s">
        <v>298</v>
      </c>
      <c r="D393" t="s">
        <v>1</v>
      </c>
      <c r="E393" t="s">
        <v>2</v>
      </c>
      <c r="F393">
        <v>92000000</v>
      </c>
      <c r="G393">
        <v>2012</v>
      </c>
      <c r="H393">
        <v>6.7</v>
      </c>
    </row>
    <row r="394" spans="1:8" x14ac:dyDescent="0.25">
      <c r="A394">
        <v>152</v>
      </c>
      <c r="B394">
        <v>108638745</v>
      </c>
      <c r="C394" t="s">
        <v>329</v>
      </c>
      <c r="D394" t="s">
        <v>1</v>
      </c>
      <c r="E394" t="s">
        <v>2</v>
      </c>
      <c r="F394">
        <v>92000000</v>
      </c>
      <c r="G394">
        <v>2001</v>
      </c>
      <c r="H394">
        <v>7.7</v>
      </c>
    </row>
    <row r="395" spans="1:8" x14ac:dyDescent="0.25">
      <c r="A395">
        <v>101</v>
      </c>
      <c r="B395">
        <v>67344392</v>
      </c>
      <c r="C395" t="s">
        <v>346</v>
      </c>
      <c r="D395" t="s">
        <v>1</v>
      </c>
      <c r="E395" t="s">
        <v>2</v>
      </c>
      <c r="F395">
        <v>92000000</v>
      </c>
      <c r="G395">
        <v>2013</v>
      </c>
      <c r="H395">
        <v>5.3</v>
      </c>
    </row>
    <row r="396" spans="1:8" x14ac:dyDescent="0.25">
      <c r="A396">
        <v>115</v>
      </c>
      <c r="B396">
        <v>261437578</v>
      </c>
      <c r="C396" t="s">
        <v>348</v>
      </c>
      <c r="D396" t="s">
        <v>1</v>
      </c>
      <c r="E396" t="s">
        <v>2</v>
      </c>
      <c r="F396">
        <v>92000000</v>
      </c>
      <c r="G396">
        <v>2004</v>
      </c>
      <c r="H396">
        <v>8</v>
      </c>
    </row>
    <row r="397" spans="1:8" x14ac:dyDescent="0.25">
      <c r="A397">
        <v>94</v>
      </c>
      <c r="B397">
        <v>125305545</v>
      </c>
      <c r="C397" t="s">
        <v>359</v>
      </c>
      <c r="D397" t="s">
        <v>1</v>
      </c>
      <c r="E397" t="s">
        <v>2</v>
      </c>
      <c r="F397">
        <v>92000000</v>
      </c>
      <c r="G397">
        <v>2000</v>
      </c>
      <c r="H397">
        <v>5.5</v>
      </c>
    </row>
    <row r="398" spans="1:8" x14ac:dyDescent="0.25">
      <c r="A398">
        <v>121</v>
      </c>
      <c r="B398">
        <v>110416702</v>
      </c>
      <c r="C398" t="s">
        <v>362</v>
      </c>
      <c r="D398" t="s">
        <v>1</v>
      </c>
      <c r="E398" t="s">
        <v>2</v>
      </c>
      <c r="F398">
        <v>92000000</v>
      </c>
      <c r="G398">
        <v>2008</v>
      </c>
      <c r="H398">
        <v>7</v>
      </c>
    </row>
    <row r="399" spans="1:8" x14ac:dyDescent="0.25">
      <c r="A399">
        <v>114</v>
      </c>
      <c r="B399">
        <v>26871</v>
      </c>
      <c r="C399" t="s">
        <v>381</v>
      </c>
      <c r="D399" t="s">
        <v>1</v>
      </c>
      <c r="E399" t="s">
        <v>119</v>
      </c>
      <c r="F399">
        <v>92000000</v>
      </c>
      <c r="G399">
        <v>2001</v>
      </c>
      <c r="H399">
        <v>7</v>
      </c>
    </row>
    <row r="400" spans="1:8" x14ac:dyDescent="0.25">
      <c r="A400">
        <v>113</v>
      </c>
      <c r="B400">
        <v>241688385</v>
      </c>
      <c r="C400" t="s">
        <v>392</v>
      </c>
      <c r="D400" t="s">
        <v>1</v>
      </c>
      <c r="E400" t="s">
        <v>2</v>
      </c>
      <c r="F400">
        <v>92000000</v>
      </c>
      <c r="G400">
        <v>1996</v>
      </c>
      <c r="H400">
        <v>6.3</v>
      </c>
    </row>
    <row r="401" spans="1:8" x14ac:dyDescent="0.25">
      <c r="A401">
        <v>127</v>
      </c>
      <c r="B401">
        <v>101643008</v>
      </c>
      <c r="C401" t="s">
        <v>281</v>
      </c>
      <c r="D401" t="s">
        <v>1</v>
      </c>
      <c r="E401" t="s">
        <v>2</v>
      </c>
      <c r="F401">
        <v>90000000</v>
      </c>
      <c r="G401">
        <v>2000</v>
      </c>
      <c r="H401">
        <v>6.5</v>
      </c>
    </row>
    <row r="402" spans="1:8" x14ac:dyDescent="0.25">
      <c r="A402">
        <v>131</v>
      </c>
      <c r="B402">
        <v>39292022</v>
      </c>
      <c r="C402" t="s">
        <v>315</v>
      </c>
      <c r="D402" t="s">
        <v>1</v>
      </c>
      <c r="E402" t="s">
        <v>2</v>
      </c>
      <c r="F402">
        <v>90000000</v>
      </c>
      <c r="G402">
        <v>2014</v>
      </c>
      <c r="H402">
        <v>6.1</v>
      </c>
    </row>
    <row r="403" spans="1:8" x14ac:dyDescent="0.25">
      <c r="A403">
        <v>93</v>
      </c>
      <c r="B403">
        <v>59475623</v>
      </c>
      <c r="C403" t="s">
        <v>328</v>
      </c>
      <c r="D403" t="s">
        <v>1</v>
      </c>
      <c r="E403" t="s">
        <v>2</v>
      </c>
      <c r="F403">
        <v>90000000</v>
      </c>
      <c r="G403">
        <v>2004</v>
      </c>
      <c r="H403">
        <v>5.2</v>
      </c>
    </row>
    <row r="404" spans="1:8" x14ac:dyDescent="0.25">
      <c r="A404">
        <v>107</v>
      </c>
      <c r="B404">
        <v>71148699</v>
      </c>
      <c r="C404" t="s">
        <v>345</v>
      </c>
      <c r="D404" t="s">
        <v>1</v>
      </c>
      <c r="E404" t="s">
        <v>2</v>
      </c>
      <c r="F404">
        <v>90000000</v>
      </c>
      <c r="G404">
        <v>2008</v>
      </c>
      <c r="H404">
        <v>6.6</v>
      </c>
    </row>
    <row r="405" spans="1:8" x14ac:dyDescent="0.25">
      <c r="A405">
        <v>98</v>
      </c>
      <c r="B405">
        <v>250147615</v>
      </c>
      <c r="C405" t="s">
        <v>351</v>
      </c>
      <c r="D405" t="s">
        <v>1</v>
      </c>
      <c r="E405" t="s">
        <v>2</v>
      </c>
      <c r="F405">
        <v>90000000</v>
      </c>
      <c r="G405">
        <v>1997</v>
      </c>
      <c r="H405">
        <v>7.3</v>
      </c>
    </row>
    <row r="406" spans="1:8" x14ac:dyDescent="0.25">
      <c r="A406">
        <v>82</v>
      </c>
      <c r="B406">
        <v>245823397</v>
      </c>
      <c r="C406" t="s">
        <v>352</v>
      </c>
      <c r="D406" t="s">
        <v>1</v>
      </c>
      <c r="E406" t="s">
        <v>2</v>
      </c>
      <c r="F406">
        <v>90000000</v>
      </c>
      <c r="G406">
        <v>1999</v>
      </c>
      <c r="H406">
        <v>7.9</v>
      </c>
    </row>
    <row r="407" spans="1:8" x14ac:dyDescent="0.25">
      <c r="A407">
        <v>90</v>
      </c>
      <c r="B407">
        <v>226138454</v>
      </c>
      <c r="C407" t="s">
        <v>354</v>
      </c>
      <c r="D407" t="s">
        <v>1</v>
      </c>
      <c r="E407" t="s">
        <v>2</v>
      </c>
      <c r="F407">
        <v>90000000</v>
      </c>
      <c r="G407">
        <v>2001</v>
      </c>
      <c r="H407">
        <v>6.6</v>
      </c>
    </row>
    <row r="408" spans="1:8" x14ac:dyDescent="0.25">
      <c r="A408">
        <v>94</v>
      </c>
      <c r="B408">
        <v>196573705</v>
      </c>
      <c r="C408" t="s">
        <v>357</v>
      </c>
      <c r="D408" t="s">
        <v>1</v>
      </c>
      <c r="E408" t="s">
        <v>2</v>
      </c>
      <c r="F408">
        <v>90000000</v>
      </c>
      <c r="G408">
        <v>2009</v>
      </c>
      <c r="H408">
        <v>7</v>
      </c>
    </row>
    <row r="409" spans="1:8" x14ac:dyDescent="0.25">
      <c r="A409">
        <v>114</v>
      </c>
      <c r="B409">
        <v>58229120</v>
      </c>
      <c r="C409" t="s">
        <v>358</v>
      </c>
      <c r="D409" t="s">
        <v>1</v>
      </c>
      <c r="E409" t="s">
        <v>2</v>
      </c>
      <c r="F409">
        <v>90000000</v>
      </c>
      <c r="G409">
        <v>2013</v>
      </c>
      <c r="H409">
        <v>7.3</v>
      </c>
    </row>
    <row r="410" spans="1:8" x14ac:dyDescent="0.25">
      <c r="A410">
        <v>151</v>
      </c>
      <c r="B410">
        <v>132373442</v>
      </c>
      <c r="C410" t="s">
        <v>360</v>
      </c>
      <c r="D410" t="s">
        <v>1</v>
      </c>
      <c r="E410" t="s">
        <v>2</v>
      </c>
      <c r="F410">
        <v>90000000</v>
      </c>
      <c r="G410">
        <v>2006</v>
      </c>
      <c r="H410">
        <v>8.5</v>
      </c>
    </row>
    <row r="411" spans="1:8" x14ac:dyDescent="0.25">
      <c r="A411">
        <v>88</v>
      </c>
      <c r="B411">
        <v>120618403</v>
      </c>
      <c r="C411" t="s">
        <v>361</v>
      </c>
      <c r="D411" t="s">
        <v>1</v>
      </c>
      <c r="E411" t="s">
        <v>2</v>
      </c>
      <c r="F411">
        <v>90000000</v>
      </c>
      <c r="G411">
        <v>1998</v>
      </c>
      <c r="H411">
        <v>7.5</v>
      </c>
    </row>
    <row r="412" spans="1:8" x14ac:dyDescent="0.25">
      <c r="A412">
        <v>158</v>
      </c>
      <c r="B412">
        <v>102515793</v>
      </c>
      <c r="C412" t="s">
        <v>363</v>
      </c>
      <c r="D412" t="s">
        <v>1</v>
      </c>
      <c r="E412" t="s">
        <v>2</v>
      </c>
      <c r="F412">
        <v>90000000</v>
      </c>
      <c r="G412">
        <v>2011</v>
      </c>
      <c r="H412">
        <v>7.8</v>
      </c>
    </row>
    <row r="413" spans="1:8" x14ac:dyDescent="0.25">
      <c r="A413">
        <v>128</v>
      </c>
      <c r="B413">
        <v>100012500</v>
      </c>
      <c r="C413" t="s">
        <v>364</v>
      </c>
      <c r="D413" t="s">
        <v>1</v>
      </c>
      <c r="E413" t="s">
        <v>2</v>
      </c>
      <c r="F413">
        <v>90000000</v>
      </c>
      <c r="G413">
        <v>1995</v>
      </c>
      <c r="H413">
        <v>7.6</v>
      </c>
    </row>
    <row r="414" spans="1:8" x14ac:dyDescent="0.25">
      <c r="A414">
        <v>128</v>
      </c>
      <c r="B414">
        <v>209019489</v>
      </c>
      <c r="C414" t="s">
        <v>365</v>
      </c>
      <c r="D414" t="s">
        <v>1</v>
      </c>
      <c r="E414" t="s">
        <v>2</v>
      </c>
      <c r="F414">
        <v>90000000</v>
      </c>
      <c r="G414">
        <v>2009</v>
      </c>
      <c r="H414">
        <v>7.6</v>
      </c>
    </row>
    <row r="415" spans="1:8" x14ac:dyDescent="0.25">
      <c r="A415">
        <v>92</v>
      </c>
      <c r="B415">
        <v>85884815</v>
      </c>
      <c r="C415" t="s">
        <v>367</v>
      </c>
      <c r="D415" t="s">
        <v>1</v>
      </c>
      <c r="E415" t="s">
        <v>2</v>
      </c>
      <c r="F415">
        <v>90000000</v>
      </c>
      <c r="G415">
        <v>2015</v>
      </c>
      <c r="H415">
        <v>5</v>
      </c>
    </row>
    <row r="416" spans="1:8" x14ac:dyDescent="0.25">
      <c r="A416">
        <v>113</v>
      </c>
      <c r="B416">
        <v>100018837</v>
      </c>
      <c r="C416" t="s">
        <v>369</v>
      </c>
      <c r="D416" t="s">
        <v>1</v>
      </c>
      <c r="E416" t="s">
        <v>2</v>
      </c>
      <c r="F416">
        <v>90000000</v>
      </c>
      <c r="G416">
        <v>2008</v>
      </c>
      <c r="H416">
        <v>5.5</v>
      </c>
    </row>
    <row r="417" spans="1:8" x14ac:dyDescent="0.25">
      <c r="A417">
        <v>88</v>
      </c>
      <c r="B417">
        <v>75817994</v>
      </c>
      <c r="C417" t="s">
        <v>372</v>
      </c>
      <c r="D417" t="s">
        <v>1</v>
      </c>
      <c r="E417" t="s">
        <v>2</v>
      </c>
      <c r="F417">
        <v>90000000</v>
      </c>
      <c r="G417">
        <v>2003</v>
      </c>
      <c r="H417">
        <v>4.9000000000000004</v>
      </c>
    </row>
    <row r="418" spans="1:8" x14ac:dyDescent="0.25">
      <c r="A418">
        <v>150</v>
      </c>
      <c r="B418">
        <v>100853835</v>
      </c>
      <c r="C418" t="s">
        <v>373</v>
      </c>
      <c r="D418" t="s">
        <v>1</v>
      </c>
      <c r="E418" t="s">
        <v>2</v>
      </c>
      <c r="F418">
        <v>90000000</v>
      </c>
      <c r="G418">
        <v>1997</v>
      </c>
      <c r="H418">
        <v>7.4</v>
      </c>
    </row>
    <row r="419" spans="1:8" x14ac:dyDescent="0.25">
      <c r="A419">
        <v>106</v>
      </c>
      <c r="B419">
        <v>68558662</v>
      </c>
      <c r="C419" t="s">
        <v>377</v>
      </c>
      <c r="D419" t="s">
        <v>1</v>
      </c>
      <c r="E419" t="s">
        <v>2</v>
      </c>
      <c r="F419">
        <v>90000000</v>
      </c>
      <c r="G419">
        <v>2013</v>
      </c>
      <c r="H419">
        <v>5.9</v>
      </c>
    </row>
    <row r="420" spans="1:8" x14ac:dyDescent="0.25">
      <c r="A420">
        <v>129</v>
      </c>
      <c r="B420">
        <v>64685359</v>
      </c>
      <c r="C420" t="s">
        <v>379</v>
      </c>
      <c r="D420" t="s">
        <v>1</v>
      </c>
      <c r="E420" t="s">
        <v>2</v>
      </c>
      <c r="F420">
        <v>90000000</v>
      </c>
      <c r="G420">
        <v>2016</v>
      </c>
      <c r="H420">
        <v>6.9</v>
      </c>
    </row>
    <row r="421" spans="1:8" x14ac:dyDescent="0.25">
      <c r="A421">
        <v>114</v>
      </c>
      <c r="B421">
        <v>60874615</v>
      </c>
      <c r="C421" t="s">
        <v>382</v>
      </c>
      <c r="D421" t="s">
        <v>1</v>
      </c>
      <c r="E421" t="s">
        <v>2</v>
      </c>
      <c r="F421">
        <v>90000000</v>
      </c>
      <c r="G421">
        <v>2000</v>
      </c>
      <c r="H421">
        <v>5.6</v>
      </c>
    </row>
    <row r="422" spans="1:8" x14ac:dyDescent="0.25">
      <c r="A422">
        <v>96</v>
      </c>
      <c r="B422">
        <v>143618384</v>
      </c>
      <c r="C422" t="s">
        <v>383</v>
      </c>
      <c r="D422" t="s">
        <v>1</v>
      </c>
      <c r="E422" t="s">
        <v>2</v>
      </c>
      <c r="F422">
        <v>90000000</v>
      </c>
      <c r="G422">
        <v>2011</v>
      </c>
      <c r="H422">
        <v>7</v>
      </c>
    </row>
    <row r="423" spans="1:8" x14ac:dyDescent="0.25">
      <c r="A423">
        <v>104</v>
      </c>
      <c r="B423">
        <v>47474112</v>
      </c>
      <c r="C423" t="s">
        <v>385</v>
      </c>
      <c r="D423" t="s">
        <v>1</v>
      </c>
      <c r="E423" t="s">
        <v>2</v>
      </c>
      <c r="F423">
        <v>90000000</v>
      </c>
      <c r="G423">
        <v>1997</v>
      </c>
      <c r="H423">
        <v>5.4</v>
      </c>
    </row>
    <row r="424" spans="1:8" x14ac:dyDescent="0.25">
      <c r="A424">
        <v>110</v>
      </c>
      <c r="B424">
        <v>190562</v>
      </c>
      <c r="C424" t="s">
        <v>390</v>
      </c>
      <c r="D424" t="s">
        <v>1</v>
      </c>
      <c r="E424" t="s">
        <v>5</v>
      </c>
      <c r="F424">
        <v>90000000</v>
      </c>
      <c r="G424">
        <v>2010</v>
      </c>
      <c r="H424">
        <v>4.4000000000000004</v>
      </c>
    </row>
    <row r="425" spans="1:8" x14ac:dyDescent="0.25">
      <c r="A425">
        <v>143</v>
      </c>
      <c r="B425">
        <v>233630478</v>
      </c>
      <c r="C425" t="s">
        <v>393</v>
      </c>
      <c r="D425" t="s">
        <v>1</v>
      </c>
      <c r="E425" t="s">
        <v>2</v>
      </c>
      <c r="F425">
        <v>90000000</v>
      </c>
      <c r="G425">
        <v>2000</v>
      </c>
      <c r="H425">
        <v>7.7</v>
      </c>
    </row>
    <row r="426" spans="1:8" x14ac:dyDescent="0.25">
      <c r="A426">
        <v>140</v>
      </c>
      <c r="B426">
        <v>111544445</v>
      </c>
      <c r="C426" t="s">
        <v>405</v>
      </c>
      <c r="D426" t="s">
        <v>1</v>
      </c>
      <c r="E426" t="s">
        <v>2</v>
      </c>
      <c r="F426">
        <v>90000000</v>
      </c>
      <c r="G426">
        <v>1998</v>
      </c>
      <c r="H426">
        <v>7.3</v>
      </c>
    </row>
    <row r="427" spans="1:8" x14ac:dyDescent="0.25">
      <c r="A427">
        <v>178</v>
      </c>
      <c r="B427">
        <v>44606335</v>
      </c>
      <c r="C427" t="s">
        <v>416</v>
      </c>
      <c r="D427" t="s">
        <v>1</v>
      </c>
      <c r="E427" t="s">
        <v>2</v>
      </c>
      <c r="F427">
        <v>90000000</v>
      </c>
      <c r="G427">
        <v>1998</v>
      </c>
      <c r="H427">
        <v>7.1</v>
      </c>
    </row>
    <row r="428" spans="1:8" x14ac:dyDescent="0.25">
      <c r="A428">
        <v>114</v>
      </c>
      <c r="B428">
        <v>50628009</v>
      </c>
      <c r="C428" t="s">
        <v>472</v>
      </c>
      <c r="D428" t="s">
        <v>1</v>
      </c>
      <c r="E428" t="s">
        <v>2</v>
      </c>
      <c r="F428">
        <v>90000000</v>
      </c>
      <c r="G428">
        <v>1998</v>
      </c>
      <c r="H428">
        <v>5.6</v>
      </c>
    </row>
    <row r="429" spans="1:8" x14ac:dyDescent="0.25">
      <c r="A429">
        <v>106</v>
      </c>
      <c r="B429">
        <v>27356090</v>
      </c>
      <c r="C429" t="s">
        <v>490</v>
      </c>
      <c r="D429" t="s">
        <v>1</v>
      </c>
      <c r="E429" t="s">
        <v>2</v>
      </c>
      <c r="F429">
        <v>90000000</v>
      </c>
      <c r="G429">
        <v>2015</v>
      </c>
      <c r="H429">
        <v>6</v>
      </c>
    </row>
    <row r="430" spans="1:8" x14ac:dyDescent="0.25">
      <c r="A430">
        <v>135</v>
      </c>
      <c r="B430">
        <v>33574332</v>
      </c>
      <c r="C430" t="s">
        <v>872</v>
      </c>
      <c r="D430" t="s">
        <v>1</v>
      </c>
      <c r="E430" t="s">
        <v>2</v>
      </c>
      <c r="F430">
        <v>90000000</v>
      </c>
      <c r="G430">
        <v>2006</v>
      </c>
      <c r="H430">
        <v>7.1</v>
      </c>
    </row>
    <row r="431" spans="1:8" x14ac:dyDescent="0.25">
      <c r="A431">
        <v>106</v>
      </c>
      <c r="B431">
        <v>78747585</v>
      </c>
      <c r="C431" t="s">
        <v>370</v>
      </c>
      <c r="D431" t="s">
        <v>1</v>
      </c>
      <c r="E431" t="s">
        <v>2</v>
      </c>
      <c r="F431">
        <v>88000000</v>
      </c>
      <c r="G431">
        <v>2015</v>
      </c>
      <c r="H431">
        <v>5.6</v>
      </c>
    </row>
    <row r="432" spans="1:8" x14ac:dyDescent="0.25">
      <c r="A432">
        <v>144</v>
      </c>
      <c r="B432">
        <v>61644321</v>
      </c>
      <c r="C432" t="s">
        <v>389</v>
      </c>
      <c r="D432" t="s">
        <v>1</v>
      </c>
      <c r="E432" t="s">
        <v>2</v>
      </c>
      <c r="F432">
        <v>88000000</v>
      </c>
      <c r="G432">
        <v>2005</v>
      </c>
      <c r="H432">
        <v>8</v>
      </c>
    </row>
    <row r="433" spans="1:8" x14ac:dyDescent="0.25">
      <c r="A433">
        <v>118</v>
      </c>
      <c r="B433">
        <v>37899638</v>
      </c>
      <c r="C433" t="s">
        <v>478</v>
      </c>
      <c r="D433" t="s">
        <v>1</v>
      </c>
      <c r="E433" t="s">
        <v>2</v>
      </c>
      <c r="F433">
        <v>88000000</v>
      </c>
      <c r="G433">
        <v>2005</v>
      </c>
      <c r="H433">
        <v>5.9</v>
      </c>
    </row>
    <row r="434" spans="1:8" x14ac:dyDescent="0.25">
      <c r="A434">
        <v>140</v>
      </c>
      <c r="B434">
        <v>120147445</v>
      </c>
      <c r="C434" t="s">
        <v>391</v>
      </c>
      <c r="D434" t="s">
        <v>1</v>
      </c>
      <c r="E434" t="s">
        <v>2</v>
      </c>
      <c r="F434">
        <v>87000000</v>
      </c>
      <c r="G434">
        <v>2003</v>
      </c>
      <c r="H434">
        <v>7.3</v>
      </c>
    </row>
    <row r="435" spans="1:8" x14ac:dyDescent="0.25">
      <c r="A435">
        <v>101</v>
      </c>
      <c r="B435">
        <v>26082914</v>
      </c>
      <c r="C435" t="s">
        <v>764</v>
      </c>
      <c r="D435" t="s">
        <v>1</v>
      </c>
      <c r="E435" t="s">
        <v>2</v>
      </c>
      <c r="F435">
        <v>87000000</v>
      </c>
      <c r="G435">
        <v>2005</v>
      </c>
      <c r="H435">
        <v>4.3</v>
      </c>
    </row>
    <row r="436" spans="1:8" x14ac:dyDescent="0.25">
      <c r="A436">
        <v>111</v>
      </c>
      <c r="B436">
        <v>42877165</v>
      </c>
      <c r="C436" t="s">
        <v>386</v>
      </c>
      <c r="D436" t="s">
        <v>1</v>
      </c>
      <c r="E436" t="s">
        <v>2</v>
      </c>
      <c r="F436">
        <v>86000000</v>
      </c>
      <c r="G436">
        <v>1997</v>
      </c>
      <c r="H436">
        <v>6.1</v>
      </c>
    </row>
    <row r="437" spans="1:8" x14ac:dyDescent="0.25">
      <c r="A437">
        <v>94</v>
      </c>
      <c r="B437">
        <v>15131330</v>
      </c>
      <c r="C437" t="s">
        <v>492</v>
      </c>
      <c r="D437" t="s">
        <v>1</v>
      </c>
      <c r="E437" t="s">
        <v>244</v>
      </c>
      <c r="F437">
        <v>86000000</v>
      </c>
      <c r="G437">
        <v>2006</v>
      </c>
      <c r="H437">
        <v>6</v>
      </c>
    </row>
    <row r="438" spans="1:8" x14ac:dyDescent="0.25">
      <c r="A438">
        <v>102</v>
      </c>
      <c r="B438">
        <v>32694788</v>
      </c>
      <c r="C438" t="s">
        <v>216</v>
      </c>
      <c r="D438" t="s">
        <v>1</v>
      </c>
      <c r="E438" t="s">
        <v>2</v>
      </c>
      <c r="F438">
        <v>85000000</v>
      </c>
      <c r="G438">
        <v>1999</v>
      </c>
      <c r="H438">
        <v>6.6</v>
      </c>
    </row>
    <row r="439" spans="1:8" x14ac:dyDescent="0.25">
      <c r="A439">
        <v>124</v>
      </c>
      <c r="B439">
        <v>172620724</v>
      </c>
      <c r="C439" t="s">
        <v>396</v>
      </c>
      <c r="D439" t="s">
        <v>1</v>
      </c>
      <c r="E439" t="s">
        <v>2</v>
      </c>
      <c r="F439">
        <v>85000000</v>
      </c>
      <c r="G439">
        <v>1997</v>
      </c>
      <c r="H439">
        <v>6.4</v>
      </c>
    </row>
    <row r="440" spans="1:8" x14ac:dyDescent="0.25">
      <c r="A440">
        <v>116</v>
      </c>
      <c r="B440">
        <v>183405771</v>
      </c>
      <c r="C440" t="s">
        <v>397</v>
      </c>
      <c r="D440" t="s">
        <v>1</v>
      </c>
      <c r="E440" t="s">
        <v>2</v>
      </c>
      <c r="F440">
        <v>85000000</v>
      </c>
      <c r="G440">
        <v>2001</v>
      </c>
      <c r="H440">
        <v>7.8</v>
      </c>
    </row>
    <row r="441" spans="1:8" x14ac:dyDescent="0.25">
      <c r="A441">
        <v>91</v>
      </c>
      <c r="B441">
        <v>148313048</v>
      </c>
      <c r="C441" t="s">
        <v>399</v>
      </c>
      <c r="D441" t="s">
        <v>1</v>
      </c>
      <c r="E441" t="s">
        <v>2</v>
      </c>
      <c r="F441">
        <v>85000000</v>
      </c>
      <c r="G441">
        <v>2012</v>
      </c>
      <c r="H441">
        <v>7.1</v>
      </c>
    </row>
    <row r="442" spans="1:8" x14ac:dyDescent="0.25">
      <c r="A442">
        <v>107</v>
      </c>
      <c r="B442">
        <v>127706877</v>
      </c>
      <c r="C442" t="s">
        <v>400</v>
      </c>
      <c r="D442" t="s">
        <v>1</v>
      </c>
      <c r="E442" t="s">
        <v>2</v>
      </c>
      <c r="F442">
        <v>85000000</v>
      </c>
      <c r="G442">
        <v>2007</v>
      </c>
      <c r="H442">
        <v>7.1</v>
      </c>
    </row>
    <row r="443" spans="1:8" x14ac:dyDescent="0.25">
      <c r="A443">
        <v>115</v>
      </c>
      <c r="B443">
        <v>126149655</v>
      </c>
      <c r="C443" t="s">
        <v>401</v>
      </c>
      <c r="D443" t="s">
        <v>1</v>
      </c>
      <c r="E443" t="s">
        <v>2</v>
      </c>
      <c r="F443">
        <v>85000000</v>
      </c>
      <c r="G443">
        <v>2012</v>
      </c>
      <c r="H443">
        <v>6.8</v>
      </c>
    </row>
    <row r="444" spans="1:8" x14ac:dyDescent="0.25">
      <c r="A444">
        <v>100</v>
      </c>
      <c r="B444">
        <v>66941559</v>
      </c>
      <c r="C444" t="s">
        <v>402</v>
      </c>
      <c r="D444" t="s">
        <v>1</v>
      </c>
      <c r="E444" t="s">
        <v>2</v>
      </c>
      <c r="F444">
        <v>85000000</v>
      </c>
      <c r="G444">
        <v>2000</v>
      </c>
      <c r="H444">
        <v>4.8</v>
      </c>
    </row>
    <row r="445" spans="1:8" x14ac:dyDescent="0.25">
      <c r="A445">
        <v>138</v>
      </c>
      <c r="B445">
        <v>63224849</v>
      </c>
      <c r="C445" t="s">
        <v>404</v>
      </c>
      <c r="D445" t="s">
        <v>1</v>
      </c>
      <c r="E445" t="s">
        <v>2</v>
      </c>
      <c r="F445">
        <v>85000000</v>
      </c>
      <c r="G445">
        <v>2006</v>
      </c>
      <c r="H445">
        <v>6.9</v>
      </c>
    </row>
    <row r="446" spans="1:8" x14ac:dyDescent="0.25">
      <c r="A446">
        <v>120</v>
      </c>
      <c r="B446">
        <v>112703470</v>
      </c>
      <c r="C446" t="s">
        <v>406</v>
      </c>
      <c r="D446" t="s">
        <v>1</v>
      </c>
      <c r="E446" t="s">
        <v>2</v>
      </c>
      <c r="F446">
        <v>85000000</v>
      </c>
      <c r="G446">
        <v>2009</v>
      </c>
      <c r="H446">
        <v>6.6</v>
      </c>
    </row>
    <row r="447" spans="1:8" x14ac:dyDescent="0.25">
      <c r="A447">
        <v>122</v>
      </c>
      <c r="B447">
        <v>117144465</v>
      </c>
      <c r="C447" t="s">
        <v>407</v>
      </c>
      <c r="D447" t="s">
        <v>1</v>
      </c>
      <c r="E447" t="s">
        <v>2</v>
      </c>
      <c r="F447">
        <v>85000000</v>
      </c>
      <c r="G447">
        <v>2007</v>
      </c>
      <c r="H447">
        <v>6.9</v>
      </c>
    </row>
    <row r="448" spans="1:8" x14ac:dyDescent="0.25">
      <c r="A448">
        <v>83</v>
      </c>
      <c r="B448">
        <v>84303558</v>
      </c>
      <c r="C448" t="s">
        <v>408</v>
      </c>
      <c r="D448" t="s">
        <v>1</v>
      </c>
      <c r="E448" t="s">
        <v>2</v>
      </c>
      <c r="F448">
        <v>85000000</v>
      </c>
      <c r="G448">
        <v>2006</v>
      </c>
      <c r="H448">
        <v>6.2</v>
      </c>
    </row>
    <row r="449" spans="1:8" x14ac:dyDescent="0.25">
      <c r="A449">
        <v>139</v>
      </c>
      <c r="B449">
        <v>150832203</v>
      </c>
      <c r="C449" t="s">
        <v>409</v>
      </c>
      <c r="D449" t="s">
        <v>1</v>
      </c>
      <c r="E449" t="s">
        <v>2</v>
      </c>
      <c r="F449">
        <v>85000000</v>
      </c>
      <c r="G449">
        <v>2014</v>
      </c>
      <c r="H449">
        <v>6.7</v>
      </c>
    </row>
    <row r="450" spans="1:8" x14ac:dyDescent="0.25">
      <c r="A450">
        <v>104</v>
      </c>
      <c r="B450">
        <v>47592825</v>
      </c>
      <c r="C450" t="s">
        <v>411</v>
      </c>
      <c r="D450" t="s">
        <v>1</v>
      </c>
      <c r="E450" t="s">
        <v>2</v>
      </c>
      <c r="F450">
        <v>85000000</v>
      </c>
      <c r="G450">
        <v>2003</v>
      </c>
      <c r="H450">
        <v>6.7</v>
      </c>
    </row>
    <row r="451" spans="1:8" x14ac:dyDescent="0.25">
      <c r="A451">
        <v>145</v>
      </c>
      <c r="B451">
        <v>57010853</v>
      </c>
      <c r="C451" t="s">
        <v>413</v>
      </c>
      <c r="D451" t="s">
        <v>1</v>
      </c>
      <c r="E451" t="s">
        <v>2</v>
      </c>
      <c r="F451">
        <v>85000000</v>
      </c>
      <c r="G451">
        <v>2005</v>
      </c>
      <c r="H451">
        <v>7.3</v>
      </c>
    </row>
    <row r="452" spans="1:8" x14ac:dyDescent="0.25">
      <c r="A452">
        <v>104</v>
      </c>
      <c r="B452">
        <v>62494975</v>
      </c>
      <c r="C452" t="s">
        <v>414</v>
      </c>
      <c r="D452" t="s">
        <v>1</v>
      </c>
      <c r="E452" t="s">
        <v>2</v>
      </c>
      <c r="F452">
        <v>85000000</v>
      </c>
      <c r="G452">
        <v>2006</v>
      </c>
      <c r="H452">
        <v>6</v>
      </c>
    </row>
    <row r="453" spans="1:8" x14ac:dyDescent="0.25">
      <c r="A453">
        <v>108</v>
      </c>
      <c r="B453">
        <v>40048332</v>
      </c>
      <c r="C453" t="s">
        <v>417</v>
      </c>
      <c r="D453" t="s">
        <v>1</v>
      </c>
      <c r="E453" t="s">
        <v>2</v>
      </c>
      <c r="F453">
        <v>85000000</v>
      </c>
      <c r="G453">
        <v>2002</v>
      </c>
      <c r="H453">
        <v>5.5</v>
      </c>
    </row>
    <row r="454" spans="1:8" x14ac:dyDescent="0.25">
      <c r="A454">
        <v>106</v>
      </c>
      <c r="B454">
        <v>64933670</v>
      </c>
      <c r="C454" t="s">
        <v>418</v>
      </c>
      <c r="D454" t="s">
        <v>1</v>
      </c>
      <c r="E454" t="s">
        <v>2</v>
      </c>
      <c r="F454">
        <v>85000000</v>
      </c>
      <c r="G454">
        <v>2012</v>
      </c>
      <c r="H454">
        <v>5.6</v>
      </c>
    </row>
    <row r="455" spans="1:8" x14ac:dyDescent="0.25">
      <c r="A455">
        <v>82</v>
      </c>
      <c r="B455">
        <v>43575716</v>
      </c>
      <c r="C455" t="s">
        <v>425</v>
      </c>
      <c r="D455" t="s">
        <v>1</v>
      </c>
      <c r="E455" t="s">
        <v>2</v>
      </c>
      <c r="F455">
        <v>85000000</v>
      </c>
      <c r="G455">
        <v>2010</v>
      </c>
      <c r="H455">
        <v>4.3</v>
      </c>
    </row>
    <row r="456" spans="1:8" x14ac:dyDescent="0.25">
      <c r="A456">
        <v>88</v>
      </c>
      <c r="B456">
        <v>80170146</v>
      </c>
      <c r="C456" t="s">
        <v>426</v>
      </c>
      <c r="D456" t="s">
        <v>1</v>
      </c>
      <c r="E456" t="s">
        <v>2</v>
      </c>
      <c r="F456">
        <v>85000000</v>
      </c>
      <c r="G456">
        <v>2008</v>
      </c>
      <c r="H456">
        <v>6.1</v>
      </c>
    </row>
    <row r="457" spans="1:8" x14ac:dyDescent="0.25">
      <c r="A457">
        <v>120</v>
      </c>
      <c r="B457">
        <v>75754670</v>
      </c>
      <c r="C457" t="s">
        <v>427</v>
      </c>
      <c r="D457" t="s">
        <v>1</v>
      </c>
      <c r="E457" t="s">
        <v>2</v>
      </c>
      <c r="F457">
        <v>85000000</v>
      </c>
      <c r="G457">
        <v>2008</v>
      </c>
      <c r="H457">
        <v>7</v>
      </c>
    </row>
    <row r="458" spans="1:8" x14ac:dyDescent="0.25">
      <c r="A458">
        <v>113</v>
      </c>
      <c r="B458">
        <v>55350897</v>
      </c>
      <c r="C458" t="s">
        <v>476</v>
      </c>
      <c r="D458" t="s">
        <v>1</v>
      </c>
      <c r="E458" t="s">
        <v>2</v>
      </c>
      <c r="F458">
        <v>85000000</v>
      </c>
      <c r="G458">
        <v>1998</v>
      </c>
      <c r="H458">
        <v>7</v>
      </c>
    </row>
    <row r="459" spans="1:8" x14ac:dyDescent="0.25">
      <c r="A459">
        <v>113</v>
      </c>
      <c r="B459">
        <v>617228</v>
      </c>
      <c r="C459" t="s">
        <v>3272</v>
      </c>
      <c r="D459" t="s">
        <v>3273</v>
      </c>
      <c r="E459" t="s">
        <v>1002</v>
      </c>
      <c r="F459">
        <v>84450000</v>
      </c>
      <c r="G459">
        <v>2006</v>
      </c>
      <c r="H459">
        <v>7.4</v>
      </c>
    </row>
    <row r="460" spans="1:8" x14ac:dyDescent="0.25">
      <c r="A460">
        <v>94</v>
      </c>
      <c r="B460">
        <v>17010646</v>
      </c>
      <c r="C460" t="s">
        <v>317</v>
      </c>
      <c r="D460" t="s">
        <v>1</v>
      </c>
      <c r="E460" t="s">
        <v>2</v>
      </c>
      <c r="F460">
        <v>84000000</v>
      </c>
      <c r="G460">
        <v>2005</v>
      </c>
      <c r="H460">
        <v>2.2000000000000002</v>
      </c>
    </row>
    <row r="461" spans="1:8" x14ac:dyDescent="0.25">
      <c r="A461">
        <v>86</v>
      </c>
      <c r="B461">
        <v>153288182</v>
      </c>
      <c r="C461" t="s">
        <v>422</v>
      </c>
      <c r="D461" t="s">
        <v>1</v>
      </c>
      <c r="E461" t="s">
        <v>2</v>
      </c>
      <c r="F461">
        <v>84000000</v>
      </c>
      <c r="G461">
        <v>2002</v>
      </c>
      <c r="H461">
        <v>4.9000000000000004</v>
      </c>
    </row>
    <row r="462" spans="1:8" x14ac:dyDescent="0.25">
      <c r="A462">
        <v>116</v>
      </c>
      <c r="B462">
        <v>53215979</v>
      </c>
      <c r="C462" t="s">
        <v>439</v>
      </c>
      <c r="D462" t="s">
        <v>1</v>
      </c>
      <c r="E462" t="s">
        <v>2</v>
      </c>
      <c r="F462">
        <v>84000000</v>
      </c>
      <c r="G462">
        <v>2013</v>
      </c>
      <c r="H462">
        <v>6.7</v>
      </c>
    </row>
    <row r="463" spans="1:8" x14ac:dyDescent="0.25">
      <c r="A463">
        <v>121</v>
      </c>
      <c r="B463">
        <v>66862068</v>
      </c>
      <c r="C463" t="s">
        <v>304</v>
      </c>
      <c r="D463" t="s">
        <v>1</v>
      </c>
      <c r="E463" t="s">
        <v>2</v>
      </c>
      <c r="F463">
        <v>83000000</v>
      </c>
      <c r="G463">
        <v>1999</v>
      </c>
      <c r="H463">
        <v>5.7</v>
      </c>
    </row>
    <row r="464" spans="1:8" x14ac:dyDescent="0.25">
      <c r="A464">
        <v>123</v>
      </c>
      <c r="B464">
        <v>34543701</v>
      </c>
      <c r="C464" t="s">
        <v>429</v>
      </c>
      <c r="D464" t="s">
        <v>1</v>
      </c>
      <c r="E464" t="s">
        <v>2</v>
      </c>
      <c r="F464">
        <v>82000000</v>
      </c>
      <c r="G464">
        <v>2000</v>
      </c>
      <c r="H464">
        <v>5.9</v>
      </c>
    </row>
    <row r="465" spans="1:8" x14ac:dyDescent="0.25">
      <c r="A465">
        <v>113</v>
      </c>
      <c r="B465">
        <v>158115031</v>
      </c>
      <c r="C465" t="s">
        <v>440</v>
      </c>
      <c r="D465" t="s">
        <v>1</v>
      </c>
      <c r="E465" t="s">
        <v>2</v>
      </c>
      <c r="F465">
        <v>82000000</v>
      </c>
      <c r="G465">
        <v>2005</v>
      </c>
      <c r="H465">
        <v>6.4</v>
      </c>
    </row>
    <row r="466" spans="1:8" x14ac:dyDescent="0.25">
      <c r="A466">
        <v>128</v>
      </c>
      <c r="B466">
        <v>36381716</v>
      </c>
      <c r="C466" t="s">
        <v>550</v>
      </c>
      <c r="D466" t="s">
        <v>1</v>
      </c>
      <c r="E466" t="s">
        <v>2</v>
      </c>
      <c r="F466">
        <v>82000000</v>
      </c>
      <c r="G466">
        <v>2011</v>
      </c>
      <c r="H466">
        <v>6.1</v>
      </c>
    </row>
    <row r="467" spans="1:8" x14ac:dyDescent="0.25">
      <c r="A467">
        <v>108</v>
      </c>
      <c r="B467">
        <v>1339152</v>
      </c>
      <c r="C467" t="s">
        <v>505</v>
      </c>
      <c r="D467" t="s">
        <v>1</v>
      </c>
      <c r="E467" t="s">
        <v>244</v>
      </c>
      <c r="F467">
        <v>81200000</v>
      </c>
      <c r="G467">
        <v>2015</v>
      </c>
      <c r="H467">
        <v>7.8</v>
      </c>
    </row>
    <row r="468" spans="1:8" x14ac:dyDescent="0.25">
      <c r="A468">
        <v>101</v>
      </c>
      <c r="B468">
        <v>242589580</v>
      </c>
      <c r="C468" t="s">
        <v>430</v>
      </c>
      <c r="D468" t="s">
        <v>1</v>
      </c>
      <c r="E468" t="s">
        <v>2</v>
      </c>
      <c r="F468">
        <v>81000000</v>
      </c>
      <c r="G468">
        <v>2003</v>
      </c>
      <c r="H468">
        <v>6.7</v>
      </c>
    </row>
    <row r="469" spans="1:8" x14ac:dyDescent="0.25">
      <c r="A469">
        <v>101</v>
      </c>
      <c r="B469">
        <v>55673333</v>
      </c>
      <c r="C469" t="s">
        <v>310</v>
      </c>
      <c r="D469" t="s">
        <v>1</v>
      </c>
      <c r="E469" t="s">
        <v>2</v>
      </c>
      <c r="F469">
        <v>80000000</v>
      </c>
      <c r="G469">
        <v>2010</v>
      </c>
      <c r="H469">
        <v>7</v>
      </c>
    </row>
    <row r="470" spans="1:8" x14ac:dyDescent="0.25">
      <c r="A470">
        <v>128</v>
      </c>
      <c r="B470">
        <v>72515360</v>
      </c>
      <c r="C470" t="s">
        <v>375</v>
      </c>
      <c r="D470" t="s">
        <v>376</v>
      </c>
      <c r="E470" t="s">
        <v>5</v>
      </c>
      <c r="F470">
        <v>80000000</v>
      </c>
      <c r="G470">
        <v>2005</v>
      </c>
      <c r="H470">
        <v>6.4</v>
      </c>
    </row>
    <row r="471" spans="1:8" x14ac:dyDescent="0.25">
      <c r="A471">
        <v>113</v>
      </c>
      <c r="B471">
        <v>102981571</v>
      </c>
      <c r="C471" t="s">
        <v>431</v>
      </c>
      <c r="D471" t="s">
        <v>1</v>
      </c>
      <c r="E471" t="s">
        <v>2</v>
      </c>
      <c r="F471">
        <v>80000000</v>
      </c>
      <c r="G471">
        <v>2010</v>
      </c>
      <c r="H471">
        <v>6.5</v>
      </c>
    </row>
    <row r="472" spans="1:8" x14ac:dyDescent="0.25">
      <c r="A472">
        <v>110</v>
      </c>
      <c r="B472">
        <v>180965237</v>
      </c>
      <c r="C472" t="s">
        <v>432</v>
      </c>
      <c r="D472" t="s">
        <v>1</v>
      </c>
      <c r="E472" t="s">
        <v>2</v>
      </c>
      <c r="F472">
        <v>80000000</v>
      </c>
      <c r="G472">
        <v>1996</v>
      </c>
      <c r="H472">
        <v>7.1</v>
      </c>
    </row>
    <row r="473" spans="1:8" x14ac:dyDescent="0.25">
      <c r="A473">
        <v>102</v>
      </c>
      <c r="B473">
        <v>254455986</v>
      </c>
      <c r="C473" t="s">
        <v>434</v>
      </c>
      <c r="D473" t="s">
        <v>1</v>
      </c>
      <c r="E473" t="s">
        <v>2</v>
      </c>
      <c r="F473">
        <v>80000000</v>
      </c>
      <c r="G473">
        <v>2011</v>
      </c>
      <c r="H473">
        <v>6.5</v>
      </c>
    </row>
    <row r="474" spans="1:8" x14ac:dyDescent="0.25">
      <c r="A474">
        <v>126</v>
      </c>
      <c r="B474">
        <v>162831698</v>
      </c>
      <c r="C474" t="s">
        <v>435</v>
      </c>
      <c r="D474" t="s">
        <v>1</v>
      </c>
      <c r="E474" t="s">
        <v>2</v>
      </c>
      <c r="F474">
        <v>80000000</v>
      </c>
      <c r="G474">
        <v>1992</v>
      </c>
      <c r="H474">
        <v>7</v>
      </c>
    </row>
    <row r="475" spans="1:8" x14ac:dyDescent="0.25">
      <c r="A475">
        <v>83</v>
      </c>
      <c r="B475">
        <v>155019340</v>
      </c>
      <c r="C475" t="s">
        <v>436</v>
      </c>
      <c r="D475" t="s">
        <v>1</v>
      </c>
      <c r="E475" t="s">
        <v>2</v>
      </c>
      <c r="F475">
        <v>80000000</v>
      </c>
      <c r="G475">
        <v>2006</v>
      </c>
      <c r="H475">
        <v>6.8</v>
      </c>
    </row>
    <row r="476" spans="1:8" x14ac:dyDescent="0.25">
      <c r="A476">
        <v>85</v>
      </c>
      <c r="B476">
        <v>145771527</v>
      </c>
      <c r="C476" t="s">
        <v>437</v>
      </c>
      <c r="D476" t="s">
        <v>1</v>
      </c>
      <c r="E476" t="s">
        <v>2</v>
      </c>
      <c r="F476">
        <v>80000000</v>
      </c>
      <c r="G476">
        <v>2002</v>
      </c>
      <c r="H476">
        <v>7.2</v>
      </c>
    </row>
    <row r="477" spans="1:8" x14ac:dyDescent="0.25">
      <c r="A477">
        <v>101</v>
      </c>
      <c r="B477">
        <v>133668525</v>
      </c>
      <c r="C477" t="s">
        <v>442</v>
      </c>
      <c r="D477" t="s">
        <v>1</v>
      </c>
      <c r="E477" t="s">
        <v>2</v>
      </c>
      <c r="F477">
        <v>80000000</v>
      </c>
      <c r="G477">
        <v>2013</v>
      </c>
      <c r="H477">
        <v>5.4</v>
      </c>
    </row>
    <row r="478" spans="1:8" x14ac:dyDescent="0.25">
      <c r="A478">
        <v>110</v>
      </c>
      <c r="B478">
        <v>130313314</v>
      </c>
      <c r="C478" t="s">
        <v>443</v>
      </c>
      <c r="D478" t="s">
        <v>1</v>
      </c>
      <c r="E478" t="s">
        <v>2</v>
      </c>
      <c r="F478">
        <v>80000000</v>
      </c>
      <c r="G478">
        <v>2008</v>
      </c>
      <c r="H478">
        <v>6.5</v>
      </c>
    </row>
    <row r="479" spans="1:8" x14ac:dyDescent="0.25">
      <c r="A479">
        <v>128</v>
      </c>
      <c r="B479">
        <v>124590960</v>
      </c>
      <c r="C479" t="s">
        <v>444</v>
      </c>
      <c r="D479" t="s">
        <v>1</v>
      </c>
      <c r="E479" t="s">
        <v>2</v>
      </c>
      <c r="F479">
        <v>80000000</v>
      </c>
      <c r="G479">
        <v>2003</v>
      </c>
      <c r="H479">
        <v>6.7</v>
      </c>
    </row>
    <row r="480" spans="1:8" x14ac:dyDescent="0.25">
      <c r="A480">
        <v>138</v>
      </c>
      <c r="B480">
        <v>127968405</v>
      </c>
      <c r="C480" t="s">
        <v>445</v>
      </c>
      <c r="D480" t="s">
        <v>1</v>
      </c>
      <c r="E480" t="s">
        <v>2</v>
      </c>
      <c r="F480">
        <v>80000000</v>
      </c>
      <c r="G480">
        <v>2010</v>
      </c>
      <c r="H480">
        <v>8.1</v>
      </c>
    </row>
    <row r="481" spans="1:8" x14ac:dyDescent="0.25">
      <c r="A481">
        <v>88</v>
      </c>
      <c r="B481">
        <v>120136047</v>
      </c>
      <c r="C481" t="s">
        <v>446</v>
      </c>
      <c r="D481" t="s">
        <v>1</v>
      </c>
      <c r="E481" t="s">
        <v>119</v>
      </c>
      <c r="F481">
        <v>80000000</v>
      </c>
      <c r="G481">
        <v>2008</v>
      </c>
      <c r="H481">
        <v>5.6</v>
      </c>
    </row>
    <row r="482" spans="1:8" x14ac:dyDescent="0.25">
      <c r="A482">
        <v>138</v>
      </c>
      <c r="B482">
        <v>112225777</v>
      </c>
      <c r="C482" t="s">
        <v>448</v>
      </c>
      <c r="D482" t="s">
        <v>1</v>
      </c>
      <c r="E482" t="s">
        <v>2</v>
      </c>
      <c r="F482">
        <v>80000000</v>
      </c>
      <c r="G482">
        <v>1997</v>
      </c>
      <c r="H482">
        <v>7.3</v>
      </c>
    </row>
    <row r="483" spans="1:8" x14ac:dyDescent="0.25">
      <c r="A483">
        <v>99</v>
      </c>
      <c r="B483">
        <v>109993847</v>
      </c>
      <c r="C483" t="s">
        <v>449</v>
      </c>
      <c r="D483" t="s">
        <v>1</v>
      </c>
      <c r="E483" t="s">
        <v>2</v>
      </c>
      <c r="F483">
        <v>80000000</v>
      </c>
      <c r="G483">
        <v>2008</v>
      </c>
      <c r="H483">
        <v>6.1</v>
      </c>
    </row>
    <row r="484" spans="1:8" x14ac:dyDescent="0.25">
      <c r="A484">
        <v>117</v>
      </c>
      <c r="B484">
        <v>104054514</v>
      </c>
      <c r="C484" t="s">
        <v>450</v>
      </c>
      <c r="D484" t="s">
        <v>1</v>
      </c>
      <c r="E484" t="s">
        <v>2</v>
      </c>
      <c r="F484">
        <v>80000000</v>
      </c>
      <c r="G484">
        <v>2002</v>
      </c>
      <c r="H484">
        <v>7.7</v>
      </c>
    </row>
    <row r="485" spans="1:8" x14ac:dyDescent="0.25">
      <c r="A485">
        <v>117</v>
      </c>
      <c r="B485">
        <v>103028109</v>
      </c>
      <c r="C485" t="s">
        <v>451</v>
      </c>
      <c r="D485" t="s">
        <v>1</v>
      </c>
      <c r="E485" t="s">
        <v>2</v>
      </c>
      <c r="F485">
        <v>80000000</v>
      </c>
      <c r="G485">
        <v>2011</v>
      </c>
      <c r="H485">
        <v>6.4</v>
      </c>
    </row>
    <row r="486" spans="1:8" x14ac:dyDescent="0.25">
      <c r="A486">
        <v>118</v>
      </c>
      <c r="B486">
        <v>101111837</v>
      </c>
      <c r="C486" t="s">
        <v>453</v>
      </c>
      <c r="D486" t="s">
        <v>1</v>
      </c>
      <c r="E486" t="s">
        <v>2</v>
      </c>
      <c r="F486">
        <v>80000000</v>
      </c>
      <c r="G486">
        <v>2008</v>
      </c>
      <c r="H486">
        <v>6.6</v>
      </c>
    </row>
    <row r="487" spans="1:8" x14ac:dyDescent="0.25">
      <c r="A487">
        <v>118</v>
      </c>
      <c r="B487">
        <v>94822707</v>
      </c>
      <c r="C487" t="s">
        <v>455</v>
      </c>
      <c r="D487" t="s">
        <v>1</v>
      </c>
      <c r="E487" t="s">
        <v>2</v>
      </c>
      <c r="F487">
        <v>80000000</v>
      </c>
      <c r="G487">
        <v>2010</v>
      </c>
      <c r="H487">
        <v>6.9</v>
      </c>
    </row>
    <row r="488" spans="1:8" x14ac:dyDescent="0.25">
      <c r="A488">
        <v>90</v>
      </c>
      <c r="B488">
        <v>92969824</v>
      </c>
      <c r="C488" t="s">
        <v>456</v>
      </c>
      <c r="D488" t="s">
        <v>1</v>
      </c>
      <c r="E488" t="s">
        <v>2</v>
      </c>
      <c r="F488">
        <v>80000000</v>
      </c>
      <c r="G488">
        <v>1997</v>
      </c>
      <c r="H488">
        <v>5.2</v>
      </c>
    </row>
    <row r="489" spans="1:8" x14ac:dyDescent="0.25">
      <c r="A489">
        <v>113</v>
      </c>
      <c r="B489">
        <v>91188905</v>
      </c>
      <c r="C489" t="s">
        <v>457</v>
      </c>
      <c r="D489" t="s">
        <v>1</v>
      </c>
      <c r="E489" t="s">
        <v>2</v>
      </c>
      <c r="F489">
        <v>80000000</v>
      </c>
      <c r="G489">
        <v>1999</v>
      </c>
      <c r="H489">
        <v>4.9000000000000004</v>
      </c>
    </row>
    <row r="490" spans="1:8" x14ac:dyDescent="0.25">
      <c r="A490">
        <v>88</v>
      </c>
      <c r="B490">
        <v>90443603</v>
      </c>
      <c r="C490" t="s">
        <v>458</v>
      </c>
      <c r="D490" t="s">
        <v>1</v>
      </c>
      <c r="E490" t="s">
        <v>2</v>
      </c>
      <c r="F490">
        <v>80000000</v>
      </c>
      <c r="G490">
        <v>1996</v>
      </c>
      <c r="H490">
        <v>6.3</v>
      </c>
    </row>
    <row r="491" spans="1:8" x14ac:dyDescent="0.25">
      <c r="A491">
        <v>104</v>
      </c>
      <c r="B491">
        <v>79363785</v>
      </c>
      <c r="C491" t="s">
        <v>460</v>
      </c>
      <c r="D491" t="s">
        <v>1</v>
      </c>
      <c r="E491" t="s">
        <v>2</v>
      </c>
      <c r="F491">
        <v>80000000</v>
      </c>
      <c r="G491">
        <v>2008</v>
      </c>
      <c r="H491">
        <v>5.5</v>
      </c>
    </row>
    <row r="492" spans="1:8" x14ac:dyDescent="0.25">
      <c r="A492">
        <v>80</v>
      </c>
      <c r="B492">
        <v>100169068</v>
      </c>
      <c r="C492" t="s">
        <v>464</v>
      </c>
      <c r="D492" t="s">
        <v>1</v>
      </c>
      <c r="E492" t="s">
        <v>2</v>
      </c>
      <c r="F492">
        <v>80000000</v>
      </c>
      <c r="G492">
        <v>2010</v>
      </c>
      <c r="H492">
        <v>4.5999999999999996</v>
      </c>
    </row>
    <row r="493" spans="1:8" x14ac:dyDescent="0.25">
      <c r="A493">
        <v>83</v>
      </c>
      <c r="B493">
        <v>73215310</v>
      </c>
      <c r="C493" t="s">
        <v>465</v>
      </c>
      <c r="D493" t="s">
        <v>1</v>
      </c>
      <c r="E493" t="s">
        <v>2</v>
      </c>
      <c r="F493">
        <v>80000000</v>
      </c>
      <c r="G493">
        <v>2002</v>
      </c>
      <c r="H493">
        <v>7</v>
      </c>
    </row>
    <row r="494" spans="1:8" x14ac:dyDescent="0.25">
      <c r="A494">
        <v>102</v>
      </c>
      <c r="B494">
        <v>80360866</v>
      </c>
      <c r="C494" t="s">
        <v>466</v>
      </c>
      <c r="D494" t="s">
        <v>1</v>
      </c>
      <c r="E494" t="s">
        <v>2</v>
      </c>
      <c r="F494">
        <v>80000000</v>
      </c>
      <c r="G494">
        <v>2011</v>
      </c>
      <c r="H494">
        <v>5.2</v>
      </c>
    </row>
    <row r="495" spans="1:8" x14ac:dyDescent="0.25">
      <c r="A495">
        <v>130</v>
      </c>
      <c r="B495">
        <v>69102910</v>
      </c>
      <c r="C495" t="s">
        <v>467</v>
      </c>
      <c r="D495" t="s">
        <v>1</v>
      </c>
      <c r="E495" t="s">
        <v>2</v>
      </c>
      <c r="F495">
        <v>80000000</v>
      </c>
      <c r="G495">
        <v>1998</v>
      </c>
      <c r="H495">
        <v>5.0999999999999996</v>
      </c>
    </row>
    <row r="496" spans="1:8" x14ac:dyDescent="0.25">
      <c r="A496">
        <v>129</v>
      </c>
      <c r="B496">
        <v>65948711</v>
      </c>
      <c r="C496" t="s">
        <v>468</v>
      </c>
      <c r="D496" t="s">
        <v>1</v>
      </c>
      <c r="E496" t="s">
        <v>2</v>
      </c>
      <c r="F496">
        <v>80000000</v>
      </c>
      <c r="G496">
        <v>2004</v>
      </c>
      <c r="H496">
        <v>6.6</v>
      </c>
    </row>
    <row r="497" spans="1:8" x14ac:dyDescent="0.25">
      <c r="A497">
        <v>89</v>
      </c>
      <c r="B497">
        <v>169692572</v>
      </c>
      <c r="C497" t="s">
        <v>469</v>
      </c>
      <c r="D497" t="s">
        <v>1</v>
      </c>
      <c r="E497" t="s">
        <v>2</v>
      </c>
      <c r="F497">
        <v>80000000</v>
      </c>
      <c r="G497">
        <v>2015</v>
      </c>
      <c r="H497">
        <v>6.7</v>
      </c>
    </row>
    <row r="498" spans="1:8" x14ac:dyDescent="0.25">
      <c r="A498">
        <v>74</v>
      </c>
      <c r="B498">
        <v>60507228</v>
      </c>
      <c r="C498" t="s">
        <v>470</v>
      </c>
      <c r="D498" t="s">
        <v>1</v>
      </c>
      <c r="E498" t="s">
        <v>2</v>
      </c>
      <c r="F498">
        <v>80000000</v>
      </c>
      <c r="G498">
        <v>1999</v>
      </c>
      <c r="H498">
        <v>7.3</v>
      </c>
    </row>
    <row r="499" spans="1:8" x14ac:dyDescent="0.25">
      <c r="A499">
        <v>96</v>
      </c>
      <c r="B499">
        <v>56684819</v>
      </c>
      <c r="C499" t="s">
        <v>471</v>
      </c>
      <c r="D499" t="s">
        <v>1</v>
      </c>
      <c r="E499" t="s">
        <v>2</v>
      </c>
      <c r="F499">
        <v>80000000</v>
      </c>
      <c r="G499">
        <v>2002</v>
      </c>
      <c r="H499">
        <v>5.9</v>
      </c>
    </row>
    <row r="500" spans="1:8" x14ac:dyDescent="0.25">
      <c r="A500">
        <v>99</v>
      </c>
      <c r="B500">
        <v>69772969</v>
      </c>
      <c r="C500" t="s">
        <v>473</v>
      </c>
      <c r="D500" t="s">
        <v>1</v>
      </c>
      <c r="E500" t="s">
        <v>2</v>
      </c>
      <c r="F500">
        <v>80000000</v>
      </c>
      <c r="G500">
        <v>2001</v>
      </c>
      <c r="H500">
        <v>6.5</v>
      </c>
    </row>
    <row r="501" spans="1:8" x14ac:dyDescent="0.25">
      <c r="A501">
        <v>90</v>
      </c>
      <c r="B501">
        <v>39442871</v>
      </c>
      <c r="C501" t="s">
        <v>477</v>
      </c>
      <c r="D501" t="s">
        <v>1</v>
      </c>
      <c r="E501" t="s">
        <v>2</v>
      </c>
      <c r="F501">
        <v>80000000</v>
      </c>
      <c r="G501">
        <v>2000</v>
      </c>
      <c r="H501">
        <v>5.3</v>
      </c>
    </row>
    <row r="502" spans="1:8" x14ac:dyDescent="0.25">
      <c r="A502">
        <v>89</v>
      </c>
      <c r="B502">
        <v>38542418</v>
      </c>
      <c r="C502" t="s">
        <v>480</v>
      </c>
      <c r="D502" t="s">
        <v>1</v>
      </c>
      <c r="E502" t="s">
        <v>2</v>
      </c>
      <c r="F502">
        <v>80000000</v>
      </c>
      <c r="G502">
        <v>2009</v>
      </c>
      <c r="H502">
        <v>6.3</v>
      </c>
    </row>
    <row r="503" spans="1:8" x14ac:dyDescent="0.25">
      <c r="A503">
        <v>145</v>
      </c>
      <c r="B503">
        <v>34566746</v>
      </c>
      <c r="C503" t="s">
        <v>481</v>
      </c>
      <c r="D503" t="s">
        <v>1</v>
      </c>
      <c r="E503" t="s">
        <v>2</v>
      </c>
      <c r="F503">
        <v>80000000</v>
      </c>
      <c r="G503">
        <v>2000</v>
      </c>
      <c r="H503">
        <v>7.3</v>
      </c>
    </row>
    <row r="504" spans="1:8" x14ac:dyDescent="0.25">
      <c r="A504">
        <v>114</v>
      </c>
      <c r="B504">
        <v>32885565</v>
      </c>
      <c r="C504" t="s">
        <v>482</v>
      </c>
      <c r="D504" t="s">
        <v>1</v>
      </c>
      <c r="E504" t="s">
        <v>2</v>
      </c>
      <c r="F504">
        <v>80000000</v>
      </c>
      <c r="G504">
        <v>1996</v>
      </c>
      <c r="H504">
        <v>5.8</v>
      </c>
    </row>
    <row r="505" spans="1:8" x14ac:dyDescent="0.25">
      <c r="A505">
        <v>87</v>
      </c>
      <c r="B505">
        <v>36073232</v>
      </c>
      <c r="C505" t="s">
        <v>483</v>
      </c>
      <c r="D505" t="s">
        <v>1</v>
      </c>
      <c r="E505" t="s">
        <v>2</v>
      </c>
      <c r="F505">
        <v>80000000</v>
      </c>
      <c r="G505">
        <v>2013</v>
      </c>
      <c r="H505">
        <v>5.2</v>
      </c>
    </row>
    <row r="506" spans="1:8" x14ac:dyDescent="0.25">
      <c r="A506">
        <v>91</v>
      </c>
      <c r="B506">
        <v>20950820</v>
      </c>
      <c r="C506" t="s">
        <v>485</v>
      </c>
      <c r="D506" t="s">
        <v>1</v>
      </c>
      <c r="E506" t="s">
        <v>119</v>
      </c>
      <c r="F506">
        <v>80000000</v>
      </c>
      <c r="G506">
        <v>2003</v>
      </c>
      <c r="H506">
        <v>5.7</v>
      </c>
    </row>
    <row r="507" spans="1:8" x14ac:dyDescent="0.25">
      <c r="A507">
        <v>118</v>
      </c>
      <c r="B507">
        <v>19673424</v>
      </c>
      <c r="C507" t="s">
        <v>486</v>
      </c>
      <c r="D507" t="s">
        <v>1</v>
      </c>
      <c r="E507" t="s">
        <v>2</v>
      </c>
      <c r="F507">
        <v>80000000</v>
      </c>
      <c r="G507">
        <v>2009</v>
      </c>
      <c r="H507">
        <v>5.8</v>
      </c>
    </row>
    <row r="508" spans="1:8" x14ac:dyDescent="0.25">
      <c r="A508">
        <v>116</v>
      </c>
      <c r="B508">
        <v>19480739</v>
      </c>
      <c r="C508" t="s">
        <v>487</v>
      </c>
      <c r="D508" t="s">
        <v>1</v>
      </c>
      <c r="E508" t="s">
        <v>2</v>
      </c>
      <c r="F508">
        <v>80000000</v>
      </c>
      <c r="G508">
        <v>2003</v>
      </c>
      <c r="H508">
        <v>5.6</v>
      </c>
    </row>
    <row r="509" spans="1:8" x14ac:dyDescent="0.25">
      <c r="A509">
        <v>177</v>
      </c>
      <c r="B509">
        <v>17593391</v>
      </c>
      <c r="C509" t="s">
        <v>488</v>
      </c>
      <c r="D509" t="s">
        <v>1</v>
      </c>
      <c r="E509" t="s">
        <v>2</v>
      </c>
      <c r="F509">
        <v>80000000</v>
      </c>
      <c r="G509">
        <v>1997</v>
      </c>
      <c r="H509">
        <v>6</v>
      </c>
    </row>
    <row r="510" spans="1:8" x14ac:dyDescent="0.25">
      <c r="A510">
        <v>97</v>
      </c>
      <c r="B510">
        <v>18318000</v>
      </c>
      <c r="C510" t="s">
        <v>489</v>
      </c>
      <c r="D510" t="s">
        <v>1</v>
      </c>
      <c r="E510" t="s">
        <v>55</v>
      </c>
      <c r="F510">
        <v>80000000</v>
      </c>
      <c r="G510">
        <v>1998</v>
      </c>
      <c r="H510">
        <v>5.8</v>
      </c>
    </row>
    <row r="511" spans="1:8" x14ac:dyDescent="0.25">
      <c r="A511">
        <v>105</v>
      </c>
      <c r="B511">
        <v>23219748</v>
      </c>
      <c r="C511" t="s">
        <v>495</v>
      </c>
      <c r="D511" t="s">
        <v>1</v>
      </c>
      <c r="E511" t="s">
        <v>38</v>
      </c>
      <c r="F511">
        <v>80000000</v>
      </c>
      <c r="G511">
        <v>2014</v>
      </c>
      <c r="H511">
        <v>5.6</v>
      </c>
    </row>
    <row r="512" spans="1:8" x14ac:dyDescent="0.25">
      <c r="A512">
        <v>99</v>
      </c>
      <c r="B512">
        <v>15071514</v>
      </c>
      <c r="C512" t="s">
        <v>506</v>
      </c>
      <c r="D512" t="s">
        <v>1</v>
      </c>
      <c r="E512" t="s">
        <v>2</v>
      </c>
      <c r="F512">
        <v>80000000</v>
      </c>
      <c r="G512">
        <v>2007</v>
      </c>
      <c r="H512">
        <v>5.9</v>
      </c>
    </row>
    <row r="513" spans="1:8" x14ac:dyDescent="0.25">
      <c r="A513">
        <v>115</v>
      </c>
      <c r="B513">
        <v>195329763</v>
      </c>
      <c r="C513" t="s">
        <v>518</v>
      </c>
      <c r="D513" t="s">
        <v>1</v>
      </c>
      <c r="E513" t="s">
        <v>2</v>
      </c>
      <c r="F513">
        <v>80000000</v>
      </c>
      <c r="G513">
        <v>2006</v>
      </c>
      <c r="H513">
        <v>6.9</v>
      </c>
    </row>
    <row r="514" spans="1:8" x14ac:dyDescent="0.25">
      <c r="A514">
        <v>102</v>
      </c>
      <c r="B514">
        <v>162001186</v>
      </c>
      <c r="C514" t="s">
        <v>524</v>
      </c>
      <c r="D514" t="s">
        <v>1</v>
      </c>
      <c r="E514" t="s">
        <v>2</v>
      </c>
      <c r="F514">
        <v>80000000</v>
      </c>
      <c r="G514">
        <v>2010</v>
      </c>
      <c r="H514">
        <v>6</v>
      </c>
    </row>
    <row r="515" spans="1:8" x14ac:dyDescent="0.25">
      <c r="A515">
        <v>131</v>
      </c>
      <c r="B515">
        <v>42044321</v>
      </c>
      <c r="C515" t="s">
        <v>536</v>
      </c>
      <c r="D515" t="s">
        <v>1</v>
      </c>
      <c r="E515" t="s">
        <v>2</v>
      </c>
      <c r="F515">
        <v>80000000</v>
      </c>
      <c r="G515">
        <v>2004</v>
      </c>
      <c r="H515">
        <v>6.5</v>
      </c>
    </row>
    <row r="516" spans="1:8" x14ac:dyDescent="0.25">
      <c r="A516">
        <v>123</v>
      </c>
      <c r="B516">
        <v>41523271</v>
      </c>
      <c r="C516" t="s">
        <v>538</v>
      </c>
      <c r="D516" t="s">
        <v>1</v>
      </c>
      <c r="E516" t="s">
        <v>2</v>
      </c>
      <c r="F516">
        <v>80000000</v>
      </c>
      <c r="G516">
        <v>2001</v>
      </c>
      <c r="H516">
        <v>6.6</v>
      </c>
    </row>
    <row r="517" spans="1:8" x14ac:dyDescent="0.25">
      <c r="A517">
        <v>139</v>
      </c>
      <c r="B517">
        <v>136448821</v>
      </c>
      <c r="C517" t="s">
        <v>573</v>
      </c>
      <c r="D517" t="s">
        <v>1</v>
      </c>
      <c r="E517" t="s">
        <v>2</v>
      </c>
      <c r="F517">
        <v>80000000</v>
      </c>
      <c r="G517">
        <v>1996</v>
      </c>
      <c r="H517">
        <v>6.6</v>
      </c>
    </row>
    <row r="518" spans="1:8" x14ac:dyDescent="0.25">
      <c r="A518">
        <v>117</v>
      </c>
      <c r="B518">
        <v>116643346</v>
      </c>
      <c r="C518" t="s">
        <v>577</v>
      </c>
      <c r="D518" t="s">
        <v>1</v>
      </c>
      <c r="E518" t="s">
        <v>2</v>
      </c>
      <c r="F518">
        <v>80000000</v>
      </c>
      <c r="G518">
        <v>2003</v>
      </c>
      <c r="H518">
        <v>6</v>
      </c>
    </row>
    <row r="519" spans="1:8" x14ac:dyDescent="0.25">
      <c r="A519">
        <v>106</v>
      </c>
      <c r="B519">
        <v>279167575</v>
      </c>
      <c r="C519" t="s">
        <v>689</v>
      </c>
      <c r="D519" t="s">
        <v>1</v>
      </c>
      <c r="E519" t="s">
        <v>2</v>
      </c>
      <c r="F519">
        <v>80000000</v>
      </c>
      <c r="G519">
        <v>2004</v>
      </c>
      <c r="H519">
        <v>6.3</v>
      </c>
    </row>
    <row r="520" spans="1:8" x14ac:dyDescent="0.25">
      <c r="A520">
        <v>117</v>
      </c>
      <c r="B520">
        <v>43290977</v>
      </c>
      <c r="C520" t="s">
        <v>756</v>
      </c>
      <c r="D520" t="s">
        <v>1</v>
      </c>
      <c r="E520" t="s">
        <v>5</v>
      </c>
      <c r="F520">
        <v>80000000</v>
      </c>
      <c r="G520">
        <v>2010</v>
      </c>
      <c r="H520">
        <v>6.6</v>
      </c>
    </row>
    <row r="521" spans="1:8" x14ac:dyDescent="0.25">
      <c r="A521">
        <v>132</v>
      </c>
      <c r="B521">
        <v>10166502</v>
      </c>
      <c r="C521" t="s">
        <v>783</v>
      </c>
      <c r="D521" t="s">
        <v>784</v>
      </c>
      <c r="E521" t="s">
        <v>2</v>
      </c>
      <c r="F521">
        <v>80000000</v>
      </c>
      <c r="G521">
        <v>2005</v>
      </c>
      <c r="H521">
        <v>6.7</v>
      </c>
    </row>
    <row r="522" spans="1:8" x14ac:dyDescent="0.25">
      <c r="A522">
        <v>93</v>
      </c>
      <c r="B522">
        <v>84185387</v>
      </c>
      <c r="C522" t="s">
        <v>1776</v>
      </c>
      <c r="D522" t="s">
        <v>1</v>
      </c>
      <c r="E522" t="s">
        <v>2</v>
      </c>
      <c r="F522">
        <v>80000000</v>
      </c>
      <c r="G522">
        <v>2004</v>
      </c>
      <c r="H522">
        <v>4.9000000000000004</v>
      </c>
    </row>
    <row r="523" spans="1:8" x14ac:dyDescent="0.25">
      <c r="A523">
        <v>104</v>
      </c>
      <c r="B523">
        <v>79363785</v>
      </c>
      <c r="C523" t="s">
        <v>460</v>
      </c>
      <c r="D523" t="s">
        <v>1</v>
      </c>
      <c r="E523" t="s">
        <v>2</v>
      </c>
      <c r="F523">
        <v>80000000</v>
      </c>
      <c r="G523">
        <v>2008</v>
      </c>
      <c r="H523">
        <v>5.5</v>
      </c>
    </row>
    <row r="524" spans="1:8" x14ac:dyDescent="0.25">
      <c r="A524">
        <v>154</v>
      </c>
      <c r="B524">
        <v>95632614</v>
      </c>
      <c r="C524" t="s">
        <v>454</v>
      </c>
      <c r="D524" t="s">
        <v>1</v>
      </c>
      <c r="E524" t="s">
        <v>2</v>
      </c>
      <c r="F524">
        <v>79000000</v>
      </c>
      <c r="G524">
        <v>2003</v>
      </c>
      <c r="H524">
        <v>7.2</v>
      </c>
    </row>
    <row r="525" spans="1:8" x14ac:dyDescent="0.25">
      <c r="A525">
        <v>94</v>
      </c>
      <c r="B525">
        <v>103812241</v>
      </c>
      <c r="C525" t="s">
        <v>499</v>
      </c>
      <c r="D525" t="s">
        <v>1</v>
      </c>
      <c r="E525" t="s">
        <v>2</v>
      </c>
      <c r="F525">
        <v>79000000</v>
      </c>
      <c r="G525">
        <v>2012</v>
      </c>
      <c r="H525">
        <v>5.8</v>
      </c>
    </row>
    <row r="526" spans="1:8" x14ac:dyDescent="0.25">
      <c r="A526">
        <v>91</v>
      </c>
      <c r="B526">
        <v>74158157</v>
      </c>
      <c r="C526" t="s">
        <v>503</v>
      </c>
      <c r="D526" t="s">
        <v>1</v>
      </c>
      <c r="E526" t="s">
        <v>2</v>
      </c>
      <c r="F526">
        <v>79000000</v>
      </c>
      <c r="G526">
        <v>2011</v>
      </c>
      <c r="H526">
        <v>3.4</v>
      </c>
    </row>
    <row r="527" spans="1:8" x14ac:dyDescent="0.25">
      <c r="A527">
        <v>142</v>
      </c>
      <c r="B527">
        <v>407999255</v>
      </c>
      <c r="C527" t="s">
        <v>433</v>
      </c>
      <c r="D527" t="s">
        <v>1</v>
      </c>
      <c r="E527" t="s">
        <v>2</v>
      </c>
      <c r="F527">
        <v>78000000</v>
      </c>
      <c r="G527">
        <v>2012</v>
      </c>
      <c r="H527">
        <v>7.3</v>
      </c>
    </row>
    <row r="528" spans="1:8" x14ac:dyDescent="0.25">
      <c r="A528">
        <v>95</v>
      </c>
      <c r="B528">
        <v>119793567</v>
      </c>
      <c r="C528" t="s">
        <v>500</v>
      </c>
      <c r="D528" t="s">
        <v>1</v>
      </c>
      <c r="E528" t="s">
        <v>2</v>
      </c>
      <c r="F528">
        <v>78000000</v>
      </c>
      <c r="G528">
        <v>2013</v>
      </c>
      <c r="H528">
        <v>6.5</v>
      </c>
    </row>
    <row r="529" spans="1:8" x14ac:dyDescent="0.25">
      <c r="A529">
        <v>124</v>
      </c>
      <c r="B529">
        <v>92930005</v>
      </c>
      <c r="C529" t="s">
        <v>501</v>
      </c>
      <c r="D529" t="s">
        <v>1</v>
      </c>
      <c r="E529" t="s">
        <v>119</v>
      </c>
      <c r="F529">
        <v>78000000</v>
      </c>
      <c r="G529">
        <v>2002</v>
      </c>
      <c r="H529">
        <v>7.2</v>
      </c>
    </row>
    <row r="530" spans="1:8" x14ac:dyDescent="0.25">
      <c r="A530">
        <v>110</v>
      </c>
      <c r="B530">
        <v>66462600</v>
      </c>
      <c r="C530" t="s">
        <v>509</v>
      </c>
      <c r="D530" t="s">
        <v>1</v>
      </c>
      <c r="E530" t="s">
        <v>2</v>
      </c>
      <c r="F530">
        <v>78000000</v>
      </c>
      <c r="G530">
        <v>2003</v>
      </c>
      <c r="H530">
        <v>5.8</v>
      </c>
    </row>
    <row r="531" spans="1:8" x14ac:dyDescent="0.25">
      <c r="A531">
        <v>122</v>
      </c>
      <c r="B531">
        <v>33201661</v>
      </c>
      <c r="C531" t="s">
        <v>1246</v>
      </c>
      <c r="D531" t="s">
        <v>243</v>
      </c>
      <c r="E531" t="s">
        <v>244</v>
      </c>
      <c r="F531">
        <v>77000000</v>
      </c>
      <c r="G531">
        <v>2001</v>
      </c>
      <c r="H531">
        <v>8.4</v>
      </c>
    </row>
    <row r="532" spans="1:8" x14ac:dyDescent="0.25">
      <c r="A532">
        <v>107</v>
      </c>
      <c r="B532">
        <v>127083765</v>
      </c>
      <c r="C532" t="s">
        <v>504</v>
      </c>
      <c r="D532" t="s">
        <v>1</v>
      </c>
      <c r="E532" t="s">
        <v>2</v>
      </c>
      <c r="F532">
        <v>76000000</v>
      </c>
      <c r="G532">
        <v>2003</v>
      </c>
      <c r="H532">
        <v>5.9</v>
      </c>
    </row>
    <row r="533" spans="1:8" x14ac:dyDescent="0.25">
      <c r="A533">
        <v>92</v>
      </c>
      <c r="B533">
        <v>26000610</v>
      </c>
      <c r="C533" t="s">
        <v>507</v>
      </c>
      <c r="D533" t="s">
        <v>1</v>
      </c>
      <c r="E533" t="s">
        <v>2</v>
      </c>
      <c r="F533">
        <v>76000000</v>
      </c>
      <c r="G533">
        <v>2000</v>
      </c>
      <c r="H533">
        <v>4.0999999999999996</v>
      </c>
    </row>
    <row r="534" spans="1:8" x14ac:dyDescent="0.25">
      <c r="A534">
        <v>98</v>
      </c>
      <c r="B534">
        <v>368049635</v>
      </c>
      <c r="C534" t="s">
        <v>510</v>
      </c>
      <c r="D534" t="s">
        <v>1</v>
      </c>
      <c r="E534" t="s">
        <v>2</v>
      </c>
      <c r="F534">
        <v>76000000</v>
      </c>
      <c r="G534">
        <v>2013</v>
      </c>
      <c r="H534">
        <v>7.5</v>
      </c>
    </row>
    <row r="535" spans="1:8" x14ac:dyDescent="0.25">
      <c r="A535">
        <v>109</v>
      </c>
      <c r="B535">
        <v>35286428</v>
      </c>
      <c r="C535" t="s">
        <v>514</v>
      </c>
      <c r="D535" t="s">
        <v>1</v>
      </c>
      <c r="E535" t="s">
        <v>2</v>
      </c>
      <c r="F535">
        <v>76000000</v>
      </c>
      <c r="G535">
        <v>2006</v>
      </c>
      <c r="H535">
        <v>7.9</v>
      </c>
    </row>
    <row r="536" spans="1:8" x14ac:dyDescent="0.25">
      <c r="A536">
        <v>121</v>
      </c>
      <c r="B536">
        <v>83077470</v>
      </c>
      <c r="C536" t="s">
        <v>368</v>
      </c>
      <c r="D536" t="s">
        <v>1</v>
      </c>
      <c r="E536" t="s">
        <v>2</v>
      </c>
      <c r="F536">
        <v>75000000</v>
      </c>
      <c r="G536">
        <v>2008</v>
      </c>
      <c r="H536">
        <v>7.1</v>
      </c>
    </row>
    <row r="537" spans="1:8" x14ac:dyDescent="0.25">
      <c r="A537">
        <v>108</v>
      </c>
      <c r="B537">
        <v>176049130</v>
      </c>
      <c r="C537" t="s">
        <v>395</v>
      </c>
      <c r="D537" t="s">
        <v>1</v>
      </c>
      <c r="E537" t="s">
        <v>2</v>
      </c>
      <c r="F537">
        <v>75000000</v>
      </c>
      <c r="G537">
        <v>2004</v>
      </c>
      <c r="H537">
        <v>7.8</v>
      </c>
    </row>
    <row r="538" spans="1:8" x14ac:dyDescent="0.25">
      <c r="A538">
        <v>110</v>
      </c>
      <c r="B538">
        <v>20315324</v>
      </c>
      <c r="C538" t="s">
        <v>398</v>
      </c>
      <c r="D538" t="s">
        <v>1</v>
      </c>
      <c r="E538" t="s">
        <v>119</v>
      </c>
      <c r="F538">
        <v>75000000</v>
      </c>
      <c r="G538">
        <v>2011</v>
      </c>
      <c r="H538">
        <v>5.8</v>
      </c>
    </row>
    <row r="539" spans="1:8" x14ac:dyDescent="0.25">
      <c r="A539">
        <v>104</v>
      </c>
      <c r="B539">
        <v>78009155</v>
      </c>
      <c r="C539" t="s">
        <v>403</v>
      </c>
      <c r="D539" t="s">
        <v>1</v>
      </c>
      <c r="E539" t="s">
        <v>2</v>
      </c>
      <c r="F539">
        <v>75000000</v>
      </c>
      <c r="G539">
        <v>2011</v>
      </c>
      <c r="H539">
        <v>6.2</v>
      </c>
    </row>
    <row r="540" spans="1:8" x14ac:dyDescent="0.25">
      <c r="A540">
        <v>120</v>
      </c>
      <c r="B540">
        <v>140459099</v>
      </c>
      <c r="C540" t="s">
        <v>438</v>
      </c>
      <c r="D540" t="s">
        <v>1</v>
      </c>
      <c r="E540" t="s">
        <v>2</v>
      </c>
      <c r="F540">
        <v>75000000</v>
      </c>
      <c r="G540">
        <v>1998</v>
      </c>
      <c r="H540">
        <v>6.1</v>
      </c>
    </row>
    <row r="541" spans="1:8" x14ac:dyDescent="0.25">
      <c r="A541">
        <v>87</v>
      </c>
      <c r="B541">
        <v>133103929</v>
      </c>
      <c r="C541" t="s">
        <v>441</v>
      </c>
      <c r="D541" t="s">
        <v>1</v>
      </c>
      <c r="E541" t="s">
        <v>2</v>
      </c>
      <c r="F541">
        <v>75000000</v>
      </c>
      <c r="G541">
        <v>2011</v>
      </c>
      <c r="H541">
        <v>4.4000000000000004</v>
      </c>
    </row>
    <row r="542" spans="1:8" x14ac:dyDescent="0.25">
      <c r="A542">
        <v>91</v>
      </c>
      <c r="B542">
        <v>128200012</v>
      </c>
      <c r="C542" t="s">
        <v>447</v>
      </c>
      <c r="D542" t="s">
        <v>1</v>
      </c>
      <c r="E542" t="s">
        <v>2</v>
      </c>
      <c r="F542">
        <v>75000000</v>
      </c>
      <c r="G542">
        <v>2005</v>
      </c>
      <c r="H542">
        <v>6.3</v>
      </c>
    </row>
    <row r="543" spans="1:8" x14ac:dyDescent="0.25">
      <c r="A543">
        <v>123</v>
      </c>
      <c r="B543">
        <v>101087161</v>
      </c>
      <c r="C543" t="s">
        <v>452</v>
      </c>
      <c r="D543" t="s">
        <v>1</v>
      </c>
      <c r="E543" t="s">
        <v>2</v>
      </c>
      <c r="F543">
        <v>75000000</v>
      </c>
      <c r="G543">
        <v>1997</v>
      </c>
      <c r="H543">
        <v>6.8</v>
      </c>
    </row>
    <row r="544" spans="1:8" x14ac:dyDescent="0.25">
      <c r="A544">
        <v>135</v>
      </c>
      <c r="B544">
        <v>76081498</v>
      </c>
      <c r="C544" t="s">
        <v>461</v>
      </c>
      <c r="D544" t="s">
        <v>1</v>
      </c>
      <c r="E544" t="s">
        <v>2</v>
      </c>
      <c r="F544">
        <v>75000000</v>
      </c>
      <c r="G544">
        <v>1997</v>
      </c>
      <c r="H544">
        <v>6.7</v>
      </c>
    </row>
    <row r="545" spans="1:8" x14ac:dyDescent="0.25">
      <c r="A545">
        <v>129</v>
      </c>
      <c r="B545">
        <v>45356386</v>
      </c>
      <c r="C545" t="s">
        <v>474</v>
      </c>
      <c r="D545" t="s">
        <v>475</v>
      </c>
      <c r="E545" t="s">
        <v>2</v>
      </c>
      <c r="F545">
        <v>75000000</v>
      </c>
      <c r="G545">
        <v>2005</v>
      </c>
      <c r="H545">
        <v>5.9</v>
      </c>
    </row>
    <row r="546" spans="1:8" x14ac:dyDescent="0.25">
      <c r="A546">
        <v>87</v>
      </c>
      <c r="B546">
        <v>323505540</v>
      </c>
      <c r="C546" t="s">
        <v>508</v>
      </c>
      <c r="D546" t="s">
        <v>1</v>
      </c>
      <c r="E546" t="s">
        <v>103</v>
      </c>
      <c r="F546">
        <v>75000000</v>
      </c>
      <c r="G546">
        <v>2016</v>
      </c>
      <c r="H546">
        <v>6.8</v>
      </c>
    </row>
    <row r="547" spans="1:8" x14ac:dyDescent="0.25">
      <c r="A547">
        <v>154</v>
      </c>
      <c r="B547">
        <v>306124059</v>
      </c>
      <c r="C547" t="s">
        <v>511</v>
      </c>
      <c r="D547" t="s">
        <v>1</v>
      </c>
      <c r="E547" t="s">
        <v>2</v>
      </c>
      <c r="F547">
        <v>75000000</v>
      </c>
      <c r="G547">
        <v>1996</v>
      </c>
      <c r="H547">
        <v>6.9</v>
      </c>
    </row>
    <row r="548" spans="1:8" x14ac:dyDescent="0.25">
      <c r="A548">
        <v>86</v>
      </c>
      <c r="B548">
        <v>193136719</v>
      </c>
      <c r="C548" t="s">
        <v>513</v>
      </c>
      <c r="D548" t="s">
        <v>1</v>
      </c>
      <c r="E548" t="s">
        <v>2</v>
      </c>
      <c r="F548">
        <v>75000000</v>
      </c>
      <c r="G548">
        <v>2005</v>
      </c>
      <c r="H548">
        <v>6.9</v>
      </c>
    </row>
    <row r="549" spans="1:8" x14ac:dyDescent="0.25">
      <c r="A549">
        <v>104</v>
      </c>
      <c r="B549">
        <v>157299717</v>
      </c>
      <c r="C549" t="s">
        <v>515</v>
      </c>
      <c r="D549" t="s">
        <v>1</v>
      </c>
      <c r="E549" t="s">
        <v>2</v>
      </c>
      <c r="F549">
        <v>75000000</v>
      </c>
      <c r="G549">
        <v>2000</v>
      </c>
      <c r="H549">
        <v>7.4</v>
      </c>
    </row>
    <row r="550" spans="1:8" x14ac:dyDescent="0.25">
      <c r="A550">
        <v>110</v>
      </c>
      <c r="B550">
        <v>134568845</v>
      </c>
      <c r="C550" t="s">
        <v>516</v>
      </c>
      <c r="D550" t="s">
        <v>1</v>
      </c>
      <c r="E550" t="s">
        <v>2</v>
      </c>
      <c r="F550">
        <v>75000000</v>
      </c>
      <c r="G550">
        <v>2008</v>
      </c>
      <c r="H550">
        <v>6.7</v>
      </c>
    </row>
    <row r="551" spans="1:8" x14ac:dyDescent="0.25">
      <c r="A551">
        <v>136</v>
      </c>
      <c r="B551">
        <v>134006721</v>
      </c>
      <c r="C551" t="s">
        <v>517</v>
      </c>
      <c r="D551" t="s">
        <v>1</v>
      </c>
      <c r="E551" t="s">
        <v>2</v>
      </c>
      <c r="F551">
        <v>75000000</v>
      </c>
      <c r="G551">
        <v>1996</v>
      </c>
      <c r="H551">
        <v>7.4</v>
      </c>
    </row>
    <row r="552" spans="1:8" x14ac:dyDescent="0.25">
      <c r="A552">
        <v>99</v>
      </c>
      <c r="B552">
        <v>120776832</v>
      </c>
      <c r="C552" t="s">
        <v>519</v>
      </c>
      <c r="D552" t="s">
        <v>1</v>
      </c>
      <c r="E552" t="s">
        <v>2</v>
      </c>
      <c r="F552">
        <v>75000000</v>
      </c>
      <c r="G552">
        <v>2004</v>
      </c>
      <c r="H552">
        <v>6.8</v>
      </c>
    </row>
    <row r="553" spans="1:8" x14ac:dyDescent="0.25">
      <c r="A553">
        <v>117</v>
      </c>
      <c r="B553">
        <v>118823091</v>
      </c>
      <c r="C553" t="s">
        <v>520</v>
      </c>
      <c r="D553" t="s">
        <v>1</v>
      </c>
      <c r="E553" t="s">
        <v>2</v>
      </c>
      <c r="F553">
        <v>75000000</v>
      </c>
      <c r="G553">
        <v>2007</v>
      </c>
      <c r="H553">
        <v>6.7</v>
      </c>
    </row>
    <row r="554" spans="1:8" x14ac:dyDescent="0.25">
      <c r="A554">
        <v>110</v>
      </c>
      <c r="B554">
        <v>97360069</v>
      </c>
      <c r="C554" t="s">
        <v>522</v>
      </c>
      <c r="D554" t="s">
        <v>1</v>
      </c>
      <c r="E554" t="s">
        <v>2</v>
      </c>
      <c r="F554">
        <v>75000000</v>
      </c>
      <c r="G554">
        <v>1999</v>
      </c>
      <c r="H554">
        <v>4.0999999999999996</v>
      </c>
    </row>
    <row r="555" spans="1:8" x14ac:dyDescent="0.25">
      <c r="A555">
        <v>125</v>
      </c>
      <c r="B555">
        <v>117698894</v>
      </c>
      <c r="C555" t="s">
        <v>523</v>
      </c>
      <c r="D555" t="s">
        <v>1</v>
      </c>
      <c r="E555" t="s">
        <v>2</v>
      </c>
      <c r="F555">
        <v>75000000</v>
      </c>
      <c r="G555">
        <v>2013</v>
      </c>
      <c r="H555">
        <v>7.3</v>
      </c>
    </row>
    <row r="556" spans="1:8" x14ac:dyDescent="0.25">
      <c r="A556">
        <v>124</v>
      </c>
      <c r="B556">
        <v>68473360</v>
      </c>
      <c r="C556" t="s">
        <v>527</v>
      </c>
      <c r="D556" t="s">
        <v>1</v>
      </c>
      <c r="E556" t="s">
        <v>2</v>
      </c>
      <c r="F556">
        <v>75000000</v>
      </c>
      <c r="G556">
        <v>2000</v>
      </c>
      <c r="H556">
        <v>5.9</v>
      </c>
    </row>
    <row r="557" spans="1:8" x14ac:dyDescent="0.25">
      <c r="A557">
        <v>102</v>
      </c>
      <c r="B557">
        <v>66636385</v>
      </c>
      <c r="C557" t="s">
        <v>528</v>
      </c>
      <c r="D557" t="s">
        <v>1</v>
      </c>
      <c r="E557" t="s">
        <v>2</v>
      </c>
      <c r="F557">
        <v>75000000</v>
      </c>
      <c r="G557">
        <v>2007</v>
      </c>
      <c r="H557">
        <v>7.1</v>
      </c>
    </row>
    <row r="558" spans="1:8" x14ac:dyDescent="0.25">
      <c r="A558">
        <v>90</v>
      </c>
      <c r="B558">
        <v>160762022</v>
      </c>
      <c r="C558" t="s">
        <v>529</v>
      </c>
      <c r="D558" t="s">
        <v>1</v>
      </c>
      <c r="E558" t="s">
        <v>2</v>
      </c>
      <c r="F558">
        <v>75000000</v>
      </c>
      <c r="G558">
        <v>2004</v>
      </c>
      <c r="H558">
        <v>6</v>
      </c>
    </row>
    <row r="559" spans="1:8" x14ac:dyDescent="0.25">
      <c r="A559">
        <v>100</v>
      </c>
      <c r="B559">
        <v>47000485</v>
      </c>
      <c r="C559" t="s">
        <v>534</v>
      </c>
      <c r="D559" t="s">
        <v>1</v>
      </c>
      <c r="E559" t="s">
        <v>2</v>
      </c>
      <c r="F559">
        <v>75000000</v>
      </c>
      <c r="G559">
        <v>2010</v>
      </c>
      <c r="H559">
        <v>5.4</v>
      </c>
    </row>
    <row r="560" spans="1:8" x14ac:dyDescent="0.25">
      <c r="A560">
        <v>116</v>
      </c>
      <c r="B560">
        <v>45434443</v>
      </c>
      <c r="C560" t="s">
        <v>535</v>
      </c>
      <c r="D560" t="s">
        <v>1</v>
      </c>
      <c r="E560" t="s">
        <v>2</v>
      </c>
      <c r="F560">
        <v>75000000</v>
      </c>
      <c r="G560">
        <v>2015</v>
      </c>
      <c r="H560">
        <v>7.3</v>
      </c>
    </row>
    <row r="561" spans="1:8" x14ac:dyDescent="0.25">
      <c r="A561">
        <v>91</v>
      </c>
      <c r="B561">
        <v>73661010</v>
      </c>
      <c r="C561" t="s">
        <v>537</v>
      </c>
      <c r="D561" t="s">
        <v>1</v>
      </c>
      <c r="E561" t="s">
        <v>2</v>
      </c>
      <c r="F561">
        <v>75000000</v>
      </c>
      <c r="G561">
        <v>2006</v>
      </c>
      <c r="H561">
        <v>6.6</v>
      </c>
    </row>
    <row r="562" spans="1:8" x14ac:dyDescent="0.25">
      <c r="A562">
        <v>148</v>
      </c>
      <c r="B562">
        <v>39251128</v>
      </c>
      <c r="C562" t="s">
        <v>540</v>
      </c>
      <c r="D562" t="s">
        <v>1</v>
      </c>
      <c r="E562" t="s">
        <v>2</v>
      </c>
      <c r="F562">
        <v>75000000</v>
      </c>
      <c r="G562">
        <v>1999</v>
      </c>
      <c r="H562">
        <v>6.7</v>
      </c>
    </row>
    <row r="563" spans="1:8" x14ac:dyDescent="0.25">
      <c r="A563">
        <v>110</v>
      </c>
      <c r="B563">
        <v>83503161</v>
      </c>
      <c r="C563" t="s">
        <v>541</v>
      </c>
      <c r="D563" t="s">
        <v>1</v>
      </c>
      <c r="E563" t="s">
        <v>2</v>
      </c>
      <c r="F563">
        <v>75000000</v>
      </c>
      <c r="G563">
        <v>2011</v>
      </c>
      <c r="H563">
        <v>6.1</v>
      </c>
    </row>
    <row r="564" spans="1:8" x14ac:dyDescent="0.25">
      <c r="A564">
        <v>94</v>
      </c>
      <c r="B564">
        <v>22751979</v>
      </c>
      <c r="C564" t="s">
        <v>543</v>
      </c>
      <c r="D564" t="s">
        <v>1</v>
      </c>
      <c r="E564" t="s">
        <v>2</v>
      </c>
      <c r="F564">
        <v>75000000</v>
      </c>
      <c r="G564">
        <v>2000</v>
      </c>
      <c r="H564">
        <v>6.6</v>
      </c>
    </row>
    <row r="565" spans="1:8" x14ac:dyDescent="0.25">
      <c r="A565">
        <v>116</v>
      </c>
      <c r="B565">
        <v>30013346</v>
      </c>
      <c r="C565" t="s">
        <v>544</v>
      </c>
      <c r="D565" t="s">
        <v>1</v>
      </c>
      <c r="E565" t="s">
        <v>2</v>
      </c>
      <c r="F565">
        <v>75000000</v>
      </c>
      <c r="G565">
        <v>2003</v>
      </c>
      <c r="H565">
        <v>5.3</v>
      </c>
    </row>
    <row r="566" spans="1:8" x14ac:dyDescent="0.25">
      <c r="A566">
        <v>99</v>
      </c>
      <c r="B566">
        <v>14567883</v>
      </c>
      <c r="C566" t="s">
        <v>545</v>
      </c>
      <c r="D566" t="s">
        <v>1</v>
      </c>
      <c r="E566" t="s">
        <v>5</v>
      </c>
      <c r="F566">
        <v>75000000</v>
      </c>
      <c r="G566">
        <v>1998</v>
      </c>
      <c r="H566">
        <v>6</v>
      </c>
    </row>
    <row r="567" spans="1:8" x14ac:dyDescent="0.25">
      <c r="A567">
        <v>93</v>
      </c>
      <c r="B567">
        <v>5409517</v>
      </c>
      <c r="C567" t="s">
        <v>546</v>
      </c>
      <c r="D567" t="s">
        <v>1</v>
      </c>
      <c r="E567" t="s">
        <v>2</v>
      </c>
      <c r="F567">
        <v>75000000</v>
      </c>
      <c r="G567">
        <v>2001</v>
      </c>
      <c r="H567">
        <v>4.7</v>
      </c>
    </row>
    <row r="568" spans="1:8" x14ac:dyDescent="0.25">
      <c r="A568">
        <v>106</v>
      </c>
      <c r="B568">
        <v>94999143</v>
      </c>
      <c r="C568" t="s">
        <v>548</v>
      </c>
      <c r="D568" t="s">
        <v>1</v>
      </c>
      <c r="E568" t="s">
        <v>2</v>
      </c>
      <c r="F568">
        <v>75000000</v>
      </c>
      <c r="G568">
        <v>2000</v>
      </c>
      <c r="H568">
        <v>7.2</v>
      </c>
    </row>
    <row r="569" spans="1:8" x14ac:dyDescent="0.25">
      <c r="A569">
        <v>134</v>
      </c>
      <c r="B569">
        <v>36976367</v>
      </c>
      <c r="C569" t="s">
        <v>552</v>
      </c>
      <c r="D569" t="s">
        <v>1</v>
      </c>
      <c r="E569" t="s">
        <v>2</v>
      </c>
      <c r="F569">
        <v>75000000</v>
      </c>
      <c r="G569">
        <v>1998</v>
      </c>
      <c r="H569">
        <v>6</v>
      </c>
    </row>
    <row r="570" spans="1:8" x14ac:dyDescent="0.25">
      <c r="A570">
        <v>153</v>
      </c>
      <c r="B570">
        <v>51814190</v>
      </c>
      <c r="C570" t="s">
        <v>555</v>
      </c>
      <c r="D570" t="s">
        <v>1</v>
      </c>
      <c r="E570" t="s">
        <v>2</v>
      </c>
      <c r="F570">
        <v>75000000</v>
      </c>
      <c r="G570">
        <v>2009</v>
      </c>
      <c r="H570">
        <v>6.4</v>
      </c>
    </row>
    <row r="571" spans="1:8" x14ac:dyDescent="0.25">
      <c r="A571">
        <v>87</v>
      </c>
      <c r="B571">
        <v>183132370</v>
      </c>
      <c r="C571" t="s">
        <v>561</v>
      </c>
      <c r="D571" t="s">
        <v>1</v>
      </c>
      <c r="E571" t="s">
        <v>2</v>
      </c>
      <c r="F571">
        <v>75000000</v>
      </c>
      <c r="G571">
        <v>2007</v>
      </c>
      <c r="H571">
        <v>7.4</v>
      </c>
    </row>
    <row r="572" spans="1:8" x14ac:dyDescent="0.25">
      <c r="A572">
        <v>153</v>
      </c>
      <c r="B572">
        <v>120523073</v>
      </c>
      <c r="C572" t="s">
        <v>574</v>
      </c>
      <c r="D572" t="s">
        <v>1</v>
      </c>
      <c r="E572" t="s">
        <v>2</v>
      </c>
      <c r="F572">
        <v>75000000</v>
      </c>
      <c r="G572">
        <v>2009</v>
      </c>
      <c r="H572">
        <v>8.3000000000000007</v>
      </c>
    </row>
    <row r="573" spans="1:8" x14ac:dyDescent="0.25">
      <c r="A573">
        <v>88</v>
      </c>
      <c r="B573">
        <v>219613391</v>
      </c>
      <c r="C573" t="s">
        <v>581</v>
      </c>
      <c r="D573" t="s">
        <v>1</v>
      </c>
      <c r="E573" t="s">
        <v>2</v>
      </c>
      <c r="F573">
        <v>75000000</v>
      </c>
      <c r="G573">
        <v>2009</v>
      </c>
      <c r="H573">
        <v>4.5</v>
      </c>
    </row>
    <row r="574" spans="1:8" x14ac:dyDescent="0.25">
      <c r="A574">
        <v>124</v>
      </c>
      <c r="B574">
        <v>78120196</v>
      </c>
      <c r="C574" t="s">
        <v>582</v>
      </c>
      <c r="D574" t="s">
        <v>1</v>
      </c>
      <c r="E574" t="s">
        <v>2</v>
      </c>
      <c r="F574">
        <v>75000000</v>
      </c>
      <c r="G574">
        <v>2002</v>
      </c>
      <c r="H574">
        <v>7.1</v>
      </c>
    </row>
    <row r="575" spans="1:8" x14ac:dyDescent="0.25">
      <c r="A575">
        <v>136</v>
      </c>
      <c r="B575">
        <v>38509342</v>
      </c>
      <c r="C575" t="s">
        <v>601</v>
      </c>
      <c r="D575" t="s">
        <v>1</v>
      </c>
      <c r="E575" t="s">
        <v>2</v>
      </c>
      <c r="F575">
        <v>75000000</v>
      </c>
      <c r="G575">
        <v>2012</v>
      </c>
      <c r="H575">
        <v>5.9</v>
      </c>
    </row>
    <row r="576" spans="1:8" x14ac:dyDescent="0.25">
      <c r="A576">
        <v>116</v>
      </c>
      <c r="B576">
        <v>47748610</v>
      </c>
      <c r="C576" t="s">
        <v>740</v>
      </c>
      <c r="D576" t="s">
        <v>1</v>
      </c>
      <c r="E576" t="s">
        <v>2</v>
      </c>
      <c r="F576">
        <v>75000000</v>
      </c>
      <c r="G576">
        <v>1997</v>
      </c>
      <c r="H576">
        <v>6.3</v>
      </c>
    </row>
    <row r="577" spans="1:8" x14ac:dyDescent="0.25">
      <c r="A577">
        <v>91</v>
      </c>
      <c r="B577">
        <v>336029560</v>
      </c>
      <c r="C577" t="s">
        <v>549</v>
      </c>
      <c r="D577" t="s">
        <v>1</v>
      </c>
      <c r="E577" t="s">
        <v>2</v>
      </c>
      <c r="F577">
        <v>74000000</v>
      </c>
      <c r="G577">
        <v>2015</v>
      </c>
      <c r="H577">
        <v>6.4</v>
      </c>
    </row>
    <row r="578" spans="1:8" x14ac:dyDescent="0.25">
      <c r="A578">
        <v>92</v>
      </c>
      <c r="B578">
        <v>162495848</v>
      </c>
      <c r="C578" t="s">
        <v>572</v>
      </c>
      <c r="D578" t="s">
        <v>1</v>
      </c>
      <c r="E578" t="s">
        <v>2</v>
      </c>
      <c r="F578">
        <v>74000000</v>
      </c>
      <c r="G578">
        <v>2015</v>
      </c>
      <c r="H578">
        <v>6</v>
      </c>
    </row>
    <row r="579" spans="1:8" x14ac:dyDescent="0.25">
      <c r="A579">
        <v>129</v>
      </c>
      <c r="B579">
        <v>229074524</v>
      </c>
      <c r="C579" t="s">
        <v>512</v>
      </c>
      <c r="D579" t="s">
        <v>1</v>
      </c>
      <c r="E579" t="s">
        <v>2</v>
      </c>
      <c r="F579">
        <v>73000000</v>
      </c>
      <c r="G579">
        <v>1997</v>
      </c>
      <c r="H579">
        <v>6.5</v>
      </c>
    </row>
    <row r="580" spans="1:8" x14ac:dyDescent="0.25">
      <c r="A580">
        <v>97</v>
      </c>
      <c r="B580">
        <v>107225164</v>
      </c>
      <c r="C580" t="s">
        <v>553</v>
      </c>
      <c r="D580" t="s">
        <v>1</v>
      </c>
      <c r="E580" t="s">
        <v>2</v>
      </c>
      <c r="F580">
        <v>73000000</v>
      </c>
      <c r="G580">
        <v>2016</v>
      </c>
      <c r="H580">
        <v>6.3</v>
      </c>
    </row>
    <row r="581" spans="1:8" x14ac:dyDescent="0.25">
      <c r="A581">
        <v>122</v>
      </c>
      <c r="B581">
        <v>148213377</v>
      </c>
      <c r="C581" t="s">
        <v>557</v>
      </c>
      <c r="D581" t="s">
        <v>1</v>
      </c>
      <c r="E581" t="s">
        <v>2</v>
      </c>
      <c r="F581">
        <v>73000000</v>
      </c>
      <c r="G581">
        <v>2006</v>
      </c>
      <c r="H581">
        <v>6.6</v>
      </c>
    </row>
    <row r="582" spans="1:8" x14ac:dyDescent="0.25">
      <c r="A582">
        <v>87</v>
      </c>
      <c r="B582">
        <v>112950721</v>
      </c>
      <c r="C582" t="s">
        <v>558</v>
      </c>
      <c r="D582" t="s">
        <v>1</v>
      </c>
      <c r="E582" t="s">
        <v>2</v>
      </c>
      <c r="F582">
        <v>72000000</v>
      </c>
      <c r="G582">
        <v>2001</v>
      </c>
      <c r="H582">
        <v>4.5999999999999996</v>
      </c>
    </row>
    <row r="583" spans="1:8" x14ac:dyDescent="0.25">
      <c r="A583">
        <v>178</v>
      </c>
      <c r="B583">
        <v>75600000</v>
      </c>
      <c r="C583" t="s">
        <v>559</v>
      </c>
      <c r="D583" t="s">
        <v>1</v>
      </c>
      <c r="E583" t="s">
        <v>2</v>
      </c>
      <c r="F583">
        <v>72000000</v>
      </c>
      <c r="G583">
        <v>1995</v>
      </c>
      <c r="H583">
        <v>8.4</v>
      </c>
    </row>
    <row r="584" spans="1:8" x14ac:dyDescent="0.25">
      <c r="A584">
        <v>152</v>
      </c>
      <c r="B584">
        <v>27796042</v>
      </c>
      <c r="C584" t="s">
        <v>562</v>
      </c>
      <c r="D584" t="s">
        <v>1</v>
      </c>
      <c r="E584" t="s">
        <v>2</v>
      </c>
      <c r="F584">
        <v>72000000</v>
      </c>
      <c r="G584">
        <v>2001</v>
      </c>
      <c r="H584">
        <v>6.9</v>
      </c>
    </row>
    <row r="585" spans="1:8" x14ac:dyDescent="0.25">
      <c r="A585">
        <v>116</v>
      </c>
      <c r="B585">
        <v>32616869</v>
      </c>
      <c r="C585" t="s">
        <v>563</v>
      </c>
      <c r="D585" t="s">
        <v>1</v>
      </c>
      <c r="E585" t="s">
        <v>2</v>
      </c>
      <c r="F585">
        <v>72000000</v>
      </c>
      <c r="G585">
        <v>2001</v>
      </c>
      <c r="H585">
        <v>4.5</v>
      </c>
    </row>
    <row r="586" spans="1:8" x14ac:dyDescent="0.25">
      <c r="A586">
        <v>106</v>
      </c>
      <c r="B586">
        <v>227965690</v>
      </c>
      <c r="C586" t="s">
        <v>567</v>
      </c>
      <c r="D586" t="s">
        <v>1</v>
      </c>
      <c r="E586" t="s">
        <v>2</v>
      </c>
      <c r="F586">
        <v>72000000</v>
      </c>
      <c r="G586">
        <v>2002</v>
      </c>
      <c r="H586">
        <v>6.7</v>
      </c>
    </row>
    <row r="587" spans="1:8" x14ac:dyDescent="0.25">
      <c r="A587">
        <v>85</v>
      </c>
      <c r="B587">
        <v>144156464</v>
      </c>
      <c r="C587" t="s">
        <v>566</v>
      </c>
      <c r="D587" t="s">
        <v>1</v>
      </c>
      <c r="E587" t="s">
        <v>2</v>
      </c>
      <c r="F587">
        <v>71500000</v>
      </c>
      <c r="G587">
        <v>1998</v>
      </c>
      <c r="H587">
        <v>5.3</v>
      </c>
    </row>
    <row r="588" spans="1:8" x14ac:dyDescent="0.25">
      <c r="A588">
        <v>100</v>
      </c>
      <c r="B588">
        <v>11466088</v>
      </c>
      <c r="C588" t="s">
        <v>852</v>
      </c>
      <c r="D588" t="s">
        <v>1</v>
      </c>
      <c r="E588" t="s">
        <v>2</v>
      </c>
      <c r="F588">
        <v>71000000</v>
      </c>
      <c r="G588">
        <v>1997</v>
      </c>
      <c r="H588">
        <v>4.7</v>
      </c>
    </row>
    <row r="589" spans="1:8" x14ac:dyDescent="0.25">
      <c r="A589">
        <v>130</v>
      </c>
      <c r="B589">
        <v>50016394</v>
      </c>
      <c r="C589" t="s">
        <v>412</v>
      </c>
      <c r="D589" t="s">
        <v>1</v>
      </c>
      <c r="E589" t="s">
        <v>2</v>
      </c>
      <c r="F589">
        <v>70000000</v>
      </c>
      <c r="G589">
        <v>1993</v>
      </c>
      <c r="H589">
        <v>6.2</v>
      </c>
    </row>
    <row r="590" spans="1:8" x14ac:dyDescent="0.25">
      <c r="A590">
        <v>107</v>
      </c>
      <c r="B590">
        <v>137340146</v>
      </c>
      <c r="C590" t="s">
        <v>424</v>
      </c>
      <c r="D590" t="s">
        <v>1</v>
      </c>
      <c r="E590" t="s">
        <v>2</v>
      </c>
      <c r="F590">
        <v>70000000</v>
      </c>
      <c r="G590">
        <v>2006</v>
      </c>
      <c r="H590">
        <v>6.4</v>
      </c>
    </row>
    <row r="591" spans="1:8" x14ac:dyDescent="0.25">
      <c r="A591">
        <v>98</v>
      </c>
      <c r="B591">
        <v>74329966</v>
      </c>
      <c r="C591" t="s">
        <v>463</v>
      </c>
      <c r="D591" t="s">
        <v>1</v>
      </c>
      <c r="E591" t="s">
        <v>2</v>
      </c>
      <c r="F591">
        <v>70000000</v>
      </c>
      <c r="G591">
        <v>1998</v>
      </c>
      <c r="H591">
        <v>5.7</v>
      </c>
    </row>
    <row r="592" spans="1:8" x14ac:dyDescent="0.25">
      <c r="A592">
        <v>106</v>
      </c>
      <c r="B592">
        <v>37754208</v>
      </c>
      <c r="C592" t="s">
        <v>479</v>
      </c>
      <c r="D592" t="s">
        <v>1</v>
      </c>
      <c r="E592" t="s">
        <v>2</v>
      </c>
      <c r="F592">
        <v>70000000</v>
      </c>
      <c r="G592">
        <v>1996</v>
      </c>
      <c r="H592">
        <v>6.3</v>
      </c>
    </row>
    <row r="593" spans="1:8" x14ac:dyDescent="0.25">
      <c r="A593">
        <v>106</v>
      </c>
      <c r="B593">
        <v>17473245</v>
      </c>
      <c r="C593" t="s">
        <v>491</v>
      </c>
      <c r="D593" t="s">
        <v>1</v>
      </c>
      <c r="E593" t="s">
        <v>2</v>
      </c>
      <c r="F593">
        <v>70000000</v>
      </c>
      <c r="G593">
        <v>2000</v>
      </c>
      <c r="H593">
        <v>5.7</v>
      </c>
    </row>
    <row r="594" spans="1:8" x14ac:dyDescent="0.25">
      <c r="A594">
        <v>130</v>
      </c>
      <c r="B594">
        <v>103338338</v>
      </c>
      <c r="C594" t="s">
        <v>530</v>
      </c>
      <c r="D594" t="s">
        <v>1</v>
      </c>
      <c r="E594" t="s">
        <v>2</v>
      </c>
      <c r="F594">
        <v>70000000</v>
      </c>
      <c r="G594">
        <v>2006</v>
      </c>
      <c r="H594">
        <v>6.5</v>
      </c>
    </row>
    <row r="595" spans="1:8" x14ac:dyDescent="0.25">
      <c r="A595">
        <v>163</v>
      </c>
      <c r="B595">
        <v>47379090</v>
      </c>
      <c r="C595" t="s">
        <v>532</v>
      </c>
      <c r="D595" t="s">
        <v>1</v>
      </c>
      <c r="E595" t="s">
        <v>244</v>
      </c>
      <c r="F595">
        <v>70000000</v>
      </c>
      <c r="G595">
        <v>2005</v>
      </c>
      <c r="H595">
        <v>7.6</v>
      </c>
    </row>
    <row r="596" spans="1:8" x14ac:dyDescent="0.25">
      <c r="A596">
        <v>142</v>
      </c>
      <c r="B596">
        <v>43426961</v>
      </c>
      <c r="C596" t="s">
        <v>533</v>
      </c>
      <c r="D596" t="s">
        <v>1</v>
      </c>
      <c r="E596" t="s">
        <v>2</v>
      </c>
      <c r="F596">
        <v>70000000</v>
      </c>
      <c r="G596">
        <v>2003</v>
      </c>
      <c r="H596">
        <v>6.6</v>
      </c>
    </row>
    <row r="597" spans="1:8" x14ac:dyDescent="0.25">
      <c r="A597">
        <v>112</v>
      </c>
      <c r="B597">
        <v>70224196</v>
      </c>
      <c r="C597" t="s">
        <v>554</v>
      </c>
      <c r="D597" t="s">
        <v>1</v>
      </c>
      <c r="E597" t="s">
        <v>2</v>
      </c>
      <c r="F597">
        <v>70000000</v>
      </c>
      <c r="G597">
        <v>2008</v>
      </c>
      <c r="H597">
        <v>5.6</v>
      </c>
    </row>
    <row r="598" spans="1:8" x14ac:dyDescent="0.25">
      <c r="A598">
        <v>110</v>
      </c>
      <c r="B598">
        <v>47456450</v>
      </c>
      <c r="C598" t="s">
        <v>556</v>
      </c>
      <c r="D598" t="s">
        <v>1</v>
      </c>
      <c r="E598" t="s">
        <v>2</v>
      </c>
      <c r="F598">
        <v>70000000</v>
      </c>
      <c r="G598">
        <v>2007</v>
      </c>
      <c r="H598">
        <v>7.1</v>
      </c>
    </row>
    <row r="599" spans="1:8" x14ac:dyDescent="0.25">
      <c r="A599">
        <v>125</v>
      </c>
      <c r="B599">
        <v>62647540</v>
      </c>
      <c r="C599" t="s">
        <v>560</v>
      </c>
      <c r="D599" t="s">
        <v>1</v>
      </c>
      <c r="E599" t="s">
        <v>119</v>
      </c>
      <c r="F599">
        <v>70000000</v>
      </c>
      <c r="G599">
        <v>2005</v>
      </c>
      <c r="H599">
        <v>7.1</v>
      </c>
    </row>
    <row r="600" spans="1:8" x14ac:dyDescent="0.25">
      <c r="A600">
        <v>116</v>
      </c>
      <c r="B600">
        <v>152149590</v>
      </c>
      <c r="C600" t="s">
        <v>570</v>
      </c>
      <c r="D600" t="s">
        <v>1</v>
      </c>
      <c r="E600" t="s">
        <v>2</v>
      </c>
      <c r="F600">
        <v>70000000</v>
      </c>
      <c r="G600">
        <v>1999</v>
      </c>
      <c r="H600">
        <v>5.5</v>
      </c>
    </row>
    <row r="601" spans="1:8" x14ac:dyDescent="0.25">
      <c r="A601">
        <v>132</v>
      </c>
      <c r="B601">
        <v>141204016</v>
      </c>
      <c r="C601" t="s">
        <v>571</v>
      </c>
      <c r="D601" t="s">
        <v>1</v>
      </c>
      <c r="E601" t="s">
        <v>2</v>
      </c>
      <c r="F601">
        <v>70000000</v>
      </c>
      <c r="G601">
        <v>2002</v>
      </c>
      <c r="H601">
        <v>5.8</v>
      </c>
    </row>
    <row r="602" spans="1:8" x14ac:dyDescent="0.25">
      <c r="A602">
        <v>142</v>
      </c>
      <c r="B602">
        <v>119654900</v>
      </c>
      <c r="C602" t="s">
        <v>575</v>
      </c>
      <c r="D602" t="s">
        <v>1</v>
      </c>
      <c r="E602" t="s">
        <v>2</v>
      </c>
      <c r="F602">
        <v>70000000</v>
      </c>
      <c r="G602">
        <v>1991</v>
      </c>
      <c r="H602">
        <v>6.7</v>
      </c>
    </row>
    <row r="603" spans="1:8" x14ac:dyDescent="0.25">
      <c r="A603">
        <v>124</v>
      </c>
      <c r="B603">
        <v>117541000</v>
      </c>
      <c r="C603" t="s">
        <v>576</v>
      </c>
      <c r="D603" t="s">
        <v>1</v>
      </c>
      <c r="E603" t="s">
        <v>2</v>
      </c>
      <c r="F603">
        <v>70000000</v>
      </c>
      <c r="G603">
        <v>1990</v>
      </c>
      <c r="H603">
        <v>7.1</v>
      </c>
    </row>
    <row r="604" spans="1:8" x14ac:dyDescent="0.25">
      <c r="A604">
        <v>110</v>
      </c>
      <c r="B604">
        <v>42272747</v>
      </c>
      <c r="C604" t="s">
        <v>579</v>
      </c>
      <c r="D604" t="s">
        <v>1</v>
      </c>
      <c r="E604" t="s">
        <v>2</v>
      </c>
      <c r="F604">
        <v>70000000</v>
      </c>
      <c r="G604">
        <v>2006</v>
      </c>
      <c r="H604">
        <v>5.6</v>
      </c>
    </row>
    <row r="605" spans="1:8" x14ac:dyDescent="0.25">
      <c r="A605">
        <v>119</v>
      </c>
      <c r="B605">
        <v>98895417</v>
      </c>
      <c r="C605" t="s">
        <v>583</v>
      </c>
      <c r="D605" t="s">
        <v>1</v>
      </c>
      <c r="E605" t="s">
        <v>2</v>
      </c>
      <c r="F605">
        <v>70000000</v>
      </c>
      <c r="G605">
        <v>2013</v>
      </c>
      <c r="H605">
        <v>6.5</v>
      </c>
    </row>
    <row r="606" spans="1:8" x14ac:dyDescent="0.25">
      <c r="A606">
        <v>116</v>
      </c>
      <c r="B606">
        <v>83552429</v>
      </c>
      <c r="C606" t="s">
        <v>585</v>
      </c>
      <c r="D606" t="s">
        <v>1</v>
      </c>
      <c r="E606" t="s">
        <v>2</v>
      </c>
      <c r="F606">
        <v>70000000</v>
      </c>
      <c r="G606">
        <v>2011</v>
      </c>
      <c r="H606">
        <v>5.8</v>
      </c>
    </row>
    <row r="607" spans="1:8" x14ac:dyDescent="0.25">
      <c r="A607">
        <v>125</v>
      </c>
      <c r="B607">
        <v>66257002</v>
      </c>
      <c r="C607" t="s">
        <v>586</v>
      </c>
      <c r="D607" t="s">
        <v>1</v>
      </c>
      <c r="E607" t="s">
        <v>2</v>
      </c>
      <c r="F607">
        <v>70000000</v>
      </c>
      <c r="G607">
        <v>2003</v>
      </c>
      <c r="H607">
        <v>8</v>
      </c>
    </row>
    <row r="608" spans="1:8" x14ac:dyDescent="0.25">
      <c r="A608">
        <v>125</v>
      </c>
      <c r="B608">
        <v>65012000</v>
      </c>
      <c r="C608" t="s">
        <v>587</v>
      </c>
      <c r="D608" t="s">
        <v>1</v>
      </c>
      <c r="E608" t="s">
        <v>2</v>
      </c>
      <c r="F608">
        <v>70000000</v>
      </c>
      <c r="G608">
        <v>1994</v>
      </c>
      <c r="H608">
        <v>6.2</v>
      </c>
    </row>
    <row r="609" spans="1:8" x14ac:dyDescent="0.25">
      <c r="A609">
        <v>118</v>
      </c>
      <c r="B609">
        <v>78031620</v>
      </c>
      <c r="C609" t="s">
        <v>589</v>
      </c>
      <c r="D609" t="s">
        <v>1</v>
      </c>
      <c r="E609" t="s">
        <v>2</v>
      </c>
      <c r="F609">
        <v>70000000</v>
      </c>
      <c r="G609">
        <v>2014</v>
      </c>
      <c r="H609">
        <v>6.1</v>
      </c>
    </row>
    <row r="610" spans="1:8" x14ac:dyDescent="0.25">
      <c r="A610">
        <v>136</v>
      </c>
      <c r="B610">
        <v>52474616</v>
      </c>
      <c r="C610" t="s">
        <v>591</v>
      </c>
      <c r="D610" t="s">
        <v>1</v>
      </c>
      <c r="E610" t="s">
        <v>2</v>
      </c>
      <c r="F610">
        <v>70000000</v>
      </c>
      <c r="G610">
        <v>2010</v>
      </c>
      <c r="H610">
        <v>6.3</v>
      </c>
    </row>
    <row r="611" spans="1:8" x14ac:dyDescent="0.25">
      <c r="A611">
        <v>92</v>
      </c>
      <c r="B611">
        <v>55942830</v>
      </c>
      <c r="C611" t="s">
        <v>592</v>
      </c>
      <c r="D611" t="s">
        <v>1</v>
      </c>
      <c r="E611" t="s">
        <v>2</v>
      </c>
      <c r="F611">
        <v>70000000</v>
      </c>
      <c r="G611">
        <v>2014</v>
      </c>
      <c r="H611">
        <v>6.3</v>
      </c>
    </row>
    <row r="612" spans="1:8" x14ac:dyDescent="0.25">
      <c r="A612">
        <v>116</v>
      </c>
      <c r="B612">
        <v>40932372</v>
      </c>
      <c r="C612" t="s">
        <v>593</v>
      </c>
      <c r="D612" t="s">
        <v>1</v>
      </c>
      <c r="E612" t="s">
        <v>2</v>
      </c>
      <c r="F612">
        <v>70000000</v>
      </c>
      <c r="G612">
        <v>1998</v>
      </c>
      <c r="H612">
        <v>6.3</v>
      </c>
    </row>
    <row r="613" spans="1:8" x14ac:dyDescent="0.25">
      <c r="A613">
        <v>127</v>
      </c>
      <c r="B613">
        <v>38345403</v>
      </c>
      <c r="C613" t="s">
        <v>594</v>
      </c>
      <c r="D613" t="s">
        <v>1</v>
      </c>
      <c r="E613" t="s">
        <v>5</v>
      </c>
      <c r="F613">
        <v>70000000</v>
      </c>
      <c r="G613">
        <v>2007</v>
      </c>
      <c r="H613">
        <v>7.7</v>
      </c>
    </row>
    <row r="614" spans="1:8" x14ac:dyDescent="0.25">
      <c r="A614">
        <v>136</v>
      </c>
      <c r="B614">
        <v>37901509</v>
      </c>
      <c r="C614" t="s">
        <v>595</v>
      </c>
      <c r="D614" t="s">
        <v>1</v>
      </c>
      <c r="E614" t="s">
        <v>2</v>
      </c>
      <c r="F614">
        <v>70000000</v>
      </c>
      <c r="G614">
        <v>1997</v>
      </c>
      <c r="H614">
        <v>7</v>
      </c>
    </row>
    <row r="615" spans="1:8" x14ac:dyDescent="0.25">
      <c r="A615">
        <v>111</v>
      </c>
      <c r="B615">
        <v>48430355</v>
      </c>
      <c r="C615" t="s">
        <v>596</v>
      </c>
      <c r="D615" t="s">
        <v>1</v>
      </c>
      <c r="E615" t="s">
        <v>2</v>
      </c>
      <c r="F615">
        <v>70000000</v>
      </c>
      <c r="G615">
        <v>2011</v>
      </c>
      <c r="H615">
        <v>5.3</v>
      </c>
    </row>
    <row r="616" spans="1:8" x14ac:dyDescent="0.25">
      <c r="A616">
        <v>116</v>
      </c>
      <c r="B616">
        <v>30157016</v>
      </c>
      <c r="C616" t="s">
        <v>597</v>
      </c>
      <c r="D616" t="s">
        <v>1</v>
      </c>
      <c r="E616" t="s">
        <v>2</v>
      </c>
      <c r="F616">
        <v>70000000</v>
      </c>
      <c r="G616">
        <v>2002</v>
      </c>
      <c r="H616">
        <v>5.6</v>
      </c>
    </row>
    <row r="617" spans="1:8" x14ac:dyDescent="0.25">
      <c r="A617">
        <v>97</v>
      </c>
      <c r="B617">
        <v>33105600</v>
      </c>
      <c r="C617" t="s">
        <v>599</v>
      </c>
      <c r="D617" t="s">
        <v>1</v>
      </c>
      <c r="E617" t="s">
        <v>2</v>
      </c>
      <c r="F617">
        <v>70000000</v>
      </c>
      <c r="G617">
        <v>2002</v>
      </c>
      <c r="H617">
        <v>5.4</v>
      </c>
    </row>
    <row r="618" spans="1:8" x14ac:dyDescent="0.25">
      <c r="A618">
        <v>88</v>
      </c>
      <c r="B618">
        <v>62321039</v>
      </c>
      <c r="C618" t="s">
        <v>600</v>
      </c>
      <c r="D618" t="s">
        <v>1</v>
      </c>
      <c r="E618" t="s">
        <v>2</v>
      </c>
      <c r="F618">
        <v>70000000</v>
      </c>
      <c r="G618">
        <v>2012</v>
      </c>
      <c r="H618">
        <v>6.4</v>
      </c>
    </row>
    <row r="619" spans="1:8" x14ac:dyDescent="0.25">
      <c r="A619">
        <v>98</v>
      </c>
      <c r="B619">
        <v>18990542</v>
      </c>
      <c r="C619" t="s">
        <v>604</v>
      </c>
      <c r="D619" t="s">
        <v>1</v>
      </c>
      <c r="E619" t="s">
        <v>2</v>
      </c>
      <c r="F619">
        <v>70000000</v>
      </c>
      <c r="G619">
        <v>2002</v>
      </c>
      <c r="H619">
        <v>3</v>
      </c>
    </row>
    <row r="620" spans="1:8" x14ac:dyDescent="0.25">
      <c r="A620">
        <v>91</v>
      </c>
      <c r="B620">
        <v>14294842</v>
      </c>
      <c r="C620" t="s">
        <v>605</v>
      </c>
      <c r="D620" t="s">
        <v>1</v>
      </c>
      <c r="E620" t="s">
        <v>2</v>
      </c>
      <c r="F620">
        <v>70000000</v>
      </c>
      <c r="G620">
        <v>2002</v>
      </c>
      <c r="H620">
        <v>3.6</v>
      </c>
    </row>
    <row r="621" spans="1:8" x14ac:dyDescent="0.25">
      <c r="A621">
        <v>97</v>
      </c>
      <c r="B621">
        <v>19819494</v>
      </c>
      <c r="C621" t="s">
        <v>606</v>
      </c>
      <c r="D621" t="s">
        <v>1</v>
      </c>
      <c r="E621" t="s">
        <v>2</v>
      </c>
      <c r="F621">
        <v>70000000</v>
      </c>
      <c r="G621">
        <v>1998</v>
      </c>
      <c r="H621">
        <v>5.8</v>
      </c>
    </row>
    <row r="622" spans="1:8" x14ac:dyDescent="0.25">
      <c r="A622">
        <v>95</v>
      </c>
      <c r="B622">
        <v>13596911</v>
      </c>
      <c r="C622" t="s">
        <v>607</v>
      </c>
      <c r="D622" t="s">
        <v>1</v>
      </c>
      <c r="E622" t="s">
        <v>2</v>
      </c>
      <c r="F622">
        <v>70000000</v>
      </c>
      <c r="G622">
        <v>2001</v>
      </c>
      <c r="H622">
        <v>6.2</v>
      </c>
    </row>
    <row r="623" spans="1:8" x14ac:dyDescent="0.25">
      <c r="A623">
        <v>133</v>
      </c>
      <c r="B623">
        <v>7097125</v>
      </c>
      <c r="C623" t="s">
        <v>608</v>
      </c>
      <c r="D623" t="s">
        <v>1</v>
      </c>
      <c r="E623" t="s">
        <v>2</v>
      </c>
      <c r="F623">
        <v>70000000</v>
      </c>
      <c r="G623">
        <v>2015</v>
      </c>
      <c r="H623">
        <v>5.4</v>
      </c>
    </row>
    <row r="624" spans="1:8" x14ac:dyDescent="0.25">
      <c r="A624">
        <v>106</v>
      </c>
      <c r="B624">
        <v>37760080</v>
      </c>
      <c r="C624" t="s">
        <v>609</v>
      </c>
      <c r="D624" t="s">
        <v>1</v>
      </c>
      <c r="E624" t="s">
        <v>2</v>
      </c>
      <c r="F624">
        <v>70000000</v>
      </c>
      <c r="G624">
        <v>2004</v>
      </c>
      <c r="H624">
        <v>6.1</v>
      </c>
    </row>
    <row r="625" spans="1:8" x14ac:dyDescent="0.25">
      <c r="A625">
        <v>116</v>
      </c>
      <c r="B625">
        <v>5851188</v>
      </c>
      <c r="C625" t="s">
        <v>610</v>
      </c>
      <c r="D625" t="s">
        <v>1</v>
      </c>
      <c r="E625" t="s">
        <v>5</v>
      </c>
      <c r="F625">
        <v>70000000</v>
      </c>
      <c r="G625">
        <v>2006</v>
      </c>
      <c r="H625">
        <v>4.2</v>
      </c>
    </row>
    <row r="626" spans="1:8" x14ac:dyDescent="0.25">
      <c r="A626">
        <v>99</v>
      </c>
      <c r="B626">
        <v>18821279</v>
      </c>
      <c r="C626" t="s">
        <v>612</v>
      </c>
      <c r="D626" t="s">
        <v>1</v>
      </c>
      <c r="E626" t="s">
        <v>2</v>
      </c>
      <c r="F626">
        <v>70000000</v>
      </c>
      <c r="G626">
        <v>2014</v>
      </c>
      <c r="H626">
        <v>4.2</v>
      </c>
    </row>
    <row r="627" spans="1:8" x14ac:dyDescent="0.25">
      <c r="A627">
        <v>141</v>
      </c>
      <c r="B627">
        <v>617840</v>
      </c>
      <c r="C627" t="s">
        <v>619</v>
      </c>
      <c r="D627" t="s">
        <v>1</v>
      </c>
      <c r="E627" t="s">
        <v>620</v>
      </c>
      <c r="F627">
        <v>70000000</v>
      </c>
      <c r="G627">
        <v>2009</v>
      </c>
      <c r="H627">
        <v>7.2</v>
      </c>
    </row>
    <row r="628" spans="1:8" x14ac:dyDescent="0.25">
      <c r="A628">
        <v>128</v>
      </c>
      <c r="B628">
        <v>39380442</v>
      </c>
      <c r="C628" t="s">
        <v>624</v>
      </c>
      <c r="D628" t="s">
        <v>1</v>
      </c>
      <c r="E628" t="s">
        <v>2</v>
      </c>
      <c r="F628">
        <v>70000000</v>
      </c>
      <c r="G628">
        <v>2008</v>
      </c>
      <c r="H628">
        <v>7.1</v>
      </c>
    </row>
    <row r="629" spans="1:8" x14ac:dyDescent="0.25">
      <c r="A629">
        <v>169</v>
      </c>
      <c r="B629">
        <v>216119491</v>
      </c>
      <c r="C629" t="s">
        <v>629</v>
      </c>
      <c r="D629" t="s">
        <v>1</v>
      </c>
      <c r="E629" t="s">
        <v>2</v>
      </c>
      <c r="F629">
        <v>70000000</v>
      </c>
      <c r="G629">
        <v>1998</v>
      </c>
      <c r="H629">
        <v>8.6</v>
      </c>
    </row>
    <row r="630" spans="1:8" x14ac:dyDescent="0.25">
      <c r="A630">
        <v>127</v>
      </c>
      <c r="B630">
        <v>182805123</v>
      </c>
      <c r="C630" t="s">
        <v>631</v>
      </c>
      <c r="D630" t="s">
        <v>1</v>
      </c>
      <c r="E630" t="s">
        <v>2</v>
      </c>
      <c r="F630">
        <v>70000000</v>
      </c>
      <c r="G630">
        <v>2000</v>
      </c>
      <c r="H630">
        <v>6.4</v>
      </c>
    </row>
    <row r="631" spans="1:8" x14ac:dyDescent="0.25">
      <c r="A631">
        <v>124</v>
      </c>
      <c r="B631">
        <v>84049211</v>
      </c>
      <c r="C631" t="s">
        <v>645</v>
      </c>
      <c r="D631" t="s">
        <v>1</v>
      </c>
      <c r="E631" t="s">
        <v>2</v>
      </c>
      <c r="F631">
        <v>70000000</v>
      </c>
      <c r="G631">
        <v>1993</v>
      </c>
      <c r="H631">
        <v>6.4</v>
      </c>
    </row>
    <row r="632" spans="1:8" x14ac:dyDescent="0.25">
      <c r="A632">
        <v>100</v>
      </c>
      <c r="B632">
        <v>17218080</v>
      </c>
      <c r="C632" t="s">
        <v>664</v>
      </c>
      <c r="D632" t="s">
        <v>1</v>
      </c>
      <c r="E632" t="s">
        <v>2</v>
      </c>
      <c r="F632">
        <v>70000000</v>
      </c>
      <c r="G632">
        <v>1991</v>
      </c>
      <c r="H632">
        <v>5.7</v>
      </c>
    </row>
    <row r="633" spans="1:8" x14ac:dyDescent="0.25">
      <c r="A633">
        <v>99</v>
      </c>
      <c r="B633">
        <v>101217900</v>
      </c>
      <c r="C633" t="s">
        <v>698</v>
      </c>
      <c r="D633" t="s">
        <v>1</v>
      </c>
      <c r="E633" t="s">
        <v>2</v>
      </c>
      <c r="F633">
        <v>70000000</v>
      </c>
      <c r="G633">
        <v>1998</v>
      </c>
      <c r="H633">
        <v>7</v>
      </c>
    </row>
    <row r="634" spans="1:8" x14ac:dyDescent="0.25">
      <c r="A634">
        <v>146</v>
      </c>
      <c r="B634">
        <v>77862546</v>
      </c>
      <c r="C634" t="s">
        <v>724</v>
      </c>
      <c r="D634" t="s">
        <v>1</v>
      </c>
      <c r="E634" t="s">
        <v>2</v>
      </c>
      <c r="F634">
        <v>70000000</v>
      </c>
      <c r="G634">
        <v>2004</v>
      </c>
      <c r="H634">
        <v>7.7</v>
      </c>
    </row>
    <row r="635" spans="1:8" x14ac:dyDescent="0.25">
      <c r="A635">
        <v>91</v>
      </c>
      <c r="B635">
        <v>42194060</v>
      </c>
      <c r="C635" t="s">
        <v>753</v>
      </c>
      <c r="D635" t="s">
        <v>1</v>
      </c>
      <c r="E635" t="s">
        <v>620</v>
      </c>
      <c r="F635">
        <v>70000000</v>
      </c>
      <c r="G635">
        <v>2009</v>
      </c>
      <c r="H635">
        <v>6.1</v>
      </c>
    </row>
    <row r="636" spans="1:8" x14ac:dyDescent="0.25">
      <c r="A636">
        <v>116</v>
      </c>
      <c r="B636">
        <v>36931089</v>
      </c>
      <c r="C636" t="s">
        <v>798</v>
      </c>
      <c r="D636" t="s">
        <v>1</v>
      </c>
      <c r="E636" t="s">
        <v>2</v>
      </c>
      <c r="F636">
        <v>70000000</v>
      </c>
      <c r="G636">
        <v>2012</v>
      </c>
      <c r="H636">
        <v>5.6</v>
      </c>
    </row>
    <row r="637" spans="1:8" x14ac:dyDescent="0.25">
      <c r="A637">
        <v>118</v>
      </c>
      <c r="B637">
        <v>177575142</v>
      </c>
      <c r="C637" t="s">
        <v>811</v>
      </c>
      <c r="D637" t="s">
        <v>1</v>
      </c>
      <c r="E637" t="s">
        <v>2</v>
      </c>
      <c r="F637">
        <v>70000000</v>
      </c>
      <c r="G637">
        <v>2005</v>
      </c>
      <c r="H637">
        <v>6.6</v>
      </c>
    </row>
    <row r="638" spans="1:8" x14ac:dyDescent="0.25">
      <c r="A638">
        <v>143</v>
      </c>
      <c r="B638">
        <v>51225796</v>
      </c>
      <c r="C638" t="s">
        <v>848</v>
      </c>
      <c r="D638" t="s">
        <v>1</v>
      </c>
      <c r="E638" t="s">
        <v>5</v>
      </c>
      <c r="F638">
        <v>70000000</v>
      </c>
      <c r="G638">
        <v>2004</v>
      </c>
      <c r="H638">
        <v>7.4</v>
      </c>
    </row>
    <row r="639" spans="1:8" x14ac:dyDescent="0.25">
      <c r="A639">
        <v>104</v>
      </c>
      <c r="B639">
        <v>97680195</v>
      </c>
      <c r="C639" t="s">
        <v>906</v>
      </c>
      <c r="D639" t="s">
        <v>1</v>
      </c>
      <c r="E639" t="s">
        <v>2</v>
      </c>
      <c r="F639">
        <v>70000000</v>
      </c>
      <c r="G639">
        <v>2008</v>
      </c>
      <c r="H639">
        <v>6.8</v>
      </c>
    </row>
    <row r="640" spans="1:8" x14ac:dyDescent="0.25">
      <c r="A640">
        <v>90</v>
      </c>
      <c r="B640">
        <v>23159305</v>
      </c>
      <c r="C640" t="s">
        <v>968</v>
      </c>
      <c r="D640" t="s">
        <v>1</v>
      </c>
      <c r="E640" t="s">
        <v>2</v>
      </c>
      <c r="F640">
        <v>70000000</v>
      </c>
      <c r="G640">
        <v>1999</v>
      </c>
      <c r="H640">
        <v>8</v>
      </c>
    </row>
    <row r="641" spans="1:8" x14ac:dyDescent="0.25">
      <c r="A641">
        <v>101</v>
      </c>
      <c r="B641">
        <v>22531698</v>
      </c>
      <c r="C641" t="s">
        <v>1072</v>
      </c>
      <c r="D641" t="s">
        <v>1</v>
      </c>
      <c r="E641" t="s">
        <v>244</v>
      </c>
      <c r="F641">
        <v>70000000</v>
      </c>
      <c r="G641">
        <v>2008</v>
      </c>
      <c r="H641">
        <v>5.6</v>
      </c>
    </row>
    <row r="642" spans="1:8" x14ac:dyDescent="0.25">
      <c r="A642">
        <v>105</v>
      </c>
      <c r="B642">
        <v>116735231</v>
      </c>
      <c r="C642" t="s">
        <v>1138</v>
      </c>
      <c r="D642" t="s">
        <v>1</v>
      </c>
      <c r="E642" t="s">
        <v>2</v>
      </c>
      <c r="F642">
        <v>70000000</v>
      </c>
      <c r="G642">
        <v>1999</v>
      </c>
      <c r="H642">
        <v>6.4</v>
      </c>
    </row>
    <row r="643" spans="1:8" x14ac:dyDescent="0.25">
      <c r="A643">
        <v>171</v>
      </c>
      <c r="B643">
        <v>54222000</v>
      </c>
      <c r="C643" t="s">
        <v>590</v>
      </c>
      <c r="D643" t="s">
        <v>1</v>
      </c>
      <c r="E643" t="s">
        <v>2</v>
      </c>
      <c r="F643">
        <v>69500000</v>
      </c>
      <c r="G643">
        <v>1989</v>
      </c>
      <c r="H643">
        <v>7.6</v>
      </c>
    </row>
    <row r="644" spans="1:8" x14ac:dyDescent="0.25">
      <c r="A644">
        <v>98</v>
      </c>
      <c r="B644">
        <v>55585389</v>
      </c>
      <c r="C644" t="s">
        <v>551</v>
      </c>
      <c r="D644" t="s">
        <v>1</v>
      </c>
      <c r="E644" t="s">
        <v>2</v>
      </c>
      <c r="F644">
        <v>69000000</v>
      </c>
      <c r="G644">
        <v>1998</v>
      </c>
      <c r="H644">
        <v>5.9</v>
      </c>
    </row>
    <row r="645" spans="1:8" x14ac:dyDescent="0.25">
      <c r="A645">
        <v>87</v>
      </c>
      <c r="B645">
        <v>251501645</v>
      </c>
      <c r="C645" t="s">
        <v>616</v>
      </c>
      <c r="D645" t="s">
        <v>1</v>
      </c>
      <c r="E645" t="s">
        <v>2</v>
      </c>
      <c r="F645">
        <v>69000000</v>
      </c>
      <c r="G645">
        <v>2010</v>
      </c>
      <c r="H645">
        <v>7.7</v>
      </c>
    </row>
    <row r="646" spans="1:8" x14ac:dyDescent="0.25">
      <c r="A646">
        <v>105</v>
      </c>
      <c r="B646">
        <v>37516013</v>
      </c>
      <c r="C646" t="s">
        <v>625</v>
      </c>
      <c r="D646" t="s">
        <v>1</v>
      </c>
      <c r="E646" t="s">
        <v>2</v>
      </c>
      <c r="F646">
        <v>69000000</v>
      </c>
      <c r="G646">
        <v>2012</v>
      </c>
      <c r="H646">
        <v>5.9</v>
      </c>
    </row>
    <row r="647" spans="1:8" x14ac:dyDescent="0.25">
      <c r="A647">
        <v>116</v>
      </c>
      <c r="B647">
        <v>61355436</v>
      </c>
      <c r="C647" t="s">
        <v>380</v>
      </c>
      <c r="D647" t="s">
        <v>1</v>
      </c>
      <c r="E647" t="s">
        <v>2</v>
      </c>
      <c r="F647">
        <v>68000000</v>
      </c>
      <c r="G647">
        <v>1997</v>
      </c>
      <c r="H647">
        <v>6.2</v>
      </c>
    </row>
    <row r="648" spans="1:8" x14ac:dyDescent="0.25">
      <c r="A648">
        <v>131</v>
      </c>
      <c r="B648">
        <v>51396781</v>
      </c>
      <c r="C648" t="s">
        <v>410</v>
      </c>
      <c r="D648" t="s">
        <v>1</v>
      </c>
      <c r="E648" t="s">
        <v>2</v>
      </c>
      <c r="F648">
        <v>68000000</v>
      </c>
      <c r="G648">
        <v>2001</v>
      </c>
      <c r="H648">
        <v>7.6</v>
      </c>
    </row>
    <row r="649" spans="1:8" x14ac:dyDescent="0.25">
      <c r="A649">
        <v>134</v>
      </c>
      <c r="B649">
        <v>85707116</v>
      </c>
      <c r="C649" t="s">
        <v>462</v>
      </c>
      <c r="D649" t="s">
        <v>1</v>
      </c>
      <c r="E649" t="s">
        <v>2</v>
      </c>
      <c r="F649">
        <v>68000000</v>
      </c>
      <c r="G649">
        <v>2014</v>
      </c>
      <c r="H649">
        <v>7.6</v>
      </c>
    </row>
    <row r="650" spans="1:8" x14ac:dyDescent="0.25">
      <c r="A650">
        <v>141</v>
      </c>
      <c r="B650">
        <v>100614858</v>
      </c>
      <c r="C650" t="s">
        <v>578</v>
      </c>
      <c r="D650" t="s">
        <v>1</v>
      </c>
      <c r="E650" t="s">
        <v>2</v>
      </c>
      <c r="F650">
        <v>68000000</v>
      </c>
      <c r="G650">
        <v>2001</v>
      </c>
      <c r="H650">
        <v>6.9</v>
      </c>
    </row>
    <row r="651" spans="1:8" x14ac:dyDescent="0.25">
      <c r="A651">
        <v>124</v>
      </c>
      <c r="B651">
        <v>118471320</v>
      </c>
      <c r="C651" t="s">
        <v>613</v>
      </c>
      <c r="D651" t="s">
        <v>1</v>
      </c>
      <c r="E651" t="s">
        <v>2</v>
      </c>
      <c r="F651">
        <v>68000000</v>
      </c>
      <c r="G651">
        <v>2002</v>
      </c>
      <c r="H651">
        <v>6.4</v>
      </c>
    </row>
    <row r="652" spans="1:8" x14ac:dyDescent="0.25">
      <c r="A652">
        <v>124</v>
      </c>
      <c r="B652">
        <v>300523113</v>
      </c>
      <c r="C652" t="s">
        <v>614</v>
      </c>
      <c r="D652" t="s">
        <v>1</v>
      </c>
      <c r="E652" t="s">
        <v>2</v>
      </c>
      <c r="F652">
        <v>68000000</v>
      </c>
      <c r="G652">
        <v>2010</v>
      </c>
      <c r="H652">
        <v>4.9000000000000004</v>
      </c>
    </row>
    <row r="653" spans="1:8" x14ac:dyDescent="0.25">
      <c r="A653">
        <v>124</v>
      </c>
      <c r="B653">
        <v>71069884</v>
      </c>
      <c r="C653" t="s">
        <v>615</v>
      </c>
      <c r="D653" t="s">
        <v>1</v>
      </c>
      <c r="E653" t="s">
        <v>2</v>
      </c>
      <c r="F653">
        <v>68000000</v>
      </c>
      <c r="G653">
        <v>2001</v>
      </c>
      <c r="H653">
        <v>6.8</v>
      </c>
    </row>
    <row r="654" spans="1:8" x14ac:dyDescent="0.25">
      <c r="A654">
        <v>105</v>
      </c>
      <c r="B654">
        <v>35324232</v>
      </c>
      <c r="C654" t="s">
        <v>617</v>
      </c>
      <c r="D654" t="s">
        <v>1</v>
      </c>
      <c r="E654" t="s">
        <v>2</v>
      </c>
      <c r="F654">
        <v>68000000</v>
      </c>
      <c r="G654">
        <v>1995</v>
      </c>
      <c r="H654">
        <v>5.6</v>
      </c>
    </row>
    <row r="655" spans="1:8" x14ac:dyDescent="0.25">
      <c r="A655">
        <v>125</v>
      </c>
      <c r="B655">
        <v>81257500</v>
      </c>
      <c r="C655" t="s">
        <v>618</v>
      </c>
      <c r="D655" t="s">
        <v>1</v>
      </c>
      <c r="E655" t="s">
        <v>2</v>
      </c>
      <c r="F655">
        <v>68000000</v>
      </c>
      <c r="G655">
        <v>2015</v>
      </c>
      <c r="H655">
        <v>6.4</v>
      </c>
    </row>
    <row r="656" spans="1:8" x14ac:dyDescent="0.25">
      <c r="A656">
        <v>157</v>
      </c>
      <c r="B656">
        <v>28965197</v>
      </c>
      <c r="C656" t="s">
        <v>623</v>
      </c>
      <c r="D656" t="s">
        <v>1</v>
      </c>
      <c r="E656" t="s">
        <v>2</v>
      </c>
      <c r="F656">
        <v>68000000</v>
      </c>
      <c r="G656">
        <v>1999</v>
      </c>
      <c r="H656">
        <v>7.9</v>
      </c>
    </row>
    <row r="657" spans="1:8" x14ac:dyDescent="0.25">
      <c r="A657">
        <v>136</v>
      </c>
      <c r="B657">
        <v>33685268</v>
      </c>
      <c r="C657" t="s">
        <v>633</v>
      </c>
      <c r="D657" t="s">
        <v>1</v>
      </c>
      <c r="E657" t="s">
        <v>2</v>
      </c>
      <c r="F657">
        <v>68000000</v>
      </c>
      <c r="G657">
        <v>2003</v>
      </c>
      <c r="H657">
        <v>5.5</v>
      </c>
    </row>
    <row r="658" spans="1:8" x14ac:dyDescent="0.25">
      <c r="A658">
        <v>102</v>
      </c>
      <c r="B658">
        <v>34350553</v>
      </c>
      <c r="C658" t="s">
        <v>839</v>
      </c>
      <c r="D658" t="s">
        <v>1</v>
      </c>
      <c r="E658" t="s">
        <v>2</v>
      </c>
      <c r="F658">
        <v>68000000</v>
      </c>
      <c r="G658">
        <v>2012</v>
      </c>
      <c r="H658">
        <v>5.7</v>
      </c>
    </row>
    <row r="659" spans="1:8" x14ac:dyDescent="0.25">
      <c r="A659">
        <v>102</v>
      </c>
      <c r="B659">
        <v>34350553</v>
      </c>
      <c r="C659" t="s">
        <v>839</v>
      </c>
      <c r="D659" t="s">
        <v>1</v>
      </c>
      <c r="E659" t="s">
        <v>2</v>
      </c>
      <c r="F659">
        <v>68000000</v>
      </c>
      <c r="G659">
        <v>2012</v>
      </c>
      <c r="H659">
        <v>5.7</v>
      </c>
    </row>
    <row r="660" spans="1:8" x14ac:dyDescent="0.25">
      <c r="A660">
        <v>146</v>
      </c>
      <c r="B660">
        <v>79883359</v>
      </c>
      <c r="C660" t="s">
        <v>588</v>
      </c>
      <c r="D660" t="s">
        <v>1</v>
      </c>
      <c r="E660" t="s">
        <v>2</v>
      </c>
      <c r="F660">
        <v>66000000</v>
      </c>
      <c r="G660">
        <v>2011</v>
      </c>
      <c r="H660">
        <v>7.2</v>
      </c>
    </row>
    <row r="661" spans="1:8" x14ac:dyDescent="0.25">
      <c r="A661">
        <v>113</v>
      </c>
      <c r="B661">
        <v>87704396</v>
      </c>
      <c r="C661" t="s">
        <v>626</v>
      </c>
      <c r="D661" t="s">
        <v>1</v>
      </c>
      <c r="E661" t="s">
        <v>2</v>
      </c>
      <c r="F661">
        <v>66000000</v>
      </c>
      <c r="G661">
        <v>1999</v>
      </c>
      <c r="H661">
        <v>6.2</v>
      </c>
    </row>
    <row r="662" spans="1:8" x14ac:dyDescent="0.25">
      <c r="A662">
        <v>121</v>
      </c>
      <c r="B662">
        <v>83892374</v>
      </c>
      <c r="C662" t="s">
        <v>627</v>
      </c>
      <c r="D662" t="s">
        <v>1</v>
      </c>
      <c r="E662" t="s">
        <v>2</v>
      </c>
      <c r="F662">
        <v>66000000</v>
      </c>
      <c r="G662">
        <v>1998</v>
      </c>
      <c r="H662">
        <v>7</v>
      </c>
    </row>
    <row r="663" spans="1:8" x14ac:dyDescent="0.25">
      <c r="A663">
        <v>132</v>
      </c>
      <c r="B663">
        <v>43568507</v>
      </c>
      <c r="C663" t="s">
        <v>630</v>
      </c>
      <c r="D663" t="s">
        <v>1</v>
      </c>
      <c r="E663" t="s">
        <v>2</v>
      </c>
      <c r="F663">
        <v>66000000</v>
      </c>
      <c r="G663">
        <v>2014</v>
      </c>
      <c r="H663">
        <v>6.5</v>
      </c>
    </row>
    <row r="664" spans="1:8" x14ac:dyDescent="0.25">
      <c r="A664">
        <v>132</v>
      </c>
      <c r="B664">
        <v>59035104</v>
      </c>
      <c r="C664" t="s">
        <v>728</v>
      </c>
      <c r="D664" t="s">
        <v>1</v>
      </c>
      <c r="E664" t="s">
        <v>2</v>
      </c>
      <c r="F664">
        <v>66000000</v>
      </c>
      <c r="G664">
        <v>2004</v>
      </c>
      <c r="H664">
        <v>6.8</v>
      </c>
    </row>
    <row r="665" spans="1:8" x14ac:dyDescent="0.25">
      <c r="A665">
        <v>113</v>
      </c>
      <c r="B665">
        <v>119412921</v>
      </c>
      <c r="C665" t="s">
        <v>215</v>
      </c>
      <c r="D665" t="s">
        <v>1</v>
      </c>
      <c r="E665" t="s">
        <v>2</v>
      </c>
      <c r="F665">
        <v>65000000</v>
      </c>
      <c r="G665">
        <v>1990</v>
      </c>
      <c r="H665">
        <v>7.5</v>
      </c>
    </row>
    <row r="666" spans="1:8" x14ac:dyDescent="0.25">
      <c r="A666">
        <v>135</v>
      </c>
      <c r="B666">
        <v>43982842</v>
      </c>
      <c r="C666" t="s">
        <v>336</v>
      </c>
      <c r="D666" t="s">
        <v>1</v>
      </c>
      <c r="E666" t="s">
        <v>2</v>
      </c>
      <c r="F666">
        <v>65000000</v>
      </c>
      <c r="G666">
        <v>2009</v>
      </c>
      <c r="H666">
        <v>6.7</v>
      </c>
    </row>
    <row r="667" spans="1:8" x14ac:dyDescent="0.25">
      <c r="A667">
        <v>109</v>
      </c>
      <c r="B667">
        <v>123307945</v>
      </c>
      <c r="C667" t="s">
        <v>421</v>
      </c>
      <c r="D667" t="s">
        <v>1</v>
      </c>
      <c r="E667" t="s">
        <v>2</v>
      </c>
      <c r="F667">
        <v>65000000</v>
      </c>
      <c r="G667">
        <v>2000</v>
      </c>
      <c r="H667">
        <v>4.3</v>
      </c>
    </row>
    <row r="668" spans="1:8" x14ac:dyDescent="0.25">
      <c r="A668">
        <v>162</v>
      </c>
      <c r="B668">
        <v>33048353</v>
      </c>
      <c r="C668" t="s">
        <v>428</v>
      </c>
      <c r="D668" t="s">
        <v>1</v>
      </c>
      <c r="E668" t="s">
        <v>2</v>
      </c>
      <c r="F668">
        <v>65000000</v>
      </c>
      <c r="G668">
        <v>2007</v>
      </c>
      <c r="H668">
        <v>7.7</v>
      </c>
    </row>
    <row r="669" spans="1:8" x14ac:dyDescent="0.25">
      <c r="A669">
        <v>93</v>
      </c>
      <c r="B669">
        <v>82226474</v>
      </c>
      <c r="C669" t="s">
        <v>459</v>
      </c>
      <c r="D669" t="s">
        <v>1</v>
      </c>
      <c r="E669" t="s">
        <v>2</v>
      </c>
      <c r="F669">
        <v>65000000</v>
      </c>
      <c r="G669">
        <v>2006</v>
      </c>
      <c r="H669">
        <v>5.6</v>
      </c>
    </row>
    <row r="670" spans="1:8" x14ac:dyDescent="0.25">
      <c r="A670">
        <v>121</v>
      </c>
      <c r="B670">
        <v>29655590</v>
      </c>
      <c r="C670" t="s">
        <v>621</v>
      </c>
      <c r="D670" t="s">
        <v>1</v>
      </c>
      <c r="E670" t="s">
        <v>2</v>
      </c>
      <c r="F670">
        <v>65000000</v>
      </c>
      <c r="G670">
        <v>1999</v>
      </c>
      <c r="H670">
        <v>6</v>
      </c>
    </row>
    <row r="671" spans="1:8" x14ac:dyDescent="0.25">
      <c r="A671">
        <v>150</v>
      </c>
      <c r="B671">
        <v>182204440</v>
      </c>
      <c r="C671" t="s">
        <v>634</v>
      </c>
      <c r="D671" t="s">
        <v>1</v>
      </c>
      <c r="E671" t="s">
        <v>2</v>
      </c>
      <c r="F671">
        <v>65000000</v>
      </c>
      <c r="G671">
        <v>2012</v>
      </c>
      <c r="H671">
        <v>7.4</v>
      </c>
    </row>
    <row r="672" spans="1:8" x14ac:dyDescent="0.25">
      <c r="A672">
        <v>113</v>
      </c>
      <c r="B672">
        <v>119412921</v>
      </c>
      <c r="C672" t="s">
        <v>215</v>
      </c>
      <c r="D672" t="s">
        <v>1</v>
      </c>
      <c r="E672" t="s">
        <v>2</v>
      </c>
      <c r="F672">
        <v>65000000</v>
      </c>
      <c r="G672">
        <v>1990</v>
      </c>
      <c r="H672">
        <v>7.5</v>
      </c>
    </row>
    <row r="673" spans="1:8" x14ac:dyDescent="0.25">
      <c r="A673">
        <v>119</v>
      </c>
      <c r="B673">
        <v>115731542</v>
      </c>
      <c r="C673" t="s">
        <v>639</v>
      </c>
      <c r="D673" t="s">
        <v>1</v>
      </c>
      <c r="E673" t="s">
        <v>2</v>
      </c>
      <c r="F673">
        <v>65000000</v>
      </c>
      <c r="G673">
        <v>1998</v>
      </c>
      <c r="H673">
        <v>6.5</v>
      </c>
    </row>
    <row r="674" spans="1:8" x14ac:dyDescent="0.25">
      <c r="A674">
        <v>106</v>
      </c>
      <c r="B674">
        <v>100468793</v>
      </c>
      <c r="C674" t="s">
        <v>640</v>
      </c>
      <c r="D674" t="s">
        <v>1</v>
      </c>
      <c r="E674" t="s">
        <v>2</v>
      </c>
      <c r="F674">
        <v>65000000</v>
      </c>
      <c r="G674">
        <v>2008</v>
      </c>
      <c r="H674">
        <v>6.9</v>
      </c>
    </row>
    <row r="675" spans="1:8" x14ac:dyDescent="0.25">
      <c r="A675">
        <v>136</v>
      </c>
      <c r="B675">
        <v>93771072</v>
      </c>
      <c r="C675" t="s">
        <v>641</v>
      </c>
      <c r="D675" t="s">
        <v>1</v>
      </c>
      <c r="E675" t="s">
        <v>2</v>
      </c>
      <c r="F675">
        <v>65000000</v>
      </c>
      <c r="G675">
        <v>1998</v>
      </c>
      <c r="H675">
        <v>6.7</v>
      </c>
    </row>
    <row r="676" spans="1:8" x14ac:dyDescent="0.25">
      <c r="A676">
        <v>95</v>
      </c>
      <c r="B676">
        <v>100448498</v>
      </c>
      <c r="C676" t="s">
        <v>642</v>
      </c>
      <c r="D676" t="s">
        <v>1</v>
      </c>
      <c r="E676" t="s">
        <v>2</v>
      </c>
      <c r="F676">
        <v>65000000</v>
      </c>
      <c r="G676">
        <v>2010</v>
      </c>
      <c r="H676">
        <v>6.6</v>
      </c>
    </row>
    <row r="677" spans="1:8" x14ac:dyDescent="0.25">
      <c r="A677">
        <v>137</v>
      </c>
      <c r="B677">
        <v>115603980</v>
      </c>
      <c r="C677" t="s">
        <v>643</v>
      </c>
      <c r="D677" t="s">
        <v>1</v>
      </c>
      <c r="E677" t="s">
        <v>2</v>
      </c>
      <c r="F677">
        <v>65000000</v>
      </c>
      <c r="G677">
        <v>2014</v>
      </c>
      <c r="H677">
        <v>7.2</v>
      </c>
    </row>
    <row r="678" spans="1:8" x14ac:dyDescent="0.25">
      <c r="A678">
        <v>130</v>
      </c>
      <c r="B678">
        <v>90454043</v>
      </c>
      <c r="C678" t="s">
        <v>644</v>
      </c>
      <c r="D678" t="s">
        <v>1</v>
      </c>
      <c r="E678" t="s">
        <v>2</v>
      </c>
      <c r="F678">
        <v>65000000</v>
      </c>
      <c r="G678">
        <v>2000</v>
      </c>
      <c r="H678">
        <v>6.4</v>
      </c>
    </row>
    <row r="679" spans="1:8" x14ac:dyDescent="0.25">
      <c r="A679">
        <v>117</v>
      </c>
      <c r="B679">
        <v>63695760</v>
      </c>
      <c r="C679" t="s">
        <v>649</v>
      </c>
      <c r="D679" t="s">
        <v>1</v>
      </c>
      <c r="E679" t="s">
        <v>2</v>
      </c>
      <c r="F679">
        <v>65000000</v>
      </c>
      <c r="G679">
        <v>2003</v>
      </c>
      <c r="H679">
        <v>6.4</v>
      </c>
    </row>
    <row r="680" spans="1:8" x14ac:dyDescent="0.25">
      <c r="A680">
        <v>99</v>
      </c>
      <c r="B680">
        <v>59617068</v>
      </c>
      <c r="C680" t="s">
        <v>650</v>
      </c>
      <c r="D680" t="s">
        <v>1</v>
      </c>
      <c r="E680" t="s">
        <v>2</v>
      </c>
      <c r="F680">
        <v>65000000</v>
      </c>
      <c r="G680">
        <v>2012</v>
      </c>
      <c r="H680">
        <v>6.4</v>
      </c>
    </row>
    <row r="681" spans="1:8" x14ac:dyDescent="0.25">
      <c r="A681">
        <v>159</v>
      </c>
      <c r="B681">
        <v>55637680</v>
      </c>
      <c r="C681" t="s">
        <v>651</v>
      </c>
      <c r="D681" t="s">
        <v>1</v>
      </c>
      <c r="E681" t="s">
        <v>5</v>
      </c>
      <c r="F681">
        <v>65000000</v>
      </c>
      <c r="G681">
        <v>1999</v>
      </c>
      <c r="H681">
        <v>7.3</v>
      </c>
    </row>
    <row r="682" spans="1:8" x14ac:dyDescent="0.25">
      <c r="A682">
        <v>118</v>
      </c>
      <c r="B682">
        <v>85911262</v>
      </c>
      <c r="C682" t="s">
        <v>652</v>
      </c>
      <c r="D682" t="s">
        <v>1</v>
      </c>
      <c r="E682" t="s">
        <v>2</v>
      </c>
      <c r="F682">
        <v>65000000</v>
      </c>
      <c r="G682">
        <v>2014</v>
      </c>
      <c r="H682">
        <v>5.2</v>
      </c>
    </row>
    <row r="683" spans="1:8" x14ac:dyDescent="0.25">
      <c r="A683">
        <v>103</v>
      </c>
      <c r="B683">
        <v>54758461</v>
      </c>
      <c r="C683" t="s">
        <v>654</v>
      </c>
      <c r="D683" t="s">
        <v>1</v>
      </c>
      <c r="E683" t="s">
        <v>2</v>
      </c>
      <c r="F683">
        <v>65000000</v>
      </c>
      <c r="G683">
        <v>2012</v>
      </c>
      <c r="H683">
        <v>6.3</v>
      </c>
    </row>
    <row r="684" spans="1:8" x14ac:dyDescent="0.25">
      <c r="A684">
        <v>122</v>
      </c>
      <c r="B684">
        <v>52397389</v>
      </c>
      <c r="C684" t="s">
        <v>655</v>
      </c>
      <c r="D684" t="s">
        <v>1</v>
      </c>
      <c r="E684" t="s">
        <v>2</v>
      </c>
      <c r="F684">
        <v>65000000</v>
      </c>
      <c r="G684">
        <v>2004</v>
      </c>
      <c r="H684">
        <v>5.9</v>
      </c>
    </row>
    <row r="685" spans="1:8" x14ac:dyDescent="0.25">
      <c r="A685">
        <v>143</v>
      </c>
      <c r="B685">
        <v>38966057</v>
      </c>
      <c r="C685" t="s">
        <v>656</v>
      </c>
      <c r="D685" t="s">
        <v>1</v>
      </c>
      <c r="E685" t="s">
        <v>244</v>
      </c>
      <c r="F685">
        <v>65000000</v>
      </c>
      <c r="G685">
        <v>1998</v>
      </c>
      <c r="H685">
        <v>6.7</v>
      </c>
    </row>
    <row r="686" spans="1:8" x14ac:dyDescent="0.25">
      <c r="A686">
        <v>96</v>
      </c>
      <c r="B686">
        <v>42345531</v>
      </c>
      <c r="C686" t="s">
        <v>657</v>
      </c>
      <c r="D686" t="s">
        <v>1</v>
      </c>
      <c r="E686" t="s">
        <v>119</v>
      </c>
      <c r="F686">
        <v>65000000</v>
      </c>
      <c r="G686">
        <v>2012</v>
      </c>
      <c r="H686">
        <v>5.4</v>
      </c>
    </row>
    <row r="687" spans="1:8" x14ac:dyDescent="0.25">
      <c r="A687">
        <v>121</v>
      </c>
      <c r="B687">
        <v>33328051</v>
      </c>
      <c r="C687" t="s">
        <v>659</v>
      </c>
      <c r="D687" t="s">
        <v>1</v>
      </c>
      <c r="E687" t="s">
        <v>2</v>
      </c>
      <c r="F687">
        <v>65000000</v>
      </c>
      <c r="G687">
        <v>1996</v>
      </c>
      <c r="H687">
        <v>6.7</v>
      </c>
    </row>
    <row r="688" spans="1:8" x14ac:dyDescent="0.25">
      <c r="A688">
        <v>135</v>
      </c>
      <c r="B688">
        <v>32598931</v>
      </c>
      <c r="C688" t="s">
        <v>660</v>
      </c>
      <c r="D688" t="s">
        <v>1</v>
      </c>
      <c r="E688" t="s">
        <v>2</v>
      </c>
      <c r="F688">
        <v>65000000</v>
      </c>
      <c r="G688">
        <v>2000</v>
      </c>
      <c r="H688">
        <v>6.2</v>
      </c>
    </row>
    <row r="689" spans="1:8" x14ac:dyDescent="0.25">
      <c r="A689">
        <v>101</v>
      </c>
      <c r="B689">
        <v>28045540</v>
      </c>
      <c r="C689" t="s">
        <v>661</v>
      </c>
      <c r="D689" t="s">
        <v>1</v>
      </c>
      <c r="E689" t="s">
        <v>2</v>
      </c>
      <c r="F689">
        <v>65000000</v>
      </c>
      <c r="G689">
        <v>2005</v>
      </c>
      <c r="H689">
        <v>6.1</v>
      </c>
    </row>
    <row r="690" spans="1:8" x14ac:dyDescent="0.25">
      <c r="A690">
        <v>131</v>
      </c>
      <c r="B690">
        <v>43532294</v>
      </c>
      <c r="C690" t="s">
        <v>663</v>
      </c>
      <c r="D690" t="s">
        <v>1</v>
      </c>
      <c r="E690" t="s">
        <v>2</v>
      </c>
      <c r="F690">
        <v>65000000</v>
      </c>
      <c r="G690">
        <v>2006</v>
      </c>
      <c r="H690">
        <v>7.1</v>
      </c>
    </row>
    <row r="691" spans="1:8" x14ac:dyDescent="0.25">
      <c r="A691">
        <v>105</v>
      </c>
      <c r="B691">
        <v>10014234</v>
      </c>
      <c r="C691" t="s">
        <v>665</v>
      </c>
      <c r="D691" t="s">
        <v>1</v>
      </c>
      <c r="E691" t="s">
        <v>244</v>
      </c>
      <c r="F691">
        <v>65000000</v>
      </c>
      <c r="G691">
        <v>2000</v>
      </c>
      <c r="H691">
        <v>5</v>
      </c>
    </row>
    <row r="692" spans="1:8" x14ac:dyDescent="0.25">
      <c r="A692">
        <v>92</v>
      </c>
      <c r="B692">
        <v>19059018</v>
      </c>
      <c r="C692" t="s">
        <v>666</v>
      </c>
      <c r="D692" t="s">
        <v>1</v>
      </c>
      <c r="E692" t="s">
        <v>55</v>
      </c>
      <c r="F692">
        <v>65000000</v>
      </c>
      <c r="G692">
        <v>2014</v>
      </c>
      <c r="H692">
        <v>5.0999999999999996</v>
      </c>
    </row>
    <row r="693" spans="1:8" x14ac:dyDescent="0.25">
      <c r="A693">
        <v>102</v>
      </c>
      <c r="B693">
        <v>13750556</v>
      </c>
      <c r="C693" t="s">
        <v>669</v>
      </c>
      <c r="D693" t="s">
        <v>1</v>
      </c>
      <c r="E693" t="s">
        <v>2</v>
      </c>
      <c r="F693">
        <v>65000000</v>
      </c>
      <c r="G693">
        <v>2014</v>
      </c>
      <c r="H693">
        <v>6.5</v>
      </c>
    </row>
    <row r="694" spans="1:8" x14ac:dyDescent="0.25">
      <c r="A694">
        <v>94</v>
      </c>
      <c r="B694">
        <v>19548064</v>
      </c>
      <c r="C694" t="s">
        <v>674</v>
      </c>
      <c r="D694" t="s">
        <v>1</v>
      </c>
      <c r="E694" t="s">
        <v>675</v>
      </c>
      <c r="F694">
        <v>65000000</v>
      </c>
      <c r="G694">
        <v>2009</v>
      </c>
      <c r="H694">
        <v>6.3</v>
      </c>
    </row>
    <row r="695" spans="1:8" x14ac:dyDescent="0.25">
      <c r="A695">
        <v>103</v>
      </c>
      <c r="B695">
        <v>72413</v>
      </c>
      <c r="C695" t="s">
        <v>679</v>
      </c>
      <c r="D695" t="s">
        <v>326</v>
      </c>
      <c r="E695" t="s">
        <v>142</v>
      </c>
      <c r="F695">
        <v>65000000</v>
      </c>
      <c r="G695">
        <v>2015</v>
      </c>
      <c r="H695">
        <v>6.1</v>
      </c>
    </row>
    <row r="696" spans="1:8" x14ac:dyDescent="0.25">
      <c r="A696">
        <v>117</v>
      </c>
      <c r="B696">
        <v>210592590</v>
      </c>
      <c r="C696" t="s">
        <v>688</v>
      </c>
      <c r="D696" t="s">
        <v>1</v>
      </c>
      <c r="E696" t="s">
        <v>2</v>
      </c>
      <c r="F696">
        <v>65000000</v>
      </c>
      <c r="G696">
        <v>2006</v>
      </c>
      <c r="H696">
        <v>7.7</v>
      </c>
    </row>
    <row r="697" spans="1:8" x14ac:dyDescent="0.25">
      <c r="A697">
        <v>120</v>
      </c>
      <c r="B697">
        <v>100003492</v>
      </c>
      <c r="C697" t="s">
        <v>714</v>
      </c>
      <c r="D697" t="s">
        <v>1</v>
      </c>
      <c r="E697" t="s">
        <v>2</v>
      </c>
      <c r="F697">
        <v>65000000</v>
      </c>
      <c r="G697">
        <v>2004</v>
      </c>
      <c r="H697">
        <v>7.6</v>
      </c>
    </row>
    <row r="698" spans="1:8" x14ac:dyDescent="0.25">
      <c r="A698">
        <v>94</v>
      </c>
      <c r="B698">
        <v>36830057</v>
      </c>
      <c r="C698" t="s">
        <v>751</v>
      </c>
      <c r="D698" t="s">
        <v>1</v>
      </c>
      <c r="E698" t="s">
        <v>2</v>
      </c>
      <c r="F698">
        <v>65000000</v>
      </c>
      <c r="G698">
        <v>1999</v>
      </c>
      <c r="H698">
        <v>4.9000000000000004</v>
      </c>
    </row>
    <row r="699" spans="1:8" x14ac:dyDescent="0.25">
      <c r="A699">
        <v>91</v>
      </c>
      <c r="B699">
        <v>14218868</v>
      </c>
      <c r="C699" t="s">
        <v>772</v>
      </c>
      <c r="D699" t="s">
        <v>1</v>
      </c>
      <c r="E699" t="s">
        <v>2</v>
      </c>
      <c r="F699">
        <v>65000000</v>
      </c>
      <c r="G699">
        <v>2000</v>
      </c>
      <c r="H699">
        <v>4.8</v>
      </c>
    </row>
    <row r="700" spans="1:8" x14ac:dyDescent="0.25">
      <c r="A700">
        <v>98</v>
      </c>
      <c r="B700">
        <v>67128202</v>
      </c>
      <c r="C700" t="s">
        <v>922</v>
      </c>
      <c r="D700" t="s">
        <v>1</v>
      </c>
      <c r="E700" t="s">
        <v>2</v>
      </c>
      <c r="F700">
        <v>65000000</v>
      </c>
      <c r="G700">
        <v>2009</v>
      </c>
      <c r="H700">
        <v>5.7</v>
      </c>
    </row>
    <row r="701" spans="1:8" x14ac:dyDescent="0.25">
      <c r="A701">
        <v>144</v>
      </c>
      <c r="B701">
        <v>56083966</v>
      </c>
      <c r="C701" t="s">
        <v>1130</v>
      </c>
      <c r="D701" t="s">
        <v>1</v>
      </c>
      <c r="E701" t="s">
        <v>2</v>
      </c>
      <c r="F701">
        <v>65000000</v>
      </c>
      <c r="G701">
        <v>2001</v>
      </c>
      <c r="H701">
        <v>6.9</v>
      </c>
    </row>
    <row r="702" spans="1:8" x14ac:dyDescent="0.25">
      <c r="A702">
        <v>137</v>
      </c>
      <c r="B702">
        <v>115603980</v>
      </c>
      <c r="C702" t="s">
        <v>643</v>
      </c>
      <c r="D702" t="s">
        <v>1</v>
      </c>
      <c r="E702" t="s">
        <v>2</v>
      </c>
      <c r="F702">
        <v>65000000</v>
      </c>
      <c r="G702">
        <v>2014</v>
      </c>
      <c r="H702">
        <v>7.2</v>
      </c>
    </row>
    <row r="703" spans="1:8" x14ac:dyDescent="0.25">
      <c r="A703">
        <v>93</v>
      </c>
      <c r="B703">
        <v>68208190</v>
      </c>
      <c r="C703" t="s">
        <v>1322</v>
      </c>
      <c r="D703" t="s">
        <v>1</v>
      </c>
      <c r="E703" t="s">
        <v>2</v>
      </c>
      <c r="F703">
        <v>65000000</v>
      </c>
      <c r="G703">
        <v>1999</v>
      </c>
      <c r="H703">
        <v>6.3</v>
      </c>
    </row>
    <row r="704" spans="1:8" x14ac:dyDescent="0.25">
      <c r="A704">
        <v>135</v>
      </c>
      <c r="B704">
        <v>43982842</v>
      </c>
      <c r="C704" t="s">
        <v>336</v>
      </c>
      <c r="D704" t="s">
        <v>1</v>
      </c>
      <c r="E704" t="s">
        <v>2</v>
      </c>
      <c r="F704">
        <v>65000000</v>
      </c>
      <c r="G704">
        <v>2009</v>
      </c>
      <c r="H704">
        <v>6.7</v>
      </c>
    </row>
    <row r="705" spans="1:8" x14ac:dyDescent="0.25">
      <c r="A705">
        <v>133</v>
      </c>
      <c r="B705">
        <v>31054924</v>
      </c>
      <c r="C705" t="s">
        <v>670</v>
      </c>
      <c r="D705" t="s">
        <v>1</v>
      </c>
      <c r="E705" t="s">
        <v>2</v>
      </c>
      <c r="F705">
        <v>64000000</v>
      </c>
      <c r="G705">
        <v>1999</v>
      </c>
      <c r="H705">
        <v>5.0999999999999996</v>
      </c>
    </row>
    <row r="706" spans="1:8" x14ac:dyDescent="0.25">
      <c r="A706">
        <v>98</v>
      </c>
      <c r="B706">
        <v>58255287</v>
      </c>
      <c r="C706" t="s">
        <v>680</v>
      </c>
      <c r="D706" t="s">
        <v>1</v>
      </c>
      <c r="E706" t="s">
        <v>2</v>
      </c>
      <c r="F706">
        <v>64000000</v>
      </c>
      <c r="G706">
        <v>2006</v>
      </c>
      <c r="H706">
        <v>4.3</v>
      </c>
    </row>
    <row r="707" spans="1:8" x14ac:dyDescent="0.25">
      <c r="A707">
        <v>136</v>
      </c>
      <c r="B707">
        <v>171383253</v>
      </c>
      <c r="C707" t="s">
        <v>635</v>
      </c>
      <c r="D707" t="s">
        <v>1</v>
      </c>
      <c r="E707" t="s">
        <v>2</v>
      </c>
      <c r="F707">
        <v>63000000</v>
      </c>
      <c r="G707">
        <v>1999</v>
      </c>
      <c r="H707">
        <v>8.6999999999999993</v>
      </c>
    </row>
    <row r="708" spans="1:8" x14ac:dyDescent="0.25">
      <c r="A708">
        <v>129</v>
      </c>
      <c r="B708">
        <v>70236496</v>
      </c>
      <c r="C708" t="s">
        <v>648</v>
      </c>
      <c r="D708" t="s">
        <v>1</v>
      </c>
      <c r="E708" t="s">
        <v>2</v>
      </c>
      <c r="F708">
        <v>63000000</v>
      </c>
      <c r="G708">
        <v>2006</v>
      </c>
      <c r="H708">
        <v>6</v>
      </c>
    </row>
    <row r="709" spans="1:8" x14ac:dyDescent="0.25">
      <c r="A709">
        <v>151</v>
      </c>
      <c r="B709">
        <v>37023395</v>
      </c>
      <c r="C709" t="s">
        <v>662</v>
      </c>
      <c r="D709" t="s">
        <v>1</v>
      </c>
      <c r="E709" t="s">
        <v>2</v>
      </c>
      <c r="F709">
        <v>63000000</v>
      </c>
      <c r="G709">
        <v>1999</v>
      </c>
      <c r="H709">
        <v>8.8000000000000007</v>
      </c>
    </row>
    <row r="710" spans="1:8" x14ac:dyDescent="0.25">
      <c r="A710">
        <v>94</v>
      </c>
      <c r="B710">
        <v>213079163</v>
      </c>
      <c r="C710" t="s">
        <v>673</v>
      </c>
      <c r="D710" t="s">
        <v>1</v>
      </c>
      <c r="E710" t="s">
        <v>2</v>
      </c>
      <c r="F710">
        <v>63000000</v>
      </c>
      <c r="G710">
        <v>2002</v>
      </c>
      <c r="H710">
        <v>6.2</v>
      </c>
    </row>
    <row r="711" spans="1:8" x14ac:dyDescent="0.25">
      <c r="A711">
        <v>127</v>
      </c>
      <c r="B711">
        <v>356784000</v>
      </c>
      <c r="C711" t="s">
        <v>676</v>
      </c>
      <c r="D711" t="s">
        <v>1</v>
      </c>
      <c r="E711" t="s">
        <v>2</v>
      </c>
      <c r="F711">
        <v>63000000</v>
      </c>
      <c r="G711">
        <v>1993</v>
      </c>
      <c r="H711">
        <v>8.1</v>
      </c>
    </row>
    <row r="712" spans="1:8" x14ac:dyDescent="0.25">
      <c r="A712">
        <v>212</v>
      </c>
      <c r="B712">
        <v>25052000</v>
      </c>
      <c r="C712" t="s">
        <v>677</v>
      </c>
      <c r="D712" t="s">
        <v>1</v>
      </c>
      <c r="E712" t="s">
        <v>2</v>
      </c>
      <c r="F712">
        <v>63000000</v>
      </c>
      <c r="G712">
        <v>1994</v>
      </c>
      <c r="H712">
        <v>6.6</v>
      </c>
    </row>
    <row r="713" spans="1:8" x14ac:dyDescent="0.25">
      <c r="A713">
        <v>95</v>
      </c>
      <c r="B713">
        <v>108012170</v>
      </c>
      <c r="C713" t="s">
        <v>687</v>
      </c>
      <c r="D713" t="s">
        <v>1</v>
      </c>
      <c r="E713" t="s">
        <v>2</v>
      </c>
      <c r="F713">
        <v>63000000</v>
      </c>
      <c r="G713">
        <v>2011</v>
      </c>
      <c r="H713">
        <v>5.5</v>
      </c>
    </row>
    <row r="714" spans="1:8" x14ac:dyDescent="0.25">
      <c r="A714">
        <v>87</v>
      </c>
      <c r="B714">
        <v>53715611</v>
      </c>
      <c r="C714" t="s">
        <v>791</v>
      </c>
      <c r="D714" t="s">
        <v>1</v>
      </c>
      <c r="E714" t="s">
        <v>2</v>
      </c>
      <c r="F714">
        <v>63000000</v>
      </c>
      <c r="G714">
        <v>1988</v>
      </c>
      <c r="H714">
        <v>5.7</v>
      </c>
    </row>
    <row r="715" spans="1:8" x14ac:dyDescent="0.25">
      <c r="A715">
        <v>140</v>
      </c>
      <c r="B715">
        <v>172071312</v>
      </c>
      <c r="C715" t="s">
        <v>636</v>
      </c>
      <c r="D715" t="s">
        <v>1</v>
      </c>
      <c r="E715" t="s">
        <v>2</v>
      </c>
      <c r="F715">
        <v>62000000</v>
      </c>
      <c r="G715">
        <v>1995</v>
      </c>
      <c r="H715">
        <v>7.6</v>
      </c>
    </row>
    <row r="716" spans="1:8" x14ac:dyDescent="0.25">
      <c r="A716">
        <v>141</v>
      </c>
      <c r="B716">
        <v>122012710</v>
      </c>
      <c r="C716" t="s">
        <v>678</v>
      </c>
      <c r="D716" t="s">
        <v>1</v>
      </c>
      <c r="E716" t="s">
        <v>2</v>
      </c>
      <c r="F716">
        <v>62000000</v>
      </c>
      <c r="G716">
        <v>1994</v>
      </c>
      <c r="H716">
        <v>6.9</v>
      </c>
    </row>
    <row r="717" spans="1:8" x14ac:dyDescent="0.25">
      <c r="A717">
        <v>116</v>
      </c>
      <c r="B717">
        <v>77086030</v>
      </c>
      <c r="C717" t="s">
        <v>681</v>
      </c>
      <c r="D717" t="s">
        <v>1</v>
      </c>
      <c r="E717" t="s">
        <v>244</v>
      </c>
      <c r="F717">
        <v>62000000</v>
      </c>
      <c r="G717">
        <v>2000</v>
      </c>
      <c r="H717">
        <v>6.6</v>
      </c>
    </row>
    <row r="718" spans="1:8" x14ac:dyDescent="0.25">
      <c r="A718">
        <v>114</v>
      </c>
      <c r="B718">
        <v>65000000</v>
      </c>
      <c r="C718" t="s">
        <v>682</v>
      </c>
      <c r="D718" t="s">
        <v>1</v>
      </c>
      <c r="E718" t="s">
        <v>2</v>
      </c>
      <c r="F718">
        <v>62000000</v>
      </c>
      <c r="G718">
        <v>1995</v>
      </c>
      <c r="H718">
        <v>6.8</v>
      </c>
    </row>
    <row r="719" spans="1:8" x14ac:dyDescent="0.25">
      <c r="A719">
        <v>87</v>
      </c>
      <c r="B719">
        <v>32178777</v>
      </c>
      <c r="C719" t="s">
        <v>683</v>
      </c>
      <c r="D719" t="s">
        <v>1</v>
      </c>
      <c r="E719" t="s">
        <v>2</v>
      </c>
      <c r="F719">
        <v>62000000</v>
      </c>
      <c r="G719">
        <v>2008</v>
      </c>
      <c r="H719">
        <v>3.8</v>
      </c>
    </row>
    <row r="720" spans="1:8" x14ac:dyDescent="0.25">
      <c r="A720">
        <v>93</v>
      </c>
      <c r="B720">
        <v>25857987</v>
      </c>
      <c r="C720" t="s">
        <v>850</v>
      </c>
      <c r="D720" t="s">
        <v>1</v>
      </c>
      <c r="E720" t="s">
        <v>2</v>
      </c>
      <c r="F720">
        <v>62000000</v>
      </c>
      <c r="G720">
        <v>2005</v>
      </c>
      <c r="H720">
        <v>5.5</v>
      </c>
    </row>
    <row r="721" spans="1:8" x14ac:dyDescent="0.25">
      <c r="A721">
        <v>158</v>
      </c>
      <c r="B721">
        <v>148775460</v>
      </c>
      <c r="C721" t="s">
        <v>638</v>
      </c>
      <c r="D721" t="s">
        <v>1</v>
      </c>
      <c r="E721" t="s">
        <v>2</v>
      </c>
      <c r="F721">
        <v>61000000</v>
      </c>
      <c r="G721">
        <v>2012</v>
      </c>
      <c r="H721">
        <v>7.6</v>
      </c>
    </row>
    <row r="722" spans="1:8" x14ac:dyDescent="0.25">
      <c r="A722">
        <v>93</v>
      </c>
      <c r="B722">
        <v>118153533</v>
      </c>
      <c r="C722" t="s">
        <v>686</v>
      </c>
      <c r="D722" t="s">
        <v>1</v>
      </c>
      <c r="E722" t="s">
        <v>2</v>
      </c>
      <c r="F722">
        <v>61000000</v>
      </c>
      <c r="G722">
        <v>2007</v>
      </c>
      <c r="H722">
        <v>6.3</v>
      </c>
    </row>
    <row r="723" spans="1:8" x14ac:dyDescent="0.25">
      <c r="A723">
        <v>149</v>
      </c>
      <c r="B723">
        <v>167735396</v>
      </c>
      <c r="C723" t="s">
        <v>693</v>
      </c>
      <c r="D723" t="s">
        <v>1</v>
      </c>
      <c r="E723" t="s">
        <v>2</v>
      </c>
      <c r="F723">
        <v>61000000</v>
      </c>
      <c r="G723">
        <v>2014</v>
      </c>
      <c r="H723">
        <v>8.1</v>
      </c>
    </row>
    <row r="724" spans="1:8" x14ac:dyDescent="0.25">
      <c r="A724">
        <v>109</v>
      </c>
      <c r="B724">
        <v>75573300</v>
      </c>
      <c r="C724" t="s">
        <v>700</v>
      </c>
      <c r="D724" t="s">
        <v>1</v>
      </c>
      <c r="E724" t="s">
        <v>2</v>
      </c>
      <c r="F724">
        <v>61000000</v>
      </c>
      <c r="G724">
        <v>2013</v>
      </c>
      <c r="H724">
        <v>6.7</v>
      </c>
    </row>
    <row r="725" spans="1:8" x14ac:dyDescent="0.25">
      <c r="A725">
        <v>132</v>
      </c>
      <c r="B725">
        <v>81687587</v>
      </c>
      <c r="C725" t="s">
        <v>708</v>
      </c>
      <c r="D725" t="s">
        <v>1</v>
      </c>
      <c r="E725" t="s">
        <v>2</v>
      </c>
      <c r="F725">
        <v>61000000</v>
      </c>
      <c r="G725">
        <v>2015</v>
      </c>
      <c r="H725">
        <v>6.4</v>
      </c>
    </row>
    <row r="726" spans="1:8" x14ac:dyDescent="0.25">
      <c r="A726">
        <v>124</v>
      </c>
      <c r="B726">
        <v>46975183</v>
      </c>
      <c r="C726" t="s">
        <v>741</v>
      </c>
      <c r="D726" t="s">
        <v>1</v>
      </c>
      <c r="E726" t="s">
        <v>2</v>
      </c>
      <c r="F726">
        <v>61000000</v>
      </c>
      <c r="G726">
        <v>2007</v>
      </c>
      <c r="H726">
        <v>7.2</v>
      </c>
    </row>
    <row r="727" spans="1:8" x14ac:dyDescent="0.25">
      <c r="A727">
        <v>112</v>
      </c>
      <c r="B727">
        <v>31494270</v>
      </c>
      <c r="C727" t="s">
        <v>419</v>
      </c>
      <c r="D727" t="s">
        <v>1</v>
      </c>
      <c r="E727" t="s">
        <v>2</v>
      </c>
      <c r="F727">
        <v>60000000</v>
      </c>
      <c r="G727">
        <v>2010</v>
      </c>
      <c r="H727">
        <v>7.5</v>
      </c>
    </row>
    <row r="728" spans="1:8" x14ac:dyDescent="0.25">
      <c r="A728">
        <v>135</v>
      </c>
      <c r="B728">
        <v>31111260</v>
      </c>
      <c r="C728" t="s">
        <v>420</v>
      </c>
      <c r="D728" t="s">
        <v>1</v>
      </c>
      <c r="E728" t="s">
        <v>2</v>
      </c>
      <c r="F728">
        <v>60000000</v>
      </c>
      <c r="G728">
        <v>2003</v>
      </c>
      <c r="H728">
        <v>5.4</v>
      </c>
    </row>
    <row r="729" spans="1:8" x14ac:dyDescent="0.25">
      <c r="A729">
        <v>128</v>
      </c>
      <c r="B729">
        <v>77032279</v>
      </c>
      <c r="C729" t="s">
        <v>525</v>
      </c>
      <c r="D729" t="s">
        <v>1</v>
      </c>
      <c r="E729" t="s">
        <v>2</v>
      </c>
      <c r="F729">
        <v>60000000</v>
      </c>
      <c r="G729">
        <v>2004</v>
      </c>
      <c r="H729">
        <v>7.3</v>
      </c>
    </row>
    <row r="730" spans="1:8" x14ac:dyDescent="0.25">
      <c r="A730">
        <v>108</v>
      </c>
      <c r="B730">
        <v>114195633</v>
      </c>
      <c r="C730" t="s">
        <v>565</v>
      </c>
      <c r="D730" t="s">
        <v>1</v>
      </c>
      <c r="E730" t="s">
        <v>2</v>
      </c>
      <c r="F730">
        <v>60000000</v>
      </c>
      <c r="G730">
        <v>2004</v>
      </c>
      <c r="H730">
        <v>6.5</v>
      </c>
    </row>
    <row r="731" spans="1:8" x14ac:dyDescent="0.25">
      <c r="A731">
        <v>109</v>
      </c>
      <c r="B731">
        <v>80281096</v>
      </c>
      <c r="C731" t="s">
        <v>580</v>
      </c>
      <c r="D731" t="s">
        <v>1</v>
      </c>
      <c r="E731" t="s">
        <v>2</v>
      </c>
      <c r="F731">
        <v>60000000</v>
      </c>
      <c r="G731">
        <v>2004</v>
      </c>
      <c r="H731">
        <v>5.6</v>
      </c>
    </row>
    <row r="732" spans="1:8" x14ac:dyDescent="0.25">
      <c r="A732">
        <v>113</v>
      </c>
      <c r="B732">
        <v>28031250</v>
      </c>
      <c r="C732" t="s">
        <v>598</v>
      </c>
      <c r="D732" t="s">
        <v>1</v>
      </c>
      <c r="E732" t="s">
        <v>5</v>
      </c>
      <c r="F732">
        <v>60000000</v>
      </c>
      <c r="G732">
        <v>2005</v>
      </c>
      <c r="H732">
        <v>5.2</v>
      </c>
    </row>
    <row r="733" spans="1:8" x14ac:dyDescent="0.25">
      <c r="A733">
        <v>125</v>
      </c>
      <c r="B733">
        <v>19076815</v>
      </c>
      <c r="C733" t="s">
        <v>602</v>
      </c>
      <c r="D733" t="s">
        <v>1</v>
      </c>
      <c r="E733" t="s">
        <v>2</v>
      </c>
      <c r="F733">
        <v>60000000</v>
      </c>
      <c r="G733">
        <v>2002</v>
      </c>
      <c r="H733">
        <v>6.3</v>
      </c>
    </row>
    <row r="734" spans="1:8" x14ac:dyDescent="0.25">
      <c r="A734">
        <v>104</v>
      </c>
      <c r="B734">
        <v>139225854</v>
      </c>
      <c r="C734" t="s">
        <v>637</v>
      </c>
      <c r="D734" t="s">
        <v>1</v>
      </c>
      <c r="E734" t="s">
        <v>2</v>
      </c>
      <c r="F734">
        <v>60000000</v>
      </c>
      <c r="G734">
        <v>2002</v>
      </c>
      <c r="H734">
        <v>5.5</v>
      </c>
    </row>
    <row r="735" spans="1:8" x14ac:dyDescent="0.25">
      <c r="A735">
        <v>104</v>
      </c>
      <c r="B735">
        <v>69688384</v>
      </c>
      <c r="C735" t="s">
        <v>647</v>
      </c>
      <c r="D735" t="s">
        <v>1</v>
      </c>
      <c r="E735" t="s">
        <v>2</v>
      </c>
      <c r="F735">
        <v>60000000</v>
      </c>
      <c r="G735">
        <v>2000</v>
      </c>
      <c r="H735">
        <v>6.1</v>
      </c>
    </row>
    <row r="736" spans="1:8" x14ac:dyDescent="0.25">
      <c r="A736">
        <v>115</v>
      </c>
      <c r="B736">
        <v>143151473</v>
      </c>
      <c r="C736" t="s">
        <v>690</v>
      </c>
      <c r="D736" t="s">
        <v>1</v>
      </c>
      <c r="E736" t="s">
        <v>2</v>
      </c>
      <c r="F736">
        <v>60000000</v>
      </c>
      <c r="G736">
        <v>2008</v>
      </c>
      <c r="H736">
        <v>7.1</v>
      </c>
    </row>
    <row r="737" spans="1:8" x14ac:dyDescent="0.25">
      <c r="A737">
        <v>189</v>
      </c>
      <c r="B737">
        <v>136801374</v>
      </c>
      <c r="C737" t="s">
        <v>691</v>
      </c>
      <c r="D737" t="s">
        <v>1</v>
      </c>
      <c r="E737" t="s">
        <v>2</v>
      </c>
      <c r="F737">
        <v>60000000</v>
      </c>
      <c r="G737">
        <v>1999</v>
      </c>
      <c r="H737">
        <v>8.5</v>
      </c>
    </row>
    <row r="738" spans="1:8" x14ac:dyDescent="0.25">
      <c r="A738">
        <v>119</v>
      </c>
      <c r="B738">
        <v>121468960</v>
      </c>
      <c r="C738" t="s">
        <v>694</v>
      </c>
      <c r="D738" t="s">
        <v>1</v>
      </c>
      <c r="E738" t="s">
        <v>2</v>
      </c>
      <c r="F738">
        <v>60000000</v>
      </c>
      <c r="G738">
        <v>2002</v>
      </c>
      <c r="H738">
        <v>7.9</v>
      </c>
    </row>
    <row r="739" spans="1:8" x14ac:dyDescent="0.25">
      <c r="A739">
        <v>103</v>
      </c>
      <c r="B739">
        <v>125603360</v>
      </c>
      <c r="C739" t="s">
        <v>697</v>
      </c>
      <c r="D739" t="s">
        <v>1</v>
      </c>
      <c r="E739" t="s">
        <v>2</v>
      </c>
      <c r="F739">
        <v>60000000</v>
      </c>
      <c r="G739">
        <v>1998</v>
      </c>
      <c r="H739">
        <v>8.1</v>
      </c>
    </row>
    <row r="740" spans="1:8" x14ac:dyDescent="0.25">
      <c r="A740">
        <v>92</v>
      </c>
      <c r="B740">
        <v>104148781</v>
      </c>
      <c r="C740" t="s">
        <v>699</v>
      </c>
      <c r="D740" t="s">
        <v>1</v>
      </c>
      <c r="E740" t="s">
        <v>2</v>
      </c>
      <c r="F740">
        <v>60000000</v>
      </c>
      <c r="G740">
        <v>2003</v>
      </c>
      <c r="H740">
        <v>5.5</v>
      </c>
    </row>
    <row r="741" spans="1:8" x14ac:dyDescent="0.25">
      <c r="A741">
        <v>87</v>
      </c>
      <c r="B741">
        <v>93375151</v>
      </c>
      <c r="C741" t="s">
        <v>701</v>
      </c>
      <c r="D741" t="s">
        <v>1</v>
      </c>
      <c r="E741" t="s">
        <v>2</v>
      </c>
      <c r="F741">
        <v>60000000</v>
      </c>
      <c r="G741">
        <v>2001</v>
      </c>
      <c r="H741">
        <v>5.2</v>
      </c>
    </row>
    <row r="742" spans="1:8" x14ac:dyDescent="0.25">
      <c r="A742">
        <v>111</v>
      </c>
      <c r="B742">
        <v>106126012</v>
      </c>
      <c r="C742" t="s">
        <v>702</v>
      </c>
      <c r="D742" t="s">
        <v>1</v>
      </c>
      <c r="E742" t="s">
        <v>2</v>
      </c>
      <c r="F742">
        <v>60000000</v>
      </c>
      <c r="G742">
        <v>2003</v>
      </c>
      <c r="H742">
        <v>7</v>
      </c>
    </row>
    <row r="743" spans="1:8" x14ac:dyDescent="0.25">
      <c r="A743">
        <v>101</v>
      </c>
      <c r="B743">
        <v>93307796</v>
      </c>
      <c r="C743" t="s">
        <v>703</v>
      </c>
      <c r="D743" t="s">
        <v>1</v>
      </c>
      <c r="E743" t="s">
        <v>2</v>
      </c>
      <c r="F743">
        <v>60000000</v>
      </c>
      <c r="G743">
        <v>2002</v>
      </c>
      <c r="H743">
        <v>6.1</v>
      </c>
    </row>
    <row r="744" spans="1:8" x14ac:dyDescent="0.25">
      <c r="A744">
        <v>113</v>
      </c>
      <c r="B744">
        <v>109176215</v>
      </c>
      <c r="C744" t="s">
        <v>705</v>
      </c>
      <c r="D744" t="s">
        <v>1</v>
      </c>
      <c r="E744" t="s">
        <v>2</v>
      </c>
      <c r="F744">
        <v>60000000</v>
      </c>
      <c r="G744">
        <v>2009</v>
      </c>
      <c r="H744">
        <v>5.5</v>
      </c>
    </row>
    <row r="745" spans="1:8" x14ac:dyDescent="0.25">
      <c r="A745">
        <v>107</v>
      </c>
      <c r="B745">
        <v>82670733</v>
      </c>
      <c r="C745" t="s">
        <v>706</v>
      </c>
      <c r="D745" t="s">
        <v>1</v>
      </c>
      <c r="E745" t="s">
        <v>2</v>
      </c>
      <c r="F745">
        <v>60000000</v>
      </c>
      <c r="G745">
        <v>1990</v>
      </c>
      <c r="H745">
        <v>5.9</v>
      </c>
    </row>
    <row r="746" spans="1:8" x14ac:dyDescent="0.25">
      <c r="A746">
        <v>94</v>
      </c>
      <c r="B746">
        <v>82569532</v>
      </c>
      <c r="C746" t="s">
        <v>707</v>
      </c>
      <c r="D746" t="s">
        <v>1</v>
      </c>
      <c r="E746" t="s">
        <v>2</v>
      </c>
      <c r="F746">
        <v>60000000</v>
      </c>
      <c r="G746">
        <v>2005</v>
      </c>
      <c r="H746">
        <v>5.4</v>
      </c>
    </row>
    <row r="747" spans="1:8" x14ac:dyDescent="0.25">
      <c r="A747">
        <v>140</v>
      </c>
      <c r="B747">
        <v>80574010</v>
      </c>
      <c r="C747" t="s">
        <v>709</v>
      </c>
      <c r="D747" t="s">
        <v>1</v>
      </c>
      <c r="E747" t="s">
        <v>2</v>
      </c>
      <c r="F747">
        <v>60000000</v>
      </c>
      <c r="G747">
        <v>2010</v>
      </c>
      <c r="H747">
        <v>5.7</v>
      </c>
    </row>
    <row r="748" spans="1:8" x14ac:dyDescent="0.25">
      <c r="A748">
        <v>125</v>
      </c>
      <c r="B748">
        <v>75764085</v>
      </c>
      <c r="C748" t="s">
        <v>710</v>
      </c>
      <c r="D748" t="s">
        <v>1</v>
      </c>
      <c r="E748" t="s">
        <v>2</v>
      </c>
      <c r="F748">
        <v>60000000</v>
      </c>
      <c r="G748">
        <v>2000</v>
      </c>
      <c r="H748">
        <v>6.7</v>
      </c>
    </row>
    <row r="749" spans="1:8" x14ac:dyDescent="0.25">
      <c r="A749">
        <v>170</v>
      </c>
      <c r="B749">
        <v>75370763</v>
      </c>
      <c r="C749" t="s">
        <v>713</v>
      </c>
      <c r="D749" t="s">
        <v>1</v>
      </c>
      <c r="E749" t="s">
        <v>2</v>
      </c>
      <c r="F749">
        <v>60000000</v>
      </c>
      <c r="G749">
        <v>1998</v>
      </c>
      <c r="H749">
        <v>6.5</v>
      </c>
    </row>
    <row r="750" spans="1:8" x14ac:dyDescent="0.25">
      <c r="A750">
        <v>100</v>
      </c>
      <c r="B750">
        <v>90341670</v>
      </c>
      <c r="C750" t="s">
        <v>715</v>
      </c>
      <c r="D750" t="s">
        <v>1</v>
      </c>
      <c r="E750" t="s">
        <v>2</v>
      </c>
      <c r="F750">
        <v>60000000</v>
      </c>
      <c r="G750">
        <v>2002</v>
      </c>
      <c r="H750">
        <v>5.5</v>
      </c>
    </row>
    <row r="751" spans="1:8" x14ac:dyDescent="0.25">
      <c r="A751">
        <v>130</v>
      </c>
      <c r="B751">
        <v>80033643</v>
      </c>
      <c r="C751" t="s">
        <v>717</v>
      </c>
      <c r="D751" t="s">
        <v>1</v>
      </c>
      <c r="E751" t="s">
        <v>2</v>
      </c>
      <c r="F751">
        <v>60000000</v>
      </c>
      <c r="G751">
        <v>2012</v>
      </c>
      <c r="H751">
        <v>7</v>
      </c>
    </row>
    <row r="752" spans="1:8" x14ac:dyDescent="0.25">
      <c r="A752">
        <v>105</v>
      </c>
      <c r="B752">
        <v>73648142</v>
      </c>
      <c r="C752" t="s">
        <v>718</v>
      </c>
      <c r="D752" t="s">
        <v>1</v>
      </c>
      <c r="E752" t="s">
        <v>2</v>
      </c>
      <c r="F752">
        <v>60000000</v>
      </c>
      <c r="G752">
        <v>1999</v>
      </c>
      <c r="H752">
        <v>5.8</v>
      </c>
    </row>
    <row r="753" spans="1:8" x14ac:dyDescent="0.25">
      <c r="A753">
        <v>111</v>
      </c>
      <c r="B753">
        <v>71844424</v>
      </c>
      <c r="C753" t="s">
        <v>719</v>
      </c>
      <c r="D753" t="s">
        <v>1</v>
      </c>
      <c r="E753" t="s">
        <v>2</v>
      </c>
      <c r="F753">
        <v>60000000</v>
      </c>
      <c r="G753">
        <v>2009</v>
      </c>
      <c r="H753">
        <v>7.3</v>
      </c>
    </row>
    <row r="754" spans="1:8" x14ac:dyDescent="0.25">
      <c r="A754">
        <v>106</v>
      </c>
      <c r="B754">
        <v>75638743</v>
      </c>
      <c r="C754" t="s">
        <v>720</v>
      </c>
      <c r="D754" t="s">
        <v>1</v>
      </c>
      <c r="E754" t="s">
        <v>2</v>
      </c>
      <c r="F754">
        <v>60000000</v>
      </c>
      <c r="G754">
        <v>2011</v>
      </c>
      <c r="H754">
        <v>6.6</v>
      </c>
    </row>
    <row r="755" spans="1:8" x14ac:dyDescent="0.25">
      <c r="A755">
        <v>89</v>
      </c>
      <c r="B755">
        <v>66734992</v>
      </c>
      <c r="C755" t="s">
        <v>721</v>
      </c>
      <c r="D755" t="s">
        <v>1</v>
      </c>
      <c r="E755" t="s">
        <v>2</v>
      </c>
      <c r="F755">
        <v>60000000</v>
      </c>
      <c r="G755">
        <v>2003</v>
      </c>
      <c r="H755">
        <v>4.4000000000000004</v>
      </c>
    </row>
    <row r="756" spans="1:8" x14ac:dyDescent="0.25">
      <c r="A756">
        <v>100</v>
      </c>
      <c r="B756">
        <v>75280058</v>
      </c>
      <c r="C756" t="s">
        <v>722</v>
      </c>
      <c r="D756" t="s">
        <v>1</v>
      </c>
      <c r="E756" t="s">
        <v>2</v>
      </c>
      <c r="F756">
        <v>60000000</v>
      </c>
      <c r="G756">
        <v>2009</v>
      </c>
      <c r="H756">
        <v>7.7</v>
      </c>
    </row>
    <row r="757" spans="1:8" x14ac:dyDescent="0.25">
      <c r="A757">
        <v>101</v>
      </c>
      <c r="B757">
        <v>88200225</v>
      </c>
      <c r="C757" t="s">
        <v>726</v>
      </c>
      <c r="D757" t="s">
        <v>1</v>
      </c>
      <c r="E757" t="s">
        <v>2</v>
      </c>
      <c r="F757">
        <v>60000000</v>
      </c>
      <c r="G757">
        <v>2004</v>
      </c>
      <c r="H757">
        <v>6.1</v>
      </c>
    </row>
    <row r="758" spans="1:8" x14ac:dyDescent="0.25">
      <c r="A758">
        <v>94</v>
      </c>
      <c r="B758">
        <v>60573641</v>
      </c>
      <c r="C758" t="s">
        <v>727</v>
      </c>
      <c r="D758" t="s">
        <v>1</v>
      </c>
      <c r="E758" t="s">
        <v>2</v>
      </c>
      <c r="F758">
        <v>60000000</v>
      </c>
      <c r="G758">
        <v>1996</v>
      </c>
      <c r="H758">
        <v>5.4</v>
      </c>
    </row>
    <row r="759" spans="1:8" x14ac:dyDescent="0.25">
      <c r="A759">
        <v>115</v>
      </c>
      <c r="B759">
        <v>56702901</v>
      </c>
      <c r="C759" t="s">
        <v>729</v>
      </c>
      <c r="D759" t="s">
        <v>1</v>
      </c>
      <c r="E759" t="s">
        <v>2</v>
      </c>
      <c r="F759">
        <v>60000000</v>
      </c>
      <c r="G759">
        <v>1998</v>
      </c>
      <c r="H759">
        <v>6.5</v>
      </c>
    </row>
    <row r="760" spans="1:8" x14ac:dyDescent="0.25">
      <c r="A760">
        <v>92</v>
      </c>
      <c r="B760">
        <v>55994557</v>
      </c>
      <c r="C760" t="s">
        <v>730</v>
      </c>
      <c r="D760" t="s">
        <v>1</v>
      </c>
      <c r="E760" t="s">
        <v>2</v>
      </c>
      <c r="F760">
        <v>60000000</v>
      </c>
      <c r="G760">
        <v>2012</v>
      </c>
      <c r="H760">
        <v>7</v>
      </c>
    </row>
    <row r="761" spans="1:8" x14ac:dyDescent="0.25">
      <c r="A761">
        <v>124</v>
      </c>
      <c r="B761">
        <v>54910560</v>
      </c>
      <c r="C761" t="s">
        <v>731</v>
      </c>
      <c r="D761" t="s">
        <v>1</v>
      </c>
      <c r="E761" t="s">
        <v>2</v>
      </c>
      <c r="F761">
        <v>60000000</v>
      </c>
      <c r="G761">
        <v>1997</v>
      </c>
      <c r="H761">
        <v>6.3</v>
      </c>
    </row>
    <row r="762" spans="1:8" x14ac:dyDescent="0.25">
      <c r="A762">
        <v>119</v>
      </c>
      <c r="B762">
        <v>53789313</v>
      </c>
      <c r="C762" t="s">
        <v>732</v>
      </c>
      <c r="D762" t="s">
        <v>1</v>
      </c>
      <c r="E762" t="s">
        <v>2</v>
      </c>
      <c r="F762">
        <v>60000000</v>
      </c>
      <c r="G762">
        <v>2003</v>
      </c>
      <c r="H762">
        <v>6.3</v>
      </c>
    </row>
    <row r="763" spans="1:8" x14ac:dyDescent="0.25">
      <c r="A763">
        <v>124</v>
      </c>
      <c r="B763">
        <v>51045801</v>
      </c>
      <c r="C763" t="s">
        <v>733</v>
      </c>
      <c r="D763" t="s">
        <v>1</v>
      </c>
      <c r="E763" t="s">
        <v>2</v>
      </c>
      <c r="F763">
        <v>60000000</v>
      </c>
      <c r="G763">
        <v>1996</v>
      </c>
      <c r="H763">
        <v>6.1</v>
      </c>
    </row>
    <row r="764" spans="1:8" x14ac:dyDescent="0.25">
      <c r="A764">
        <v>93</v>
      </c>
      <c r="B764">
        <v>50818750</v>
      </c>
      <c r="C764" t="s">
        <v>734</v>
      </c>
      <c r="D764" t="s">
        <v>1</v>
      </c>
      <c r="E764" t="s">
        <v>5</v>
      </c>
      <c r="F764">
        <v>60000000</v>
      </c>
      <c r="G764">
        <v>2008</v>
      </c>
      <c r="H764">
        <v>6.1</v>
      </c>
    </row>
    <row r="765" spans="1:8" x14ac:dyDescent="0.25">
      <c r="A765">
        <v>98</v>
      </c>
      <c r="B765">
        <v>50189179</v>
      </c>
      <c r="C765" t="s">
        <v>735</v>
      </c>
      <c r="D765" t="s">
        <v>1</v>
      </c>
      <c r="E765" t="s">
        <v>2</v>
      </c>
      <c r="F765">
        <v>60000000</v>
      </c>
      <c r="G765">
        <v>2002</v>
      </c>
      <c r="H765">
        <v>5.3</v>
      </c>
    </row>
    <row r="766" spans="1:8" x14ac:dyDescent="0.25">
      <c r="A766">
        <v>92</v>
      </c>
      <c r="B766">
        <v>50024083</v>
      </c>
      <c r="C766" t="s">
        <v>736</v>
      </c>
      <c r="D766" t="s">
        <v>1</v>
      </c>
      <c r="E766" t="s">
        <v>2</v>
      </c>
      <c r="F766">
        <v>60000000</v>
      </c>
      <c r="G766">
        <v>1995</v>
      </c>
      <c r="H766">
        <v>5.4</v>
      </c>
    </row>
    <row r="767" spans="1:8" x14ac:dyDescent="0.25">
      <c r="A767">
        <v>105</v>
      </c>
      <c r="B767">
        <v>50549107</v>
      </c>
      <c r="C767" t="s">
        <v>737</v>
      </c>
      <c r="D767" t="s">
        <v>1</v>
      </c>
      <c r="E767" t="s">
        <v>2</v>
      </c>
      <c r="F767">
        <v>60000000</v>
      </c>
      <c r="G767">
        <v>2014</v>
      </c>
      <c r="H767">
        <v>6.2</v>
      </c>
    </row>
    <row r="768" spans="1:8" x14ac:dyDescent="0.25">
      <c r="A768">
        <v>124</v>
      </c>
      <c r="B768">
        <v>56443482</v>
      </c>
      <c r="C768" t="s">
        <v>738</v>
      </c>
      <c r="D768" t="s">
        <v>1</v>
      </c>
      <c r="E768" t="s">
        <v>2</v>
      </c>
      <c r="F768">
        <v>60000000</v>
      </c>
      <c r="G768">
        <v>2015</v>
      </c>
      <c r="H768">
        <v>6.6</v>
      </c>
    </row>
    <row r="769" spans="1:8" x14ac:dyDescent="0.25">
      <c r="A769">
        <v>99</v>
      </c>
      <c r="B769">
        <v>62401264</v>
      </c>
      <c r="C769" t="s">
        <v>739</v>
      </c>
      <c r="D769" t="s">
        <v>1</v>
      </c>
      <c r="E769" t="s">
        <v>5</v>
      </c>
      <c r="F769">
        <v>60000000</v>
      </c>
      <c r="G769">
        <v>2016</v>
      </c>
      <c r="H769">
        <v>5.9</v>
      </c>
    </row>
    <row r="770" spans="1:8" x14ac:dyDescent="0.25">
      <c r="A770">
        <v>96</v>
      </c>
      <c r="B770">
        <v>50807639</v>
      </c>
      <c r="C770" t="s">
        <v>742</v>
      </c>
      <c r="D770" t="s">
        <v>1</v>
      </c>
      <c r="E770" t="s">
        <v>2</v>
      </c>
      <c r="F770">
        <v>60000000</v>
      </c>
      <c r="G770">
        <v>2014</v>
      </c>
      <c r="H770">
        <v>6.8</v>
      </c>
    </row>
    <row r="771" spans="1:8" x14ac:dyDescent="0.25">
      <c r="A771">
        <v>100</v>
      </c>
      <c r="B771">
        <v>257756197</v>
      </c>
      <c r="C771" t="s">
        <v>744</v>
      </c>
      <c r="D771" t="s">
        <v>1</v>
      </c>
      <c r="E771" t="s">
        <v>55</v>
      </c>
      <c r="F771">
        <v>60000000</v>
      </c>
      <c r="G771">
        <v>2014</v>
      </c>
      <c r="H771">
        <v>7.8</v>
      </c>
    </row>
    <row r="772" spans="1:8" x14ac:dyDescent="0.25">
      <c r="A772">
        <v>101</v>
      </c>
      <c r="B772">
        <v>43060566</v>
      </c>
      <c r="C772" t="s">
        <v>746</v>
      </c>
      <c r="D772" t="s">
        <v>1</v>
      </c>
      <c r="E772" t="s">
        <v>2</v>
      </c>
      <c r="F772">
        <v>60000000</v>
      </c>
      <c r="G772">
        <v>2002</v>
      </c>
      <c r="H772">
        <v>6.2</v>
      </c>
    </row>
    <row r="773" spans="1:8" x14ac:dyDescent="0.25">
      <c r="A773">
        <v>113</v>
      </c>
      <c r="B773">
        <v>45996718</v>
      </c>
      <c r="C773" t="s">
        <v>747</v>
      </c>
      <c r="D773" t="s">
        <v>1</v>
      </c>
      <c r="E773" t="s">
        <v>2</v>
      </c>
      <c r="F773">
        <v>60000000</v>
      </c>
      <c r="G773">
        <v>2013</v>
      </c>
      <c r="H773">
        <v>6.7</v>
      </c>
    </row>
    <row r="774" spans="1:8" x14ac:dyDescent="0.25">
      <c r="A774">
        <v>100</v>
      </c>
      <c r="B774">
        <v>43337279</v>
      </c>
      <c r="C774" t="s">
        <v>748</v>
      </c>
      <c r="D774" t="s">
        <v>1</v>
      </c>
      <c r="E774" t="s">
        <v>2</v>
      </c>
      <c r="F774">
        <v>60000000</v>
      </c>
      <c r="G774">
        <v>2009</v>
      </c>
      <c r="H774">
        <v>4.9000000000000004</v>
      </c>
    </row>
    <row r="775" spans="1:8" x14ac:dyDescent="0.25">
      <c r="A775">
        <v>134</v>
      </c>
      <c r="B775">
        <v>37479778</v>
      </c>
      <c r="C775" t="s">
        <v>749</v>
      </c>
      <c r="D775" t="s">
        <v>1</v>
      </c>
      <c r="E775" t="s">
        <v>2</v>
      </c>
      <c r="F775">
        <v>60000000</v>
      </c>
      <c r="G775">
        <v>2009</v>
      </c>
      <c r="H775">
        <v>7.4</v>
      </c>
    </row>
    <row r="776" spans="1:8" x14ac:dyDescent="0.25">
      <c r="A776">
        <v>125</v>
      </c>
      <c r="B776">
        <v>40559930</v>
      </c>
      <c r="C776" t="s">
        <v>750</v>
      </c>
      <c r="D776" t="s">
        <v>1</v>
      </c>
      <c r="E776" t="s">
        <v>2</v>
      </c>
      <c r="F776">
        <v>60000000</v>
      </c>
      <c r="G776">
        <v>2009</v>
      </c>
      <c r="H776">
        <v>6.2</v>
      </c>
    </row>
    <row r="777" spans="1:8" x14ac:dyDescent="0.25">
      <c r="A777">
        <v>107</v>
      </c>
      <c r="B777">
        <v>36279230</v>
      </c>
      <c r="C777" t="s">
        <v>752</v>
      </c>
      <c r="D777" t="s">
        <v>1</v>
      </c>
      <c r="E777" t="s">
        <v>2</v>
      </c>
      <c r="F777">
        <v>60000000</v>
      </c>
      <c r="G777">
        <v>2006</v>
      </c>
      <c r="H777">
        <v>6.1</v>
      </c>
    </row>
    <row r="778" spans="1:8" x14ac:dyDescent="0.25">
      <c r="A778">
        <v>116</v>
      </c>
      <c r="B778">
        <v>43119879</v>
      </c>
      <c r="C778" t="s">
        <v>754</v>
      </c>
      <c r="D778" t="s">
        <v>1</v>
      </c>
      <c r="E778" t="s">
        <v>2</v>
      </c>
      <c r="F778">
        <v>60000000</v>
      </c>
      <c r="G778">
        <v>2002</v>
      </c>
      <c r="H778">
        <v>6.4</v>
      </c>
    </row>
    <row r="779" spans="1:8" x14ac:dyDescent="0.25">
      <c r="A779">
        <v>100</v>
      </c>
      <c r="B779">
        <v>35096190</v>
      </c>
      <c r="C779" t="s">
        <v>755</v>
      </c>
      <c r="D779" t="s">
        <v>1</v>
      </c>
      <c r="E779" t="s">
        <v>2</v>
      </c>
      <c r="F779">
        <v>60000000</v>
      </c>
      <c r="G779">
        <v>2003</v>
      </c>
      <c r="H779">
        <v>6.3</v>
      </c>
    </row>
    <row r="780" spans="1:8" x14ac:dyDescent="0.25">
      <c r="A780">
        <v>96</v>
      </c>
      <c r="B780">
        <v>32122249</v>
      </c>
      <c r="C780" t="s">
        <v>758</v>
      </c>
      <c r="D780" t="s">
        <v>1</v>
      </c>
      <c r="E780" t="s">
        <v>2</v>
      </c>
      <c r="F780">
        <v>60000000</v>
      </c>
      <c r="G780">
        <v>2002</v>
      </c>
      <c r="H780">
        <v>5.9</v>
      </c>
    </row>
    <row r="781" spans="1:8" x14ac:dyDescent="0.25">
      <c r="A781">
        <v>101</v>
      </c>
      <c r="B781">
        <v>40076438</v>
      </c>
      <c r="C781" t="s">
        <v>759</v>
      </c>
      <c r="D781" t="s">
        <v>1</v>
      </c>
      <c r="E781" t="s">
        <v>2</v>
      </c>
      <c r="F781">
        <v>60000000</v>
      </c>
      <c r="G781">
        <v>2008</v>
      </c>
      <c r="H781">
        <v>6</v>
      </c>
    </row>
    <row r="782" spans="1:8" x14ac:dyDescent="0.25">
      <c r="A782">
        <v>111</v>
      </c>
      <c r="B782">
        <v>32940507</v>
      </c>
      <c r="C782" t="s">
        <v>760</v>
      </c>
      <c r="D782" t="s">
        <v>1</v>
      </c>
      <c r="E782" t="s">
        <v>2</v>
      </c>
      <c r="F782">
        <v>60000000</v>
      </c>
      <c r="G782">
        <v>1998</v>
      </c>
      <c r="H782">
        <v>6.1</v>
      </c>
    </row>
    <row r="783" spans="1:8" x14ac:dyDescent="0.25">
      <c r="A783">
        <v>117</v>
      </c>
      <c r="B783">
        <v>31670931</v>
      </c>
      <c r="C783" t="s">
        <v>761</v>
      </c>
      <c r="D783" t="s">
        <v>1</v>
      </c>
      <c r="E783" t="s">
        <v>5</v>
      </c>
      <c r="F783">
        <v>60000000</v>
      </c>
      <c r="G783">
        <v>2009</v>
      </c>
      <c r="H783">
        <v>6.7</v>
      </c>
    </row>
    <row r="784" spans="1:8" x14ac:dyDescent="0.25">
      <c r="A784">
        <v>126</v>
      </c>
      <c r="B784">
        <v>30695227</v>
      </c>
      <c r="C784" t="s">
        <v>762</v>
      </c>
      <c r="D784" t="s">
        <v>1</v>
      </c>
      <c r="E784" t="s">
        <v>2</v>
      </c>
      <c r="F784">
        <v>60000000</v>
      </c>
      <c r="G784">
        <v>2000</v>
      </c>
      <c r="H784">
        <v>6.7</v>
      </c>
    </row>
    <row r="785" spans="1:8" x14ac:dyDescent="0.25">
      <c r="A785">
        <v>152</v>
      </c>
      <c r="B785">
        <v>32522352</v>
      </c>
      <c r="C785" t="s">
        <v>763</v>
      </c>
      <c r="D785" t="s">
        <v>1</v>
      </c>
      <c r="E785" t="s">
        <v>2</v>
      </c>
      <c r="F785">
        <v>60000000</v>
      </c>
      <c r="G785">
        <v>2000</v>
      </c>
      <c r="H785">
        <v>7.9</v>
      </c>
    </row>
    <row r="786" spans="1:8" x14ac:dyDescent="0.25">
      <c r="A786">
        <v>87</v>
      </c>
      <c r="B786">
        <v>29136626</v>
      </c>
      <c r="C786" t="s">
        <v>765</v>
      </c>
      <c r="D786" t="s">
        <v>1</v>
      </c>
      <c r="E786" t="s">
        <v>2</v>
      </c>
      <c r="F786">
        <v>60000000</v>
      </c>
      <c r="G786">
        <v>2011</v>
      </c>
      <c r="H786">
        <v>5.7</v>
      </c>
    </row>
    <row r="787" spans="1:8" x14ac:dyDescent="0.25">
      <c r="A787">
        <v>85</v>
      </c>
      <c r="B787">
        <v>26288320</v>
      </c>
      <c r="C787" t="s">
        <v>766</v>
      </c>
      <c r="D787" t="s">
        <v>1</v>
      </c>
      <c r="E787" t="s">
        <v>2</v>
      </c>
      <c r="F787">
        <v>60000000</v>
      </c>
      <c r="G787">
        <v>2003</v>
      </c>
      <c r="H787">
        <v>6.7</v>
      </c>
    </row>
    <row r="788" spans="1:8" x14ac:dyDescent="0.25">
      <c r="A788">
        <v>130</v>
      </c>
      <c r="B788">
        <v>26616590</v>
      </c>
      <c r="C788" t="s">
        <v>767</v>
      </c>
      <c r="D788" t="s">
        <v>1</v>
      </c>
      <c r="E788" t="s">
        <v>5</v>
      </c>
      <c r="F788">
        <v>60000000</v>
      </c>
      <c r="G788">
        <v>1997</v>
      </c>
      <c r="H788">
        <v>6.7</v>
      </c>
    </row>
    <row r="789" spans="1:8" x14ac:dyDescent="0.25">
      <c r="A789">
        <v>104</v>
      </c>
      <c r="B789">
        <v>30063805</v>
      </c>
      <c r="C789" t="s">
        <v>768</v>
      </c>
      <c r="D789" t="s">
        <v>1</v>
      </c>
      <c r="E789" t="s">
        <v>2</v>
      </c>
      <c r="F789">
        <v>60000000</v>
      </c>
      <c r="G789">
        <v>2002</v>
      </c>
      <c r="H789">
        <v>6.1</v>
      </c>
    </row>
    <row r="790" spans="1:8" x14ac:dyDescent="0.25">
      <c r="A790">
        <v>140</v>
      </c>
      <c r="B790">
        <v>13082288</v>
      </c>
      <c r="C790" t="s">
        <v>770</v>
      </c>
      <c r="D790" t="s">
        <v>1</v>
      </c>
      <c r="E790" t="s">
        <v>5</v>
      </c>
      <c r="F790">
        <v>60000000</v>
      </c>
      <c r="G790">
        <v>2006</v>
      </c>
      <c r="H790">
        <v>6.6</v>
      </c>
    </row>
    <row r="791" spans="1:8" x14ac:dyDescent="0.25">
      <c r="A791">
        <v>131</v>
      </c>
      <c r="B791">
        <v>18208078</v>
      </c>
      <c r="C791" t="s">
        <v>771</v>
      </c>
      <c r="D791" t="s">
        <v>1</v>
      </c>
      <c r="E791" t="s">
        <v>2</v>
      </c>
      <c r="F791">
        <v>60000000</v>
      </c>
      <c r="G791">
        <v>2001</v>
      </c>
      <c r="H791">
        <v>6.9</v>
      </c>
    </row>
    <row r="792" spans="1:8" x14ac:dyDescent="0.25">
      <c r="A792">
        <v>118</v>
      </c>
      <c r="B792">
        <v>22451</v>
      </c>
      <c r="C792" t="s">
        <v>773</v>
      </c>
      <c r="D792" t="s">
        <v>1</v>
      </c>
      <c r="E792" t="s">
        <v>2</v>
      </c>
      <c r="F792">
        <v>60000000</v>
      </c>
      <c r="G792">
        <v>2014</v>
      </c>
      <c r="H792">
        <v>6.2</v>
      </c>
    </row>
    <row r="793" spans="1:8" x14ac:dyDescent="0.25">
      <c r="A793">
        <v>130</v>
      </c>
      <c r="B793">
        <v>31165421</v>
      </c>
      <c r="C793" t="s">
        <v>774</v>
      </c>
      <c r="D793" t="s">
        <v>1</v>
      </c>
      <c r="E793" t="s">
        <v>2</v>
      </c>
      <c r="F793">
        <v>60000000</v>
      </c>
      <c r="G793">
        <v>2013</v>
      </c>
      <c r="H793">
        <v>6</v>
      </c>
    </row>
    <row r="794" spans="1:8" x14ac:dyDescent="0.25">
      <c r="A794">
        <v>90</v>
      </c>
      <c r="B794">
        <v>11802056</v>
      </c>
      <c r="C794" t="s">
        <v>775</v>
      </c>
      <c r="D794" t="s">
        <v>1</v>
      </c>
      <c r="E794" t="s">
        <v>2</v>
      </c>
      <c r="F794">
        <v>60000000</v>
      </c>
      <c r="G794">
        <v>2008</v>
      </c>
      <c r="H794">
        <v>4.9000000000000004</v>
      </c>
    </row>
    <row r="795" spans="1:8" x14ac:dyDescent="0.25">
      <c r="A795">
        <v>106</v>
      </c>
      <c r="B795">
        <v>17281832</v>
      </c>
      <c r="C795" t="s">
        <v>778</v>
      </c>
      <c r="D795" t="s">
        <v>1</v>
      </c>
      <c r="E795" t="s">
        <v>119</v>
      </c>
      <c r="F795">
        <v>60000000</v>
      </c>
      <c r="G795">
        <v>2008</v>
      </c>
      <c r="H795">
        <v>6.1</v>
      </c>
    </row>
    <row r="796" spans="1:8" x14ac:dyDescent="0.25">
      <c r="A796">
        <v>103</v>
      </c>
      <c r="B796">
        <v>19781879</v>
      </c>
      <c r="C796" t="s">
        <v>779</v>
      </c>
      <c r="D796" t="s">
        <v>1</v>
      </c>
      <c r="E796" t="s">
        <v>2</v>
      </c>
      <c r="F796">
        <v>60000000</v>
      </c>
      <c r="G796">
        <v>2008</v>
      </c>
      <c r="H796">
        <v>4.8</v>
      </c>
    </row>
    <row r="797" spans="1:8" x14ac:dyDescent="0.25">
      <c r="A797">
        <v>107</v>
      </c>
      <c r="B797">
        <v>7605668</v>
      </c>
      <c r="C797" t="s">
        <v>780</v>
      </c>
      <c r="D797" t="s">
        <v>1</v>
      </c>
      <c r="E797" t="s">
        <v>5</v>
      </c>
      <c r="F797">
        <v>60000000</v>
      </c>
      <c r="G797">
        <v>2015</v>
      </c>
      <c r="H797">
        <v>5.5</v>
      </c>
    </row>
    <row r="798" spans="1:8" x14ac:dyDescent="0.25">
      <c r="A798">
        <v>156</v>
      </c>
      <c r="B798">
        <v>4535117</v>
      </c>
      <c r="C798" t="s">
        <v>781</v>
      </c>
      <c r="D798" t="s">
        <v>1</v>
      </c>
      <c r="E798" t="s">
        <v>119</v>
      </c>
      <c r="F798">
        <v>60000000</v>
      </c>
      <c r="G798">
        <v>2007</v>
      </c>
      <c r="H798">
        <v>3.8</v>
      </c>
    </row>
    <row r="799" spans="1:8" x14ac:dyDescent="0.25">
      <c r="A799">
        <v>114</v>
      </c>
      <c r="B799">
        <v>12065985</v>
      </c>
      <c r="C799" t="s">
        <v>786</v>
      </c>
      <c r="D799" t="s">
        <v>1</v>
      </c>
      <c r="E799" t="s">
        <v>2</v>
      </c>
      <c r="F799">
        <v>60000000</v>
      </c>
      <c r="G799">
        <v>1998</v>
      </c>
      <c r="H799">
        <v>4.9000000000000004</v>
      </c>
    </row>
    <row r="800" spans="1:8" x14ac:dyDescent="0.25">
      <c r="A800">
        <v>90</v>
      </c>
      <c r="B800">
        <v>35231365</v>
      </c>
      <c r="C800" t="s">
        <v>790</v>
      </c>
      <c r="D800" t="s">
        <v>1</v>
      </c>
      <c r="E800" t="s">
        <v>2</v>
      </c>
      <c r="F800">
        <v>60000000</v>
      </c>
      <c r="G800">
        <v>2000</v>
      </c>
      <c r="H800">
        <v>3.6</v>
      </c>
    </row>
    <row r="801" spans="1:8" x14ac:dyDescent="0.25">
      <c r="A801">
        <v>97</v>
      </c>
      <c r="B801">
        <v>60128566</v>
      </c>
      <c r="C801" t="s">
        <v>795</v>
      </c>
      <c r="D801" t="s">
        <v>1</v>
      </c>
      <c r="E801" t="s">
        <v>119</v>
      </c>
      <c r="F801">
        <v>60000000</v>
      </c>
      <c r="G801">
        <v>2010</v>
      </c>
      <c r="H801">
        <v>5.9</v>
      </c>
    </row>
    <row r="802" spans="1:8" x14ac:dyDescent="0.25">
      <c r="A802">
        <v>92</v>
      </c>
      <c r="B802">
        <v>217326336</v>
      </c>
      <c r="C802" t="s">
        <v>806</v>
      </c>
      <c r="D802" t="s">
        <v>1</v>
      </c>
      <c r="E802" t="s">
        <v>2</v>
      </c>
      <c r="F802">
        <v>60000000</v>
      </c>
      <c r="G802">
        <v>2007</v>
      </c>
      <c r="H802">
        <v>5.2</v>
      </c>
    </row>
    <row r="803" spans="1:8" x14ac:dyDescent="0.25">
      <c r="A803">
        <v>90</v>
      </c>
      <c r="B803">
        <v>267652016</v>
      </c>
      <c r="C803" t="s">
        <v>892</v>
      </c>
      <c r="D803" t="s">
        <v>1</v>
      </c>
      <c r="E803" t="s">
        <v>2</v>
      </c>
      <c r="F803">
        <v>60000000</v>
      </c>
      <c r="G803">
        <v>2001</v>
      </c>
      <c r="H803">
        <v>7.9</v>
      </c>
    </row>
    <row r="804" spans="1:8" x14ac:dyDescent="0.25">
      <c r="A804">
        <v>123</v>
      </c>
      <c r="B804">
        <v>105264608</v>
      </c>
      <c r="C804" t="s">
        <v>905</v>
      </c>
      <c r="D804" t="s">
        <v>1</v>
      </c>
      <c r="E804" t="s">
        <v>2</v>
      </c>
      <c r="F804">
        <v>60000000</v>
      </c>
      <c r="G804">
        <v>1994</v>
      </c>
      <c r="H804">
        <v>7.6</v>
      </c>
    </row>
    <row r="805" spans="1:8" x14ac:dyDescent="0.25">
      <c r="A805">
        <v>99</v>
      </c>
      <c r="B805">
        <v>73701902</v>
      </c>
      <c r="C805" t="s">
        <v>918</v>
      </c>
      <c r="D805" t="s">
        <v>1</v>
      </c>
      <c r="E805" t="s">
        <v>2</v>
      </c>
      <c r="F805">
        <v>60000000</v>
      </c>
      <c r="G805">
        <v>2004</v>
      </c>
      <c r="H805">
        <v>5.2</v>
      </c>
    </row>
    <row r="806" spans="1:8" x14ac:dyDescent="0.25">
      <c r="A806">
        <v>109</v>
      </c>
      <c r="B806">
        <v>55092830</v>
      </c>
      <c r="C806" t="s">
        <v>930</v>
      </c>
      <c r="D806" t="s">
        <v>1</v>
      </c>
      <c r="E806" t="s">
        <v>2</v>
      </c>
      <c r="F806">
        <v>60000000</v>
      </c>
      <c r="G806">
        <v>2011</v>
      </c>
      <c r="H806">
        <v>6.1</v>
      </c>
    </row>
    <row r="807" spans="1:8" x14ac:dyDescent="0.25">
      <c r="A807">
        <v>124</v>
      </c>
      <c r="B807">
        <v>19445217</v>
      </c>
      <c r="C807" t="s">
        <v>986</v>
      </c>
      <c r="D807" t="s">
        <v>1</v>
      </c>
      <c r="E807" t="s">
        <v>2</v>
      </c>
      <c r="F807">
        <v>60000000</v>
      </c>
      <c r="G807">
        <v>2013</v>
      </c>
      <c r="H807">
        <v>6.2</v>
      </c>
    </row>
    <row r="808" spans="1:8" x14ac:dyDescent="0.25">
      <c r="A808">
        <v>101</v>
      </c>
      <c r="B808">
        <v>82931301</v>
      </c>
      <c r="C808" t="s">
        <v>1039</v>
      </c>
      <c r="D808" t="s">
        <v>1</v>
      </c>
      <c r="E808" t="s">
        <v>119</v>
      </c>
      <c r="F808">
        <v>60000000</v>
      </c>
      <c r="G808">
        <v>2005</v>
      </c>
      <c r="H808">
        <v>5.5</v>
      </c>
    </row>
    <row r="809" spans="1:8" x14ac:dyDescent="0.25">
      <c r="A809">
        <v>94</v>
      </c>
      <c r="B809">
        <v>36037909</v>
      </c>
      <c r="C809" t="s">
        <v>1209</v>
      </c>
      <c r="D809" t="s">
        <v>1</v>
      </c>
      <c r="E809" t="s">
        <v>119</v>
      </c>
      <c r="F809">
        <v>60000000</v>
      </c>
      <c r="G809">
        <v>2000</v>
      </c>
      <c r="H809">
        <v>4.7</v>
      </c>
    </row>
    <row r="810" spans="1:8" x14ac:dyDescent="0.25">
      <c r="A810">
        <v>108</v>
      </c>
      <c r="B810">
        <v>22433915</v>
      </c>
      <c r="C810" t="s">
        <v>1233</v>
      </c>
      <c r="D810" t="s">
        <v>1</v>
      </c>
      <c r="E810" t="s">
        <v>2</v>
      </c>
      <c r="F810">
        <v>60000000</v>
      </c>
      <c r="G810">
        <v>2002</v>
      </c>
      <c r="H810">
        <v>6.2</v>
      </c>
    </row>
    <row r="811" spans="1:8" x14ac:dyDescent="0.25">
      <c r="A811">
        <v>128</v>
      </c>
      <c r="B811">
        <v>22326247</v>
      </c>
      <c r="C811" t="s">
        <v>1234</v>
      </c>
      <c r="D811" t="s">
        <v>1</v>
      </c>
      <c r="E811" t="s">
        <v>2</v>
      </c>
      <c r="F811">
        <v>60000000</v>
      </c>
      <c r="G811">
        <v>1999</v>
      </c>
      <c r="H811">
        <v>5.9</v>
      </c>
    </row>
    <row r="812" spans="1:8" x14ac:dyDescent="0.25">
      <c r="A812">
        <v>103</v>
      </c>
      <c r="B812">
        <v>13395939</v>
      </c>
      <c r="C812" t="s">
        <v>1248</v>
      </c>
      <c r="D812" t="s">
        <v>1</v>
      </c>
      <c r="E812" t="s">
        <v>5</v>
      </c>
      <c r="F812">
        <v>60000000</v>
      </c>
      <c r="G812">
        <v>2004</v>
      </c>
      <c r="H812">
        <v>6.2</v>
      </c>
    </row>
    <row r="813" spans="1:8" x14ac:dyDescent="0.25">
      <c r="A813">
        <v>103</v>
      </c>
      <c r="B813">
        <v>668171</v>
      </c>
      <c r="C813" t="s">
        <v>1639</v>
      </c>
      <c r="D813" t="s">
        <v>326</v>
      </c>
      <c r="E813" t="s">
        <v>142</v>
      </c>
      <c r="F813">
        <v>60000000</v>
      </c>
      <c r="G813">
        <v>2005</v>
      </c>
      <c r="H813">
        <v>5.6</v>
      </c>
    </row>
    <row r="814" spans="1:8" x14ac:dyDescent="0.25">
      <c r="A814">
        <v>104</v>
      </c>
      <c r="B814">
        <v>74058698</v>
      </c>
      <c r="C814" t="s">
        <v>1661</v>
      </c>
      <c r="D814" t="s">
        <v>1</v>
      </c>
      <c r="E814" t="s">
        <v>2</v>
      </c>
      <c r="F814">
        <v>60000000</v>
      </c>
      <c r="G814">
        <v>2001</v>
      </c>
      <c r="H814">
        <v>6.3</v>
      </c>
    </row>
    <row r="815" spans="1:8" x14ac:dyDescent="0.25">
      <c r="A815">
        <v>101</v>
      </c>
      <c r="B815">
        <v>231417</v>
      </c>
      <c r="C815" t="s">
        <v>2891</v>
      </c>
      <c r="D815" t="s">
        <v>243</v>
      </c>
      <c r="E815" t="s">
        <v>244</v>
      </c>
      <c r="F815">
        <v>60000000</v>
      </c>
      <c r="G815">
        <v>1997</v>
      </c>
      <c r="H815">
        <v>6.6</v>
      </c>
    </row>
    <row r="816" spans="1:8" x14ac:dyDescent="0.25">
      <c r="A816">
        <v>130</v>
      </c>
      <c r="B816">
        <v>80033643</v>
      </c>
      <c r="C816" t="s">
        <v>717</v>
      </c>
      <c r="D816" t="s">
        <v>1</v>
      </c>
      <c r="E816" t="s">
        <v>2</v>
      </c>
      <c r="F816">
        <v>60000000</v>
      </c>
      <c r="G816">
        <v>2012</v>
      </c>
      <c r="H816">
        <v>7</v>
      </c>
    </row>
    <row r="817" spans="1:8" x14ac:dyDescent="0.25">
      <c r="A817">
        <v>111</v>
      </c>
      <c r="B817">
        <v>32940507</v>
      </c>
      <c r="C817" t="s">
        <v>760</v>
      </c>
      <c r="D817" t="s">
        <v>1</v>
      </c>
      <c r="E817" t="s">
        <v>2</v>
      </c>
      <c r="F817">
        <v>60000000</v>
      </c>
      <c r="G817">
        <v>1998</v>
      </c>
      <c r="H817">
        <v>6.1</v>
      </c>
    </row>
    <row r="818" spans="1:8" x14ac:dyDescent="0.25">
      <c r="A818">
        <v>109</v>
      </c>
      <c r="B818">
        <v>18947630</v>
      </c>
      <c r="C818" t="s">
        <v>564</v>
      </c>
      <c r="D818" t="s">
        <v>1</v>
      </c>
      <c r="E818" t="s">
        <v>244</v>
      </c>
      <c r="F818">
        <v>59660000</v>
      </c>
      <c r="G818">
        <v>2004</v>
      </c>
      <c r="H818">
        <v>7.1</v>
      </c>
    </row>
    <row r="819" spans="1:8" x14ac:dyDescent="0.25">
      <c r="A819">
        <v>103</v>
      </c>
      <c r="B819">
        <v>176387405</v>
      </c>
      <c r="C819" t="s">
        <v>632</v>
      </c>
      <c r="D819" t="s">
        <v>1</v>
      </c>
      <c r="E819" t="s">
        <v>2</v>
      </c>
      <c r="F819">
        <v>59000000</v>
      </c>
      <c r="G819">
        <v>2002</v>
      </c>
      <c r="H819">
        <v>7.6</v>
      </c>
    </row>
    <row r="820" spans="1:8" x14ac:dyDescent="0.25">
      <c r="A820">
        <v>133</v>
      </c>
      <c r="B820">
        <v>350123553</v>
      </c>
      <c r="C820" t="s">
        <v>787</v>
      </c>
      <c r="D820" t="s">
        <v>1</v>
      </c>
      <c r="E820" t="s">
        <v>2</v>
      </c>
      <c r="F820">
        <v>58800000</v>
      </c>
      <c r="G820">
        <v>2014</v>
      </c>
      <c r="H820">
        <v>7.3</v>
      </c>
    </row>
    <row r="821" spans="1:8" x14ac:dyDescent="0.25">
      <c r="A821">
        <v>135</v>
      </c>
      <c r="B821">
        <v>170708996</v>
      </c>
      <c r="C821" t="s">
        <v>497</v>
      </c>
      <c r="D821" t="s">
        <v>1</v>
      </c>
      <c r="E821" t="s">
        <v>2</v>
      </c>
      <c r="F821">
        <v>58000000</v>
      </c>
      <c r="G821">
        <v>2001</v>
      </c>
      <c r="H821">
        <v>8.1999999999999993</v>
      </c>
    </row>
    <row r="822" spans="1:8" x14ac:dyDescent="0.25">
      <c r="A822">
        <v>103</v>
      </c>
      <c r="B822">
        <v>70117571</v>
      </c>
      <c r="C822" t="s">
        <v>584</v>
      </c>
      <c r="D822" t="s">
        <v>1</v>
      </c>
      <c r="E822" t="s">
        <v>2</v>
      </c>
      <c r="F822">
        <v>58000000</v>
      </c>
      <c r="G822">
        <v>1998</v>
      </c>
      <c r="H822">
        <v>6.4</v>
      </c>
    </row>
    <row r="823" spans="1:8" x14ac:dyDescent="0.25">
      <c r="A823">
        <v>130</v>
      </c>
      <c r="B823">
        <v>106635996</v>
      </c>
      <c r="C823" t="s">
        <v>695</v>
      </c>
      <c r="D823" t="s">
        <v>1</v>
      </c>
      <c r="E823" t="s">
        <v>5</v>
      </c>
      <c r="F823">
        <v>58000000</v>
      </c>
      <c r="G823">
        <v>1995</v>
      </c>
      <c r="H823">
        <v>7.2</v>
      </c>
    </row>
    <row r="824" spans="1:8" x14ac:dyDescent="0.25">
      <c r="A824">
        <v>111</v>
      </c>
      <c r="B824">
        <v>90356857</v>
      </c>
      <c r="C824" t="s">
        <v>711</v>
      </c>
      <c r="D824" t="s">
        <v>1</v>
      </c>
      <c r="E824" t="s">
        <v>2</v>
      </c>
      <c r="F824">
        <v>58000000</v>
      </c>
      <c r="G824">
        <v>2010</v>
      </c>
      <c r="H824">
        <v>7.1</v>
      </c>
    </row>
    <row r="825" spans="1:8" x14ac:dyDescent="0.25">
      <c r="A825">
        <v>108</v>
      </c>
      <c r="B825">
        <v>363024263</v>
      </c>
      <c r="C825" t="s">
        <v>785</v>
      </c>
      <c r="D825" t="s">
        <v>1</v>
      </c>
      <c r="E825" t="s">
        <v>2</v>
      </c>
      <c r="F825">
        <v>58000000</v>
      </c>
      <c r="G825">
        <v>2016</v>
      </c>
      <c r="H825">
        <v>8.1</v>
      </c>
    </row>
    <row r="826" spans="1:8" x14ac:dyDescent="0.25">
      <c r="A826">
        <v>103</v>
      </c>
      <c r="B826">
        <v>80021740</v>
      </c>
      <c r="C826" t="s">
        <v>788</v>
      </c>
      <c r="D826" t="s">
        <v>1</v>
      </c>
      <c r="E826" t="s">
        <v>2</v>
      </c>
      <c r="F826">
        <v>58000000</v>
      </c>
      <c r="G826">
        <v>2015</v>
      </c>
      <c r="H826">
        <v>6.4</v>
      </c>
    </row>
    <row r="827" spans="1:8" x14ac:dyDescent="0.25">
      <c r="A827">
        <v>95</v>
      </c>
      <c r="B827">
        <v>48291624</v>
      </c>
      <c r="C827" t="s">
        <v>789</v>
      </c>
      <c r="D827" t="s">
        <v>1</v>
      </c>
      <c r="E827" t="s">
        <v>2</v>
      </c>
      <c r="F827">
        <v>58000000</v>
      </c>
      <c r="G827">
        <v>2005</v>
      </c>
      <c r="H827">
        <v>6.7</v>
      </c>
    </row>
    <row r="828" spans="1:8" x14ac:dyDescent="0.25">
      <c r="A828">
        <v>114</v>
      </c>
      <c r="B828">
        <v>31199215</v>
      </c>
      <c r="C828" t="s">
        <v>792</v>
      </c>
      <c r="D828" t="s">
        <v>1</v>
      </c>
      <c r="E828" t="s">
        <v>2</v>
      </c>
      <c r="F828">
        <v>58000000</v>
      </c>
      <c r="G828">
        <v>2008</v>
      </c>
      <c r="H828">
        <v>6</v>
      </c>
    </row>
    <row r="829" spans="1:8" x14ac:dyDescent="0.25">
      <c r="A829">
        <v>103</v>
      </c>
      <c r="B829">
        <v>29580087</v>
      </c>
      <c r="C829" t="s">
        <v>793</v>
      </c>
      <c r="D829" t="s">
        <v>1</v>
      </c>
      <c r="E829" t="s">
        <v>2</v>
      </c>
      <c r="F829">
        <v>58000000</v>
      </c>
      <c r="G829">
        <v>2009</v>
      </c>
      <c r="H829">
        <v>4.7</v>
      </c>
    </row>
    <row r="830" spans="1:8" x14ac:dyDescent="0.25">
      <c r="A830">
        <v>125</v>
      </c>
      <c r="B830">
        <v>44665963</v>
      </c>
      <c r="C830" t="s">
        <v>794</v>
      </c>
      <c r="D830" t="s">
        <v>1</v>
      </c>
      <c r="E830" t="s">
        <v>2</v>
      </c>
      <c r="F830">
        <v>58000000</v>
      </c>
      <c r="G830">
        <v>2013</v>
      </c>
      <c r="H830">
        <v>6.3</v>
      </c>
    </row>
    <row r="831" spans="1:8" x14ac:dyDescent="0.25">
      <c r="A831">
        <v>125</v>
      </c>
      <c r="B831">
        <v>49875589</v>
      </c>
      <c r="C831" t="s">
        <v>796</v>
      </c>
      <c r="D831" t="s">
        <v>1</v>
      </c>
      <c r="E831" t="s">
        <v>2</v>
      </c>
      <c r="F831">
        <v>58000000</v>
      </c>
      <c r="G831">
        <v>2012</v>
      </c>
      <c r="H831">
        <v>5.9</v>
      </c>
    </row>
    <row r="832" spans="1:8" x14ac:dyDescent="0.25">
      <c r="A832">
        <v>97</v>
      </c>
      <c r="B832">
        <v>28328132</v>
      </c>
      <c r="C832" t="s">
        <v>800</v>
      </c>
      <c r="D832" t="s">
        <v>1</v>
      </c>
      <c r="E832" t="s">
        <v>2</v>
      </c>
      <c r="F832">
        <v>58000000</v>
      </c>
      <c r="G832">
        <v>2004</v>
      </c>
      <c r="H832">
        <v>6.3</v>
      </c>
    </row>
    <row r="833" spans="1:8" x14ac:dyDescent="0.25">
      <c r="A833">
        <v>123</v>
      </c>
      <c r="B833">
        <v>25900000</v>
      </c>
      <c r="C833" t="s">
        <v>1007</v>
      </c>
      <c r="D833" t="s">
        <v>1</v>
      </c>
      <c r="E833" t="s">
        <v>2</v>
      </c>
      <c r="F833">
        <v>58000000</v>
      </c>
      <c r="G833">
        <v>1984</v>
      </c>
      <c r="H833">
        <v>6.5</v>
      </c>
    </row>
    <row r="834" spans="1:8" x14ac:dyDescent="0.25">
      <c r="A834">
        <v>103</v>
      </c>
      <c r="B834">
        <v>80021740</v>
      </c>
      <c r="C834" t="s">
        <v>788</v>
      </c>
      <c r="D834" t="s">
        <v>1</v>
      </c>
      <c r="E834" t="s">
        <v>2</v>
      </c>
      <c r="F834">
        <v>58000000</v>
      </c>
      <c r="G834">
        <v>2015</v>
      </c>
      <c r="H834">
        <v>6.4</v>
      </c>
    </row>
    <row r="835" spans="1:8" x14ac:dyDescent="0.25">
      <c r="A835">
        <v>136</v>
      </c>
      <c r="B835">
        <v>60984028</v>
      </c>
      <c r="C835" t="s">
        <v>797</v>
      </c>
      <c r="D835" t="s">
        <v>1</v>
      </c>
      <c r="E835" t="s">
        <v>2</v>
      </c>
      <c r="F835">
        <v>57000000</v>
      </c>
      <c r="G835">
        <v>1997</v>
      </c>
      <c r="H835">
        <v>7.5</v>
      </c>
    </row>
    <row r="836" spans="1:8" x14ac:dyDescent="0.25">
      <c r="A836">
        <v>103</v>
      </c>
      <c r="B836">
        <v>51317350</v>
      </c>
      <c r="C836" t="s">
        <v>799</v>
      </c>
      <c r="D836" t="s">
        <v>1</v>
      </c>
      <c r="E836" t="s">
        <v>2</v>
      </c>
      <c r="F836">
        <v>57000000</v>
      </c>
      <c r="G836">
        <v>1996</v>
      </c>
      <c r="H836">
        <v>6.4</v>
      </c>
    </row>
    <row r="837" spans="1:8" x14ac:dyDescent="0.25">
      <c r="A837">
        <v>96</v>
      </c>
      <c r="B837">
        <v>51774002</v>
      </c>
      <c r="C837" t="s">
        <v>801</v>
      </c>
      <c r="D837" t="s">
        <v>1</v>
      </c>
      <c r="E837" t="s">
        <v>2</v>
      </c>
      <c r="F837">
        <v>57000000</v>
      </c>
      <c r="G837">
        <v>2011</v>
      </c>
      <c r="H837">
        <v>4.3</v>
      </c>
    </row>
    <row r="838" spans="1:8" x14ac:dyDescent="0.25">
      <c r="A838">
        <v>131</v>
      </c>
      <c r="B838">
        <v>25528495</v>
      </c>
      <c r="C838" t="s">
        <v>802</v>
      </c>
      <c r="D838" t="s">
        <v>1</v>
      </c>
      <c r="E838" t="s">
        <v>5</v>
      </c>
      <c r="F838">
        <v>57000000</v>
      </c>
      <c r="G838">
        <v>2001</v>
      </c>
      <c r="H838">
        <v>5.9</v>
      </c>
    </row>
    <row r="839" spans="1:8" x14ac:dyDescent="0.25">
      <c r="A839">
        <v>95</v>
      </c>
      <c r="B839">
        <v>6768055</v>
      </c>
      <c r="C839" t="s">
        <v>855</v>
      </c>
      <c r="D839" t="s">
        <v>1</v>
      </c>
      <c r="E839" t="s">
        <v>5</v>
      </c>
      <c r="F839">
        <v>57000000</v>
      </c>
      <c r="G839">
        <v>2004</v>
      </c>
      <c r="H839">
        <v>4.2</v>
      </c>
    </row>
    <row r="840" spans="1:8" x14ac:dyDescent="0.25">
      <c r="A840">
        <v>123</v>
      </c>
      <c r="B840">
        <v>26838389</v>
      </c>
      <c r="C840" t="s">
        <v>862</v>
      </c>
      <c r="D840" t="s">
        <v>1</v>
      </c>
      <c r="E840" t="s">
        <v>2</v>
      </c>
      <c r="F840">
        <v>57000000</v>
      </c>
      <c r="G840">
        <v>2005</v>
      </c>
      <c r="H840">
        <v>6.4</v>
      </c>
    </row>
    <row r="841" spans="1:8" x14ac:dyDescent="0.25">
      <c r="A841">
        <v>220</v>
      </c>
      <c r="B841">
        <v>15527125</v>
      </c>
      <c r="C841" t="s">
        <v>1079</v>
      </c>
      <c r="D841" t="s">
        <v>1</v>
      </c>
      <c r="E841" t="s">
        <v>2</v>
      </c>
      <c r="F841">
        <v>57000000</v>
      </c>
      <c r="G841">
        <v>2000</v>
      </c>
      <c r="H841">
        <v>5.8</v>
      </c>
    </row>
    <row r="842" spans="1:8" x14ac:dyDescent="0.25">
      <c r="A842">
        <v>105</v>
      </c>
      <c r="B842">
        <v>16991902</v>
      </c>
      <c r="C842" t="s">
        <v>1298</v>
      </c>
      <c r="D842" t="s">
        <v>1</v>
      </c>
      <c r="E842" t="s">
        <v>2</v>
      </c>
      <c r="F842">
        <v>57000000</v>
      </c>
      <c r="G842">
        <v>2001</v>
      </c>
      <c r="H842">
        <v>6.2</v>
      </c>
    </row>
    <row r="843" spans="1:8" x14ac:dyDescent="0.25">
      <c r="A843">
        <v>95</v>
      </c>
      <c r="B843">
        <v>113006880</v>
      </c>
      <c r="C843" t="s">
        <v>803</v>
      </c>
      <c r="D843" t="s">
        <v>1</v>
      </c>
      <c r="E843" t="s">
        <v>38</v>
      </c>
      <c r="F843">
        <v>56000000</v>
      </c>
      <c r="G843">
        <v>2005</v>
      </c>
      <c r="H843">
        <v>5.5</v>
      </c>
    </row>
    <row r="844" spans="1:8" x14ac:dyDescent="0.25">
      <c r="A844">
        <v>86</v>
      </c>
      <c r="B844">
        <v>45860039</v>
      </c>
      <c r="C844" t="s">
        <v>804</v>
      </c>
      <c r="D844" t="s">
        <v>1</v>
      </c>
      <c r="E844" t="s">
        <v>2</v>
      </c>
      <c r="F844">
        <v>56000000</v>
      </c>
      <c r="G844">
        <v>2004</v>
      </c>
      <c r="H844">
        <v>6.2</v>
      </c>
    </row>
    <row r="845" spans="1:8" x14ac:dyDescent="0.25">
      <c r="A845">
        <v>280</v>
      </c>
      <c r="B845">
        <v>12870569</v>
      </c>
      <c r="C845" t="s">
        <v>851</v>
      </c>
      <c r="D845" t="s">
        <v>1</v>
      </c>
      <c r="E845" t="s">
        <v>2</v>
      </c>
      <c r="F845">
        <v>56000000</v>
      </c>
      <c r="G845">
        <v>2003</v>
      </c>
      <c r="H845">
        <v>6.3</v>
      </c>
    </row>
    <row r="846" spans="1:8" x14ac:dyDescent="0.25">
      <c r="A846">
        <v>113</v>
      </c>
      <c r="B846">
        <v>54540525</v>
      </c>
      <c r="C846" t="s">
        <v>1754</v>
      </c>
      <c r="D846" t="s">
        <v>1</v>
      </c>
      <c r="E846" t="s">
        <v>2</v>
      </c>
      <c r="F846">
        <v>56000000</v>
      </c>
      <c r="G846">
        <v>2011</v>
      </c>
      <c r="H846">
        <v>5.7</v>
      </c>
    </row>
    <row r="847" spans="1:8" x14ac:dyDescent="0.25">
      <c r="A847">
        <v>134</v>
      </c>
      <c r="B847">
        <v>37600435</v>
      </c>
      <c r="C847" t="s">
        <v>539</v>
      </c>
      <c r="D847" t="s">
        <v>1</v>
      </c>
      <c r="E847" t="s">
        <v>2</v>
      </c>
      <c r="F847">
        <v>55000000</v>
      </c>
      <c r="G847">
        <v>1995</v>
      </c>
      <c r="H847">
        <v>5.9</v>
      </c>
    </row>
    <row r="848" spans="1:8" x14ac:dyDescent="0.25">
      <c r="A848">
        <v>121</v>
      </c>
      <c r="B848">
        <v>43247140</v>
      </c>
      <c r="C848" t="s">
        <v>671</v>
      </c>
      <c r="D848" t="s">
        <v>1</v>
      </c>
      <c r="E848" t="s">
        <v>5</v>
      </c>
      <c r="F848">
        <v>55000000</v>
      </c>
      <c r="G848">
        <v>2015</v>
      </c>
      <c r="H848">
        <v>7.1</v>
      </c>
    </row>
    <row r="849" spans="1:8" x14ac:dyDescent="0.25">
      <c r="A849">
        <v>156</v>
      </c>
      <c r="B849">
        <v>75530832</v>
      </c>
      <c r="C849" t="s">
        <v>712</v>
      </c>
      <c r="D849" t="s">
        <v>1</v>
      </c>
      <c r="E849" t="s">
        <v>2</v>
      </c>
      <c r="F849">
        <v>55000000</v>
      </c>
      <c r="G849">
        <v>1999</v>
      </c>
      <c r="H849">
        <v>6.8</v>
      </c>
    </row>
    <row r="850" spans="1:8" x14ac:dyDescent="0.25">
      <c r="A850">
        <v>115</v>
      </c>
      <c r="B850">
        <v>74540762</v>
      </c>
      <c r="C850" t="s">
        <v>716</v>
      </c>
      <c r="D850" t="s">
        <v>1</v>
      </c>
      <c r="E850" t="s">
        <v>2</v>
      </c>
      <c r="F850">
        <v>55000000</v>
      </c>
      <c r="G850">
        <v>2004</v>
      </c>
      <c r="H850">
        <v>6.5</v>
      </c>
    </row>
    <row r="851" spans="1:8" x14ac:dyDescent="0.25">
      <c r="A851">
        <v>122</v>
      </c>
      <c r="B851">
        <v>22362500</v>
      </c>
      <c r="C851" t="s">
        <v>777</v>
      </c>
      <c r="D851" t="s">
        <v>1</v>
      </c>
      <c r="E851" t="s">
        <v>2</v>
      </c>
      <c r="F851">
        <v>55000000</v>
      </c>
      <c r="G851">
        <v>1999</v>
      </c>
      <c r="H851">
        <v>6.1</v>
      </c>
    </row>
    <row r="852" spans="1:8" x14ac:dyDescent="0.25">
      <c r="A852">
        <v>142</v>
      </c>
      <c r="B852">
        <v>329691196</v>
      </c>
      <c r="C852" t="s">
        <v>805</v>
      </c>
      <c r="D852" t="s">
        <v>1</v>
      </c>
      <c r="E852" t="s">
        <v>2</v>
      </c>
      <c r="F852">
        <v>55000000</v>
      </c>
      <c r="G852">
        <v>1994</v>
      </c>
      <c r="H852">
        <v>8.8000000000000007</v>
      </c>
    </row>
    <row r="853" spans="1:8" x14ac:dyDescent="0.25">
      <c r="A853">
        <v>108</v>
      </c>
      <c r="B853">
        <v>166225040</v>
      </c>
      <c r="C853" t="s">
        <v>807</v>
      </c>
      <c r="D853" t="s">
        <v>1</v>
      </c>
      <c r="E853" t="s">
        <v>2</v>
      </c>
      <c r="F853">
        <v>55000000</v>
      </c>
      <c r="G853">
        <v>2000</v>
      </c>
      <c r="H853">
        <v>7</v>
      </c>
    </row>
    <row r="854" spans="1:8" x14ac:dyDescent="0.25">
      <c r="A854">
        <v>84</v>
      </c>
      <c r="B854">
        <v>141600000</v>
      </c>
      <c r="C854" t="s">
        <v>808</v>
      </c>
      <c r="D854" t="s">
        <v>1</v>
      </c>
      <c r="E854" t="s">
        <v>2</v>
      </c>
      <c r="F854">
        <v>55000000</v>
      </c>
      <c r="G854">
        <v>1995</v>
      </c>
      <c r="H854">
        <v>6.6</v>
      </c>
    </row>
    <row r="855" spans="1:8" x14ac:dyDescent="0.25">
      <c r="A855">
        <v>188</v>
      </c>
      <c r="B855">
        <v>134218018</v>
      </c>
      <c r="C855" t="s">
        <v>809</v>
      </c>
      <c r="D855" t="s">
        <v>1</v>
      </c>
      <c r="E855" t="s">
        <v>2</v>
      </c>
      <c r="F855">
        <v>55000000</v>
      </c>
      <c r="G855">
        <v>1978</v>
      </c>
      <c r="H855">
        <v>7.3</v>
      </c>
    </row>
    <row r="856" spans="1:8" x14ac:dyDescent="0.25">
      <c r="A856">
        <v>92</v>
      </c>
      <c r="B856">
        <v>105263257</v>
      </c>
      <c r="C856" t="s">
        <v>812</v>
      </c>
      <c r="D856" t="s">
        <v>1</v>
      </c>
      <c r="E856" t="s">
        <v>2</v>
      </c>
      <c r="F856">
        <v>55000000</v>
      </c>
      <c r="G856">
        <v>1997</v>
      </c>
      <c r="H856">
        <v>5.4</v>
      </c>
    </row>
    <row r="857" spans="1:8" x14ac:dyDescent="0.25">
      <c r="A857">
        <v>74</v>
      </c>
      <c r="B857">
        <v>104354205</v>
      </c>
      <c r="C857" t="s">
        <v>813</v>
      </c>
      <c r="D857" t="s">
        <v>1</v>
      </c>
      <c r="E857" t="s">
        <v>2</v>
      </c>
      <c r="F857">
        <v>55000000</v>
      </c>
      <c r="G857">
        <v>2003</v>
      </c>
      <c r="H857">
        <v>6.3</v>
      </c>
    </row>
    <row r="858" spans="1:8" x14ac:dyDescent="0.25">
      <c r="A858">
        <v>134</v>
      </c>
      <c r="B858">
        <v>107100855</v>
      </c>
      <c r="C858" t="s">
        <v>814</v>
      </c>
      <c r="D858" t="s">
        <v>1</v>
      </c>
      <c r="E858" t="s">
        <v>2</v>
      </c>
      <c r="F858">
        <v>55000000</v>
      </c>
      <c r="G858">
        <v>2013</v>
      </c>
      <c r="H858">
        <v>7.9</v>
      </c>
    </row>
    <row r="859" spans="1:8" x14ac:dyDescent="0.25">
      <c r="A859">
        <v>101</v>
      </c>
      <c r="B859">
        <v>98711404</v>
      </c>
      <c r="C859" t="s">
        <v>815</v>
      </c>
      <c r="D859" t="s">
        <v>1</v>
      </c>
      <c r="E859" t="s">
        <v>2</v>
      </c>
      <c r="F859">
        <v>55000000</v>
      </c>
      <c r="G859">
        <v>2010</v>
      </c>
      <c r="H859">
        <v>6.3</v>
      </c>
    </row>
    <row r="860" spans="1:8" x14ac:dyDescent="0.25">
      <c r="A860">
        <v>132</v>
      </c>
      <c r="B860">
        <v>101530738</v>
      </c>
      <c r="C860" t="s">
        <v>817</v>
      </c>
      <c r="D860" t="s">
        <v>1</v>
      </c>
      <c r="E860" t="s">
        <v>2</v>
      </c>
      <c r="F860">
        <v>55000000</v>
      </c>
      <c r="G860">
        <v>2014</v>
      </c>
      <c r="H860">
        <v>7.2</v>
      </c>
    </row>
    <row r="861" spans="1:8" x14ac:dyDescent="0.25">
      <c r="A861">
        <v>105</v>
      </c>
      <c r="B861">
        <v>93815117</v>
      </c>
      <c r="C861" t="s">
        <v>818</v>
      </c>
      <c r="D861" t="s">
        <v>1</v>
      </c>
      <c r="E861" t="s">
        <v>2</v>
      </c>
      <c r="F861">
        <v>55000000</v>
      </c>
      <c r="G861">
        <v>2002</v>
      </c>
      <c r="H861">
        <v>5.0999999999999996</v>
      </c>
    </row>
    <row r="862" spans="1:8" x14ac:dyDescent="0.25">
      <c r="A862">
        <v>117</v>
      </c>
      <c r="B862">
        <v>162586036</v>
      </c>
      <c r="C862" t="s">
        <v>820</v>
      </c>
      <c r="D862" t="s">
        <v>1</v>
      </c>
      <c r="E862" t="s">
        <v>2</v>
      </c>
      <c r="F862">
        <v>55000000</v>
      </c>
      <c r="G862">
        <v>2006</v>
      </c>
      <c r="H862">
        <v>8</v>
      </c>
    </row>
    <row r="863" spans="1:8" x14ac:dyDescent="0.25">
      <c r="A863">
        <v>98</v>
      </c>
      <c r="B863">
        <v>89706988</v>
      </c>
      <c r="C863" t="s">
        <v>821</v>
      </c>
      <c r="D863" t="s">
        <v>1</v>
      </c>
      <c r="E863" t="s">
        <v>2</v>
      </c>
      <c r="F863">
        <v>55000000</v>
      </c>
      <c r="G863">
        <v>2005</v>
      </c>
      <c r="H863">
        <v>6.2</v>
      </c>
    </row>
    <row r="864" spans="1:8" x14ac:dyDescent="0.25">
      <c r="A864">
        <v>128</v>
      </c>
      <c r="B864">
        <v>83000000</v>
      </c>
      <c r="C864" t="s">
        <v>822</v>
      </c>
      <c r="D864" t="s">
        <v>1</v>
      </c>
      <c r="E864" t="s">
        <v>2</v>
      </c>
      <c r="F864">
        <v>55000000</v>
      </c>
      <c r="G864">
        <v>1994</v>
      </c>
      <c r="H864">
        <v>6</v>
      </c>
    </row>
    <row r="865" spans="1:8" x14ac:dyDescent="0.25">
      <c r="A865">
        <v>114</v>
      </c>
      <c r="B865">
        <v>78745923</v>
      </c>
      <c r="C865" t="s">
        <v>823</v>
      </c>
      <c r="D865" t="s">
        <v>1</v>
      </c>
      <c r="E865" t="s">
        <v>119</v>
      </c>
      <c r="F865">
        <v>55000000</v>
      </c>
      <c r="G865">
        <v>1998</v>
      </c>
      <c r="H865">
        <v>6.7</v>
      </c>
    </row>
    <row r="866" spans="1:8" x14ac:dyDescent="0.25">
      <c r="A866">
        <v>85</v>
      </c>
      <c r="B866">
        <v>66365290</v>
      </c>
      <c r="C866" t="s">
        <v>825</v>
      </c>
      <c r="D866" t="s">
        <v>1</v>
      </c>
      <c r="E866" t="s">
        <v>2</v>
      </c>
      <c r="F866">
        <v>55000000</v>
      </c>
      <c r="G866">
        <v>1999</v>
      </c>
      <c r="H866">
        <v>6.4</v>
      </c>
    </row>
    <row r="867" spans="1:8" x14ac:dyDescent="0.25">
      <c r="A867">
        <v>97</v>
      </c>
      <c r="B867">
        <v>63408614</v>
      </c>
      <c r="C867" t="s">
        <v>827</v>
      </c>
      <c r="D867" t="s">
        <v>1</v>
      </c>
      <c r="E867" t="s">
        <v>2</v>
      </c>
      <c r="F867">
        <v>55000000</v>
      </c>
      <c r="G867">
        <v>1989</v>
      </c>
      <c r="H867">
        <v>6.3</v>
      </c>
    </row>
    <row r="868" spans="1:8" x14ac:dyDescent="0.25">
      <c r="A868">
        <v>104</v>
      </c>
      <c r="B868">
        <v>58422650</v>
      </c>
      <c r="C868" t="s">
        <v>828</v>
      </c>
      <c r="D868" t="s">
        <v>1</v>
      </c>
      <c r="E868" t="s">
        <v>2</v>
      </c>
      <c r="F868">
        <v>55000000</v>
      </c>
      <c r="G868">
        <v>1992</v>
      </c>
      <c r="H868">
        <v>6.4</v>
      </c>
    </row>
    <row r="869" spans="1:8" x14ac:dyDescent="0.25">
      <c r="A869">
        <v>110</v>
      </c>
      <c r="B869">
        <v>56932305</v>
      </c>
      <c r="C869" t="s">
        <v>829</v>
      </c>
      <c r="D869" t="s">
        <v>1</v>
      </c>
      <c r="E869" t="s">
        <v>2</v>
      </c>
      <c r="F869">
        <v>55000000</v>
      </c>
      <c r="G869">
        <v>2000</v>
      </c>
      <c r="H869">
        <v>6.6</v>
      </c>
    </row>
    <row r="870" spans="1:8" x14ac:dyDescent="0.25">
      <c r="A870">
        <v>133</v>
      </c>
      <c r="B870">
        <v>68750000</v>
      </c>
      <c r="C870" t="s">
        <v>830</v>
      </c>
      <c r="D870" t="s">
        <v>1</v>
      </c>
      <c r="E870" t="s">
        <v>2</v>
      </c>
      <c r="F870">
        <v>55000000</v>
      </c>
      <c r="G870">
        <v>1996</v>
      </c>
      <c r="H870">
        <v>6.4</v>
      </c>
    </row>
    <row r="871" spans="1:8" x14ac:dyDescent="0.25">
      <c r="A871">
        <v>94</v>
      </c>
      <c r="B871">
        <v>68218041</v>
      </c>
      <c r="C871" t="s">
        <v>831</v>
      </c>
      <c r="D871" t="s">
        <v>1</v>
      </c>
      <c r="E871" t="s">
        <v>2</v>
      </c>
      <c r="F871">
        <v>55000000</v>
      </c>
      <c r="G871">
        <v>2011</v>
      </c>
      <c r="H871">
        <v>6</v>
      </c>
    </row>
    <row r="872" spans="1:8" x14ac:dyDescent="0.25">
      <c r="A872">
        <v>104</v>
      </c>
      <c r="B872">
        <v>25040293</v>
      </c>
      <c r="C872" t="s">
        <v>832</v>
      </c>
      <c r="D872" t="s">
        <v>1</v>
      </c>
      <c r="E872" t="s">
        <v>2</v>
      </c>
      <c r="F872">
        <v>55000000</v>
      </c>
      <c r="G872">
        <v>2008</v>
      </c>
      <c r="H872">
        <v>6.6</v>
      </c>
    </row>
    <row r="873" spans="1:8" x14ac:dyDescent="0.25">
      <c r="A873">
        <v>91</v>
      </c>
      <c r="B873">
        <v>55747724</v>
      </c>
      <c r="C873" t="s">
        <v>833</v>
      </c>
      <c r="D873" t="s">
        <v>1</v>
      </c>
      <c r="E873" t="s">
        <v>2</v>
      </c>
      <c r="F873">
        <v>55000000</v>
      </c>
      <c r="G873">
        <v>2013</v>
      </c>
      <c r="H873">
        <v>5.9</v>
      </c>
    </row>
    <row r="874" spans="1:8" x14ac:dyDescent="0.25">
      <c r="A874">
        <v>135</v>
      </c>
      <c r="B874">
        <v>49994804</v>
      </c>
      <c r="C874" t="s">
        <v>835</v>
      </c>
      <c r="D874" t="s">
        <v>1</v>
      </c>
      <c r="E874" t="s">
        <v>2</v>
      </c>
      <c r="F874">
        <v>55000000</v>
      </c>
      <c r="G874">
        <v>1996</v>
      </c>
      <c r="H874">
        <v>6.3</v>
      </c>
    </row>
    <row r="875" spans="1:8" x14ac:dyDescent="0.25">
      <c r="A875">
        <v>122</v>
      </c>
      <c r="B875">
        <v>41609593</v>
      </c>
      <c r="C875" t="s">
        <v>836</v>
      </c>
      <c r="D875" t="s">
        <v>1</v>
      </c>
      <c r="E875" t="s">
        <v>5</v>
      </c>
      <c r="F875">
        <v>55000000</v>
      </c>
      <c r="G875">
        <v>1998</v>
      </c>
      <c r="H875">
        <v>7.3</v>
      </c>
    </row>
    <row r="876" spans="1:8" x14ac:dyDescent="0.25">
      <c r="A876">
        <v>110</v>
      </c>
      <c r="B876">
        <v>38553833</v>
      </c>
      <c r="C876" t="s">
        <v>837</v>
      </c>
      <c r="D876" t="s">
        <v>1</v>
      </c>
      <c r="E876" t="s">
        <v>2</v>
      </c>
      <c r="F876">
        <v>55000000</v>
      </c>
      <c r="G876">
        <v>1996</v>
      </c>
      <c r="H876">
        <v>6.8</v>
      </c>
    </row>
    <row r="877" spans="1:8" x14ac:dyDescent="0.25">
      <c r="A877">
        <v>95</v>
      </c>
      <c r="B877">
        <v>76137505</v>
      </c>
      <c r="C877" t="s">
        <v>838</v>
      </c>
      <c r="D877" t="s">
        <v>1</v>
      </c>
      <c r="E877" t="s">
        <v>5</v>
      </c>
      <c r="F877">
        <v>55000000</v>
      </c>
      <c r="G877">
        <v>2014</v>
      </c>
      <c r="H877">
        <v>7.2</v>
      </c>
    </row>
    <row r="878" spans="1:8" x14ac:dyDescent="0.25">
      <c r="A878">
        <v>94</v>
      </c>
      <c r="B878">
        <v>34238611</v>
      </c>
      <c r="C878" t="s">
        <v>840</v>
      </c>
      <c r="D878" t="s">
        <v>1</v>
      </c>
      <c r="E878" t="s">
        <v>2</v>
      </c>
      <c r="F878">
        <v>55000000</v>
      </c>
      <c r="G878">
        <v>2003</v>
      </c>
      <c r="H878">
        <v>6</v>
      </c>
    </row>
    <row r="879" spans="1:8" x14ac:dyDescent="0.25">
      <c r="A879">
        <v>126</v>
      </c>
      <c r="B879">
        <v>34098563</v>
      </c>
      <c r="C879" t="s">
        <v>841</v>
      </c>
      <c r="D879" t="s">
        <v>1</v>
      </c>
      <c r="E879" t="s">
        <v>2</v>
      </c>
      <c r="F879">
        <v>55000000</v>
      </c>
      <c r="G879">
        <v>1999</v>
      </c>
      <c r="H879">
        <v>6.5</v>
      </c>
    </row>
    <row r="880" spans="1:8" x14ac:dyDescent="0.25">
      <c r="A880">
        <v>118</v>
      </c>
      <c r="B880">
        <v>33828318</v>
      </c>
      <c r="C880" t="s">
        <v>842</v>
      </c>
      <c r="D880" t="s">
        <v>1</v>
      </c>
      <c r="E880" t="s">
        <v>2</v>
      </c>
      <c r="F880">
        <v>55000000</v>
      </c>
      <c r="G880">
        <v>2003</v>
      </c>
      <c r="H880">
        <v>5.8</v>
      </c>
    </row>
    <row r="881" spans="1:8" x14ac:dyDescent="0.25">
      <c r="A881">
        <v>99</v>
      </c>
      <c r="B881">
        <v>33472850</v>
      </c>
      <c r="C881" t="s">
        <v>843</v>
      </c>
      <c r="D881" t="s">
        <v>1</v>
      </c>
      <c r="E881" t="s">
        <v>2</v>
      </c>
      <c r="F881">
        <v>55000000</v>
      </c>
      <c r="G881">
        <v>2008</v>
      </c>
      <c r="H881">
        <v>5.8</v>
      </c>
    </row>
    <row r="882" spans="1:8" x14ac:dyDescent="0.25">
      <c r="A882">
        <v>88</v>
      </c>
      <c r="B882">
        <v>31051126</v>
      </c>
      <c r="C882" t="s">
        <v>844</v>
      </c>
      <c r="D882" t="s">
        <v>1</v>
      </c>
      <c r="E882" t="s">
        <v>5</v>
      </c>
      <c r="F882">
        <v>55000000</v>
      </c>
      <c r="G882">
        <v>2012</v>
      </c>
      <c r="H882">
        <v>6.7</v>
      </c>
    </row>
    <row r="883" spans="1:8" x14ac:dyDescent="0.25">
      <c r="A883">
        <v>141</v>
      </c>
      <c r="B883">
        <v>35707327</v>
      </c>
      <c r="C883" t="s">
        <v>845</v>
      </c>
      <c r="D883" t="s">
        <v>1</v>
      </c>
      <c r="E883" t="s">
        <v>2</v>
      </c>
      <c r="F883">
        <v>55000000</v>
      </c>
      <c r="G883">
        <v>2008</v>
      </c>
      <c r="H883">
        <v>7.8</v>
      </c>
    </row>
    <row r="884" spans="1:8" x14ac:dyDescent="0.25">
      <c r="A884">
        <v>116</v>
      </c>
      <c r="B884">
        <v>18573791</v>
      </c>
      <c r="C884" t="s">
        <v>847</v>
      </c>
      <c r="D884" t="s">
        <v>1</v>
      </c>
      <c r="E884" t="s">
        <v>2</v>
      </c>
      <c r="F884">
        <v>55000000</v>
      </c>
      <c r="G884">
        <v>1996</v>
      </c>
      <c r="H884">
        <v>5.8</v>
      </c>
    </row>
    <row r="885" spans="1:8" x14ac:dyDescent="0.25">
      <c r="A885">
        <v>114</v>
      </c>
      <c r="B885">
        <v>16264475</v>
      </c>
      <c r="C885" t="s">
        <v>849</v>
      </c>
      <c r="D885" t="s">
        <v>1</v>
      </c>
      <c r="E885" t="s">
        <v>5</v>
      </c>
      <c r="F885">
        <v>55000000</v>
      </c>
      <c r="G885">
        <v>2007</v>
      </c>
      <c r="H885">
        <v>6.9</v>
      </c>
    </row>
    <row r="886" spans="1:8" x14ac:dyDescent="0.25">
      <c r="A886">
        <v>107</v>
      </c>
      <c r="B886">
        <v>16088610</v>
      </c>
      <c r="C886" t="s">
        <v>853</v>
      </c>
      <c r="D886" t="s">
        <v>1</v>
      </c>
      <c r="E886" t="s">
        <v>2</v>
      </c>
      <c r="F886">
        <v>55000000</v>
      </c>
      <c r="G886">
        <v>2009</v>
      </c>
      <c r="H886">
        <v>5.6</v>
      </c>
    </row>
    <row r="887" spans="1:8" x14ac:dyDescent="0.25">
      <c r="A887">
        <v>119</v>
      </c>
      <c r="B887">
        <v>39440655</v>
      </c>
      <c r="C887" t="s">
        <v>856</v>
      </c>
      <c r="D887" t="s">
        <v>1</v>
      </c>
      <c r="E887" t="s">
        <v>2</v>
      </c>
      <c r="F887">
        <v>55000000</v>
      </c>
      <c r="G887">
        <v>2010</v>
      </c>
      <c r="H887">
        <v>6.4</v>
      </c>
    </row>
    <row r="888" spans="1:8" x14ac:dyDescent="0.25">
      <c r="A888">
        <v>123</v>
      </c>
      <c r="B888">
        <v>69951824</v>
      </c>
      <c r="C888" t="s">
        <v>859</v>
      </c>
      <c r="D888" t="s">
        <v>1</v>
      </c>
      <c r="E888" t="s">
        <v>2</v>
      </c>
      <c r="F888">
        <v>55000000</v>
      </c>
      <c r="G888">
        <v>2008</v>
      </c>
      <c r="H888">
        <v>7.7</v>
      </c>
    </row>
    <row r="889" spans="1:8" x14ac:dyDescent="0.25">
      <c r="A889">
        <v>92</v>
      </c>
      <c r="B889">
        <v>9483821</v>
      </c>
      <c r="C889" t="s">
        <v>860</v>
      </c>
      <c r="D889" t="s">
        <v>1</v>
      </c>
      <c r="E889" t="s">
        <v>2</v>
      </c>
      <c r="F889">
        <v>55000000</v>
      </c>
      <c r="G889">
        <v>2012</v>
      </c>
      <c r="H889">
        <v>5.7</v>
      </c>
    </row>
    <row r="890" spans="1:8" x14ac:dyDescent="0.25">
      <c r="A890">
        <v>128</v>
      </c>
      <c r="B890">
        <v>7221458</v>
      </c>
      <c r="C890" t="s">
        <v>866</v>
      </c>
      <c r="D890" t="s">
        <v>1</v>
      </c>
      <c r="E890" t="s">
        <v>119</v>
      </c>
      <c r="F890">
        <v>55000000</v>
      </c>
      <c r="G890">
        <v>2006</v>
      </c>
      <c r="H890">
        <v>6.2</v>
      </c>
    </row>
    <row r="891" spans="1:8" x14ac:dyDescent="0.25">
      <c r="A891">
        <v>172</v>
      </c>
      <c r="B891">
        <v>22843047</v>
      </c>
      <c r="C891" t="s">
        <v>875</v>
      </c>
      <c r="D891" t="s">
        <v>1</v>
      </c>
      <c r="E891" t="s">
        <v>2</v>
      </c>
      <c r="F891">
        <v>55000000</v>
      </c>
      <c r="G891">
        <v>1998</v>
      </c>
      <c r="H891">
        <v>5.9</v>
      </c>
    </row>
    <row r="892" spans="1:8" x14ac:dyDescent="0.25">
      <c r="A892">
        <v>124</v>
      </c>
      <c r="B892">
        <v>5755286</v>
      </c>
      <c r="C892" t="s">
        <v>876</v>
      </c>
      <c r="D892" t="s">
        <v>1</v>
      </c>
      <c r="E892" t="s">
        <v>2</v>
      </c>
      <c r="F892">
        <v>55000000</v>
      </c>
      <c r="G892">
        <v>2007</v>
      </c>
      <c r="H892">
        <v>5.9</v>
      </c>
    </row>
    <row r="893" spans="1:8" x14ac:dyDescent="0.25">
      <c r="A893">
        <v>104</v>
      </c>
      <c r="B893">
        <v>42610000</v>
      </c>
      <c r="C893" t="s">
        <v>943</v>
      </c>
      <c r="D893" t="s">
        <v>1</v>
      </c>
      <c r="E893" t="s">
        <v>2</v>
      </c>
      <c r="F893">
        <v>55000000</v>
      </c>
      <c r="G893">
        <v>1994</v>
      </c>
      <c r="H893">
        <v>5.5</v>
      </c>
    </row>
    <row r="894" spans="1:8" x14ac:dyDescent="0.25">
      <c r="A894">
        <v>84</v>
      </c>
      <c r="B894">
        <v>21283440</v>
      </c>
      <c r="C894" t="s">
        <v>978</v>
      </c>
      <c r="D894" t="s">
        <v>1</v>
      </c>
      <c r="E894" t="s">
        <v>2</v>
      </c>
      <c r="F894">
        <v>55000000</v>
      </c>
      <c r="G894">
        <v>2011</v>
      </c>
      <c r="H894">
        <v>6</v>
      </c>
    </row>
    <row r="895" spans="1:8" x14ac:dyDescent="0.25">
      <c r="A895">
        <v>109</v>
      </c>
      <c r="B895">
        <v>8355815</v>
      </c>
      <c r="C895" t="s">
        <v>987</v>
      </c>
      <c r="D895" t="s">
        <v>1</v>
      </c>
      <c r="E895" t="s">
        <v>5</v>
      </c>
      <c r="F895">
        <v>55000000</v>
      </c>
      <c r="G895">
        <v>2002</v>
      </c>
      <c r="H895">
        <v>6.4</v>
      </c>
    </row>
    <row r="896" spans="1:8" x14ac:dyDescent="0.25">
      <c r="A896">
        <v>122</v>
      </c>
      <c r="B896">
        <v>53574088</v>
      </c>
      <c r="C896" t="s">
        <v>1008</v>
      </c>
      <c r="D896" t="s">
        <v>1</v>
      </c>
      <c r="E896" t="s">
        <v>2</v>
      </c>
      <c r="F896">
        <v>55000000</v>
      </c>
      <c r="G896">
        <v>2007</v>
      </c>
      <c r="H896">
        <v>7.8</v>
      </c>
    </row>
    <row r="897" spans="1:8" x14ac:dyDescent="0.25">
      <c r="A897">
        <v>90</v>
      </c>
      <c r="B897">
        <v>7871693</v>
      </c>
      <c r="C897" t="s">
        <v>1305</v>
      </c>
      <c r="D897" t="s">
        <v>1</v>
      </c>
      <c r="E897" t="s">
        <v>2</v>
      </c>
      <c r="F897">
        <v>55000000</v>
      </c>
      <c r="G897">
        <v>2008</v>
      </c>
      <c r="H897">
        <v>6.5</v>
      </c>
    </row>
    <row r="898" spans="1:8" x14ac:dyDescent="0.25">
      <c r="A898">
        <v>107</v>
      </c>
      <c r="B898">
        <v>19389454</v>
      </c>
      <c r="C898" t="s">
        <v>1408</v>
      </c>
      <c r="D898" t="s">
        <v>1</v>
      </c>
      <c r="E898" t="s">
        <v>2</v>
      </c>
      <c r="F898">
        <v>55000000</v>
      </c>
      <c r="G898">
        <v>2000</v>
      </c>
      <c r="H898">
        <v>7.4</v>
      </c>
    </row>
    <row r="899" spans="1:8" x14ac:dyDescent="0.25">
      <c r="A899">
        <v>121</v>
      </c>
      <c r="B899">
        <v>16640210</v>
      </c>
      <c r="C899" t="s">
        <v>1490</v>
      </c>
      <c r="D899" t="s">
        <v>1</v>
      </c>
      <c r="E899" t="s">
        <v>2</v>
      </c>
      <c r="F899">
        <v>55000000</v>
      </c>
      <c r="G899">
        <v>1999</v>
      </c>
      <c r="H899">
        <v>6.8</v>
      </c>
    </row>
    <row r="900" spans="1:8" x14ac:dyDescent="0.25">
      <c r="A900">
        <v>131</v>
      </c>
      <c r="B900">
        <v>52799004</v>
      </c>
      <c r="C900" t="s">
        <v>1556</v>
      </c>
      <c r="D900" t="s">
        <v>1</v>
      </c>
      <c r="E900" t="s">
        <v>2</v>
      </c>
      <c r="F900">
        <v>55000000</v>
      </c>
      <c r="G900">
        <v>1999</v>
      </c>
      <c r="H900">
        <v>6.1</v>
      </c>
    </row>
    <row r="901" spans="1:8" x14ac:dyDescent="0.25">
      <c r="A901">
        <v>95</v>
      </c>
      <c r="B901">
        <v>128769345</v>
      </c>
      <c r="C901" t="s">
        <v>810</v>
      </c>
      <c r="D901" t="s">
        <v>1</v>
      </c>
      <c r="E901" t="s">
        <v>2</v>
      </c>
      <c r="F901">
        <v>54000000</v>
      </c>
      <c r="G901">
        <v>1996</v>
      </c>
      <c r="H901">
        <v>5.6</v>
      </c>
    </row>
    <row r="902" spans="1:8" x14ac:dyDescent="0.25">
      <c r="A902">
        <v>117</v>
      </c>
      <c r="B902">
        <v>81645152</v>
      </c>
      <c r="C902" t="s">
        <v>858</v>
      </c>
      <c r="D902" t="s">
        <v>1</v>
      </c>
      <c r="E902" t="s">
        <v>2</v>
      </c>
      <c r="F902">
        <v>54000000</v>
      </c>
      <c r="G902">
        <v>2002</v>
      </c>
      <c r="H902">
        <v>6.7</v>
      </c>
    </row>
    <row r="903" spans="1:8" x14ac:dyDescent="0.25">
      <c r="A903">
        <v>170</v>
      </c>
      <c r="B903">
        <v>66676062</v>
      </c>
      <c r="C903" t="s">
        <v>861</v>
      </c>
      <c r="D903" t="s">
        <v>1</v>
      </c>
      <c r="E903" t="s">
        <v>2</v>
      </c>
      <c r="F903">
        <v>54000000</v>
      </c>
      <c r="G903">
        <v>1990</v>
      </c>
      <c r="H903">
        <v>7.6</v>
      </c>
    </row>
    <row r="904" spans="1:8" x14ac:dyDescent="0.25">
      <c r="A904">
        <v>110</v>
      </c>
      <c r="B904">
        <v>75604320</v>
      </c>
      <c r="C904" t="s">
        <v>863</v>
      </c>
      <c r="D904" t="s">
        <v>1</v>
      </c>
      <c r="E904" t="s">
        <v>2</v>
      </c>
      <c r="F904">
        <v>54000000</v>
      </c>
      <c r="G904">
        <v>2006</v>
      </c>
      <c r="H904">
        <v>5.6</v>
      </c>
    </row>
    <row r="905" spans="1:8" x14ac:dyDescent="0.25">
      <c r="A905">
        <v>116</v>
      </c>
      <c r="B905">
        <v>108200000</v>
      </c>
      <c r="C905" t="s">
        <v>864</v>
      </c>
      <c r="D905" t="s">
        <v>1</v>
      </c>
      <c r="E905" t="s">
        <v>2</v>
      </c>
      <c r="F905">
        <v>54000000</v>
      </c>
      <c r="G905">
        <v>1980</v>
      </c>
      <c r="H905">
        <v>6.8</v>
      </c>
    </row>
    <row r="906" spans="1:8" x14ac:dyDescent="0.25">
      <c r="A906">
        <v>121</v>
      </c>
      <c r="B906">
        <v>5660084</v>
      </c>
      <c r="C906" t="s">
        <v>865</v>
      </c>
      <c r="D906" t="s">
        <v>1</v>
      </c>
      <c r="E906" t="s">
        <v>2</v>
      </c>
      <c r="F906">
        <v>54000000</v>
      </c>
      <c r="G906">
        <v>2003</v>
      </c>
      <c r="H906">
        <v>2.4</v>
      </c>
    </row>
    <row r="907" spans="1:8" x14ac:dyDescent="0.25">
      <c r="A907">
        <v>132</v>
      </c>
      <c r="B907">
        <v>70496802</v>
      </c>
      <c r="C907" t="s">
        <v>923</v>
      </c>
      <c r="D907" t="s">
        <v>1</v>
      </c>
      <c r="E907" t="s">
        <v>2</v>
      </c>
      <c r="F907">
        <v>54000000</v>
      </c>
      <c r="G907">
        <v>2005</v>
      </c>
      <c r="H907">
        <v>8.1999999999999993</v>
      </c>
    </row>
    <row r="908" spans="1:8" x14ac:dyDescent="0.25">
      <c r="A908">
        <v>118</v>
      </c>
      <c r="B908">
        <v>55808744</v>
      </c>
      <c r="C908" t="s">
        <v>531</v>
      </c>
      <c r="D908" t="s">
        <v>1</v>
      </c>
      <c r="E908" t="s">
        <v>2</v>
      </c>
      <c r="F908">
        <v>53000000</v>
      </c>
      <c r="G908">
        <v>2005</v>
      </c>
      <c r="H908">
        <v>5.7</v>
      </c>
    </row>
    <row r="909" spans="1:8" x14ac:dyDescent="0.25">
      <c r="A909">
        <v>123</v>
      </c>
      <c r="B909">
        <v>91400000</v>
      </c>
      <c r="C909" t="s">
        <v>819</v>
      </c>
      <c r="D909" t="s">
        <v>1</v>
      </c>
      <c r="E909" t="s">
        <v>2</v>
      </c>
      <c r="F909">
        <v>53000000</v>
      </c>
      <c r="G909">
        <v>1995</v>
      </c>
      <c r="H909">
        <v>7.3</v>
      </c>
    </row>
    <row r="910" spans="1:8" x14ac:dyDescent="0.25">
      <c r="A910">
        <v>89</v>
      </c>
      <c r="B910">
        <v>45207112</v>
      </c>
      <c r="C910" t="s">
        <v>870</v>
      </c>
      <c r="D910" t="s">
        <v>1</v>
      </c>
      <c r="E910" t="s">
        <v>2</v>
      </c>
      <c r="F910">
        <v>53000000</v>
      </c>
      <c r="G910">
        <v>2001</v>
      </c>
      <c r="H910">
        <v>5.5</v>
      </c>
    </row>
    <row r="911" spans="1:8" x14ac:dyDescent="0.25">
      <c r="A911">
        <v>123</v>
      </c>
      <c r="B911">
        <v>62563543</v>
      </c>
      <c r="C911" t="s">
        <v>871</v>
      </c>
      <c r="D911" t="s">
        <v>1</v>
      </c>
      <c r="E911" t="s">
        <v>2</v>
      </c>
      <c r="F911">
        <v>53000000</v>
      </c>
      <c r="G911">
        <v>2015</v>
      </c>
      <c r="H911">
        <v>7</v>
      </c>
    </row>
    <row r="912" spans="1:8" x14ac:dyDescent="0.25">
      <c r="A912">
        <v>189</v>
      </c>
      <c r="B912">
        <v>25031037</v>
      </c>
      <c r="C912" t="s">
        <v>874</v>
      </c>
      <c r="D912" t="s">
        <v>1</v>
      </c>
      <c r="E912" t="s">
        <v>2</v>
      </c>
      <c r="F912">
        <v>53000000</v>
      </c>
      <c r="G912">
        <v>2007</v>
      </c>
      <c r="H912">
        <v>7.6</v>
      </c>
    </row>
    <row r="913" spans="1:8" x14ac:dyDescent="0.25">
      <c r="A913">
        <v>127</v>
      </c>
      <c r="B913">
        <v>57386369</v>
      </c>
      <c r="C913" t="s">
        <v>869</v>
      </c>
      <c r="D913" t="s">
        <v>1</v>
      </c>
      <c r="E913" t="s">
        <v>2</v>
      </c>
      <c r="F913">
        <v>52500000</v>
      </c>
      <c r="G913">
        <v>2001</v>
      </c>
      <c r="H913">
        <v>7.6</v>
      </c>
    </row>
    <row r="914" spans="1:8" x14ac:dyDescent="0.25">
      <c r="A914">
        <v>102</v>
      </c>
      <c r="B914">
        <v>1891821</v>
      </c>
      <c r="C914" t="s">
        <v>494</v>
      </c>
      <c r="D914" t="s">
        <v>1</v>
      </c>
      <c r="E914" t="s">
        <v>5</v>
      </c>
      <c r="F914">
        <v>52000000</v>
      </c>
      <c r="G914">
        <v>2005</v>
      </c>
      <c r="H914">
        <v>4.2</v>
      </c>
    </row>
    <row r="915" spans="1:8" x14ac:dyDescent="0.25">
      <c r="A915">
        <v>113</v>
      </c>
      <c r="B915">
        <v>34636443</v>
      </c>
      <c r="C915" t="s">
        <v>542</v>
      </c>
      <c r="D915" t="s">
        <v>1</v>
      </c>
      <c r="E915" t="s">
        <v>2</v>
      </c>
      <c r="F915">
        <v>52000000</v>
      </c>
      <c r="G915">
        <v>2005</v>
      </c>
      <c r="H915">
        <v>6.6</v>
      </c>
    </row>
    <row r="916" spans="1:8" x14ac:dyDescent="0.25">
      <c r="A916">
        <v>141</v>
      </c>
      <c r="B916">
        <v>164435221</v>
      </c>
      <c r="C916" t="s">
        <v>877</v>
      </c>
      <c r="D916" t="s">
        <v>1</v>
      </c>
      <c r="E916" t="s">
        <v>2</v>
      </c>
      <c r="F916">
        <v>52000000</v>
      </c>
      <c r="G916">
        <v>2002</v>
      </c>
      <c r="H916">
        <v>8</v>
      </c>
    </row>
    <row r="917" spans="1:8" x14ac:dyDescent="0.25">
      <c r="A917">
        <v>106</v>
      </c>
      <c r="B917">
        <v>118683135</v>
      </c>
      <c r="C917" t="s">
        <v>879</v>
      </c>
      <c r="D917" t="s">
        <v>1</v>
      </c>
      <c r="E917" t="s">
        <v>2</v>
      </c>
      <c r="F917">
        <v>52000000</v>
      </c>
      <c r="G917">
        <v>2006</v>
      </c>
      <c r="H917">
        <v>5.8</v>
      </c>
    </row>
    <row r="918" spans="1:8" x14ac:dyDescent="0.25">
      <c r="A918">
        <v>108</v>
      </c>
      <c r="B918">
        <v>143704210</v>
      </c>
      <c r="C918" t="s">
        <v>880</v>
      </c>
      <c r="D918" t="s">
        <v>1</v>
      </c>
      <c r="E918" t="s">
        <v>2</v>
      </c>
      <c r="F918">
        <v>52000000</v>
      </c>
      <c r="G918">
        <v>2008</v>
      </c>
      <c r="H918">
        <v>6.3</v>
      </c>
    </row>
    <row r="919" spans="1:8" x14ac:dyDescent="0.25">
      <c r="A919">
        <v>125</v>
      </c>
      <c r="B919">
        <v>110476776</v>
      </c>
      <c r="C919" t="s">
        <v>881</v>
      </c>
      <c r="D919" t="s">
        <v>1</v>
      </c>
      <c r="E919" t="s">
        <v>2</v>
      </c>
      <c r="F919">
        <v>52000000</v>
      </c>
      <c r="G919">
        <v>2010</v>
      </c>
      <c r="H919">
        <v>5.7</v>
      </c>
    </row>
    <row r="920" spans="1:8" x14ac:dyDescent="0.25">
      <c r="A920">
        <v>215</v>
      </c>
      <c r="B920">
        <v>36385763</v>
      </c>
      <c r="C920" t="s">
        <v>883</v>
      </c>
      <c r="D920" t="s">
        <v>1</v>
      </c>
      <c r="E920" t="s">
        <v>2</v>
      </c>
      <c r="F920">
        <v>52000000</v>
      </c>
      <c r="G920">
        <v>1998</v>
      </c>
      <c r="H920">
        <v>7.6</v>
      </c>
    </row>
    <row r="921" spans="1:8" x14ac:dyDescent="0.25">
      <c r="A921">
        <v>118</v>
      </c>
      <c r="B921">
        <v>37035845</v>
      </c>
      <c r="C921" t="s">
        <v>884</v>
      </c>
      <c r="D921" t="s">
        <v>1</v>
      </c>
      <c r="E921" t="s">
        <v>2</v>
      </c>
      <c r="F921">
        <v>52000000</v>
      </c>
      <c r="G921">
        <v>2011</v>
      </c>
      <c r="H921">
        <v>6.4</v>
      </c>
    </row>
    <row r="922" spans="1:8" x14ac:dyDescent="0.25">
      <c r="A922">
        <v>118</v>
      </c>
      <c r="B922">
        <v>34580635</v>
      </c>
      <c r="C922" t="s">
        <v>885</v>
      </c>
      <c r="D922" t="s">
        <v>1</v>
      </c>
      <c r="E922" t="s">
        <v>5</v>
      </c>
      <c r="F922">
        <v>52000000</v>
      </c>
      <c r="G922">
        <v>1999</v>
      </c>
      <c r="H922">
        <v>7.4</v>
      </c>
    </row>
    <row r="923" spans="1:8" x14ac:dyDescent="0.25">
      <c r="A923">
        <v>178</v>
      </c>
      <c r="B923">
        <v>42438300</v>
      </c>
      <c r="C923" t="s">
        <v>886</v>
      </c>
      <c r="D923" t="s">
        <v>1</v>
      </c>
      <c r="E923" t="s">
        <v>2</v>
      </c>
      <c r="F923">
        <v>52000000</v>
      </c>
      <c r="G923">
        <v>1995</v>
      </c>
      <c r="H923">
        <v>8.1999999999999993</v>
      </c>
    </row>
    <row r="924" spans="1:8" x14ac:dyDescent="0.25">
      <c r="A924">
        <v>92</v>
      </c>
      <c r="B924">
        <v>23324666</v>
      </c>
      <c r="C924" t="s">
        <v>887</v>
      </c>
      <c r="D924" t="s">
        <v>1</v>
      </c>
      <c r="E924" t="s">
        <v>244</v>
      </c>
      <c r="F924">
        <v>52000000</v>
      </c>
      <c r="G924">
        <v>2010</v>
      </c>
      <c r="H924">
        <v>6.5</v>
      </c>
    </row>
    <row r="925" spans="1:8" x14ac:dyDescent="0.25">
      <c r="A925">
        <v>104</v>
      </c>
      <c r="B925">
        <v>23020488</v>
      </c>
      <c r="C925" t="s">
        <v>888</v>
      </c>
      <c r="D925" t="s">
        <v>1</v>
      </c>
      <c r="E925" t="s">
        <v>2</v>
      </c>
      <c r="F925">
        <v>52000000</v>
      </c>
      <c r="G925">
        <v>2003</v>
      </c>
      <c r="H925">
        <v>5.5</v>
      </c>
    </row>
    <row r="926" spans="1:8" x14ac:dyDescent="0.25">
      <c r="A926">
        <v>131</v>
      </c>
      <c r="B926">
        <v>125548685</v>
      </c>
      <c r="C926" t="s">
        <v>902</v>
      </c>
      <c r="D926" t="s">
        <v>1</v>
      </c>
      <c r="E926" t="s">
        <v>2</v>
      </c>
      <c r="F926">
        <v>52000000</v>
      </c>
      <c r="G926">
        <v>2000</v>
      </c>
      <c r="H926">
        <v>7.3</v>
      </c>
    </row>
    <row r="927" spans="1:8" x14ac:dyDescent="0.25">
      <c r="A927">
        <v>102</v>
      </c>
      <c r="B927">
        <v>36883539</v>
      </c>
      <c r="C927" t="s">
        <v>1071</v>
      </c>
      <c r="D927" t="s">
        <v>1</v>
      </c>
      <c r="E927" t="s">
        <v>119</v>
      </c>
      <c r="F927">
        <v>52000000</v>
      </c>
      <c r="G927">
        <v>2006</v>
      </c>
      <c r="H927">
        <v>6.6</v>
      </c>
    </row>
    <row r="928" spans="1:8" x14ac:dyDescent="0.25">
      <c r="A928">
        <v>116</v>
      </c>
      <c r="B928">
        <v>90567722</v>
      </c>
      <c r="C928" t="s">
        <v>889</v>
      </c>
      <c r="D928" t="s">
        <v>1</v>
      </c>
      <c r="E928" t="s">
        <v>2</v>
      </c>
      <c r="F928">
        <v>51000000</v>
      </c>
      <c r="G928">
        <v>2000</v>
      </c>
      <c r="H928">
        <v>6.5</v>
      </c>
    </row>
    <row r="929" spans="1:8" x14ac:dyDescent="0.25">
      <c r="A929">
        <v>90</v>
      </c>
      <c r="B929">
        <v>72601713</v>
      </c>
      <c r="C929" t="s">
        <v>890</v>
      </c>
      <c r="D929" t="s">
        <v>1</v>
      </c>
      <c r="E929" t="s">
        <v>119</v>
      </c>
      <c r="F929">
        <v>51000000</v>
      </c>
      <c r="G929">
        <v>2006</v>
      </c>
      <c r="H929">
        <v>5.6</v>
      </c>
    </row>
    <row r="930" spans="1:8" x14ac:dyDescent="0.25">
      <c r="A930">
        <v>107</v>
      </c>
      <c r="B930">
        <v>14375181</v>
      </c>
      <c r="C930" t="s">
        <v>1242</v>
      </c>
      <c r="D930" t="s">
        <v>1</v>
      </c>
      <c r="E930" t="s">
        <v>2</v>
      </c>
      <c r="F930">
        <v>51000000</v>
      </c>
      <c r="G930">
        <v>1987</v>
      </c>
      <c r="H930">
        <v>4.2</v>
      </c>
    </row>
    <row r="931" spans="1:8" x14ac:dyDescent="0.25">
      <c r="A931">
        <v>106</v>
      </c>
      <c r="B931">
        <v>62453315</v>
      </c>
      <c r="C931" t="s">
        <v>893</v>
      </c>
      <c r="D931" t="s">
        <v>1</v>
      </c>
      <c r="E931" t="s">
        <v>2</v>
      </c>
      <c r="F931">
        <v>50200000</v>
      </c>
      <c r="G931">
        <v>2011</v>
      </c>
      <c r="H931">
        <v>7.1</v>
      </c>
    </row>
    <row r="932" spans="1:8" x14ac:dyDescent="0.25">
      <c r="A932">
        <v>105</v>
      </c>
      <c r="B932">
        <v>53846915</v>
      </c>
      <c r="C932" t="s">
        <v>653</v>
      </c>
      <c r="D932" t="s">
        <v>1</v>
      </c>
      <c r="E932" t="s">
        <v>2</v>
      </c>
      <c r="F932">
        <v>50100000</v>
      </c>
      <c r="G932">
        <v>2015</v>
      </c>
      <c r="H932">
        <v>6.6</v>
      </c>
    </row>
    <row r="933" spans="1:8" x14ac:dyDescent="0.25">
      <c r="A933">
        <v>125</v>
      </c>
      <c r="B933">
        <v>41814863</v>
      </c>
      <c r="C933" t="s">
        <v>521</v>
      </c>
      <c r="D933" t="s">
        <v>1</v>
      </c>
      <c r="E933" t="s">
        <v>2</v>
      </c>
      <c r="F933">
        <v>50000000</v>
      </c>
      <c r="G933">
        <v>2004</v>
      </c>
      <c r="H933">
        <v>5.0999999999999996</v>
      </c>
    </row>
    <row r="934" spans="1:8" x14ac:dyDescent="0.25">
      <c r="A934">
        <v>115</v>
      </c>
      <c r="B934">
        <v>25121291</v>
      </c>
      <c r="C934" t="s">
        <v>611</v>
      </c>
      <c r="D934" t="s">
        <v>1</v>
      </c>
      <c r="E934" t="s">
        <v>2</v>
      </c>
      <c r="F934">
        <v>50000000</v>
      </c>
      <c r="G934">
        <v>2013</v>
      </c>
      <c r="H934">
        <v>6.7</v>
      </c>
    </row>
    <row r="935" spans="1:8" x14ac:dyDescent="0.25">
      <c r="A935">
        <v>108</v>
      </c>
      <c r="B935">
        <v>70450000</v>
      </c>
      <c r="C935" t="s">
        <v>646</v>
      </c>
      <c r="D935" t="s">
        <v>1</v>
      </c>
      <c r="E935" t="s">
        <v>2</v>
      </c>
      <c r="F935">
        <v>50000000</v>
      </c>
      <c r="G935">
        <v>1996</v>
      </c>
      <c r="H935">
        <v>6</v>
      </c>
    </row>
    <row r="936" spans="1:8" x14ac:dyDescent="0.25">
      <c r="A936">
        <v>130</v>
      </c>
      <c r="B936">
        <v>1987287</v>
      </c>
      <c r="C936" t="s">
        <v>667</v>
      </c>
      <c r="D936" t="s">
        <v>1</v>
      </c>
      <c r="E936" t="s">
        <v>5</v>
      </c>
      <c r="F936">
        <v>50000000</v>
      </c>
      <c r="G936">
        <v>2005</v>
      </c>
      <c r="H936">
        <v>6.9</v>
      </c>
    </row>
    <row r="937" spans="1:8" x14ac:dyDescent="0.25">
      <c r="A937">
        <v>147</v>
      </c>
      <c r="B937">
        <v>2208939</v>
      </c>
      <c r="C937" t="s">
        <v>672</v>
      </c>
      <c r="D937" t="s">
        <v>1</v>
      </c>
      <c r="E937" t="s">
        <v>119</v>
      </c>
      <c r="F937">
        <v>50000000</v>
      </c>
      <c r="G937">
        <v>2006</v>
      </c>
      <c r="H937">
        <v>7.5</v>
      </c>
    </row>
    <row r="938" spans="1:8" x14ac:dyDescent="0.25">
      <c r="A938">
        <v>98</v>
      </c>
      <c r="B938">
        <v>61112916</v>
      </c>
      <c r="C938" t="s">
        <v>725</v>
      </c>
      <c r="D938" t="s">
        <v>1</v>
      </c>
      <c r="E938" t="s">
        <v>2</v>
      </c>
      <c r="F938">
        <v>50000000</v>
      </c>
      <c r="G938">
        <v>2006</v>
      </c>
      <c r="H938">
        <v>4.4000000000000004</v>
      </c>
    </row>
    <row r="939" spans="1:8" x14ac:dyDescent="0.25">
      <c r="A939">
        <v>121</v>
      </c>
      <c r="B939">
        <v>22518325</v>
      </c>
      <c r="C939" t="s">
        <v>769</v>
      </c>
      <c r="D939" t="s">
        <v>1</v>
      </c>
      <c r="E939" t="s">
        <v>119</v>
      </c>
      <c r="F939">
        <v>50000000</v>
      </c>
      <c r="G939">
        <v>2006</v>
      </c>
      <c r="H939">
        <v>5.6</v>
      </c>
    </row>
    <row r="940" spans="1:8" x14ac:dyDescent="0.25">
      <c r="A940">
        <v>100</v>
      </c>
      <c r="B940">
        <v>100328194</v>
      </c>
      <c r="C940" t="s">
        <v>816</v>
      </c>
      <c r="D940" t="s">
        <v>1</v>
      </c>
      <c r="E940" t="s">
        <v>2</v>
      </c>
      <c r="F940">
        <v>50000000</v>
      </c>
      <c r="G940">
        <v>1995</v>
      </c>
      <c r="H940">
        <v>6</v>
      </c>
    </row>
    <row r="941" spans="1:8" x14ac:dyDescent="0.25">
      <c r="A941">
        <v>145</v>
      </c>
      <c r="B941">
        <v>55473600</v>
      </c>
      <c r="C941" t="s">
        <v>834</v>
      </c>
      <c r="D941" t="s">
        <v>1</v>
      </c>
      <c r="E941" t="s">
        <v>2</v>
      </c>
      <c r="F941">
        <v>50000000</v>
      </c>
      <c r="G941">
        <v>1992</v>
      </c>
      <c r="H941">
        <v>6.4</v>
      </c>
    </row>
    <row r="942" spans="1:8" x14ac:dyDescent="0.25">
      <c r="A942">
        <v>107</v>
      </c>
      <c r="B942">
        <v>20550712</v>
      </c>
      <c r="C942" t="s">
        <v>846</v>
      </c>
      <c r="D942" t="s">
        <v>1</v>
      </c>
      <c r="E942" t="s">
        <v>2</v>
      </c>
      <c r="F942">
        <v>50000000</v>
      </c>
      <c r="G942">
        <v>1996</v>
      </c>
      <c r="H942">
        <v>5.6</v>
      </c>
    </row>
    <row r="943" spans="1:8" x14ac:dyDescent="0.25">
      <c r="A943">
        <v>119</v>
      </c>
      <c r="B943">
        <v>51178893</v>
      </c>
      <c r="C943" t="s">
        <v>854</v>
      </c>
      <c r="D943" t="s">
        <v>1</v>
      </c>
      <c r="E943" t="s">
        <v>2</v>
      </c>
      <c r="F943">
        <v>50000000</v>
      </c>
      <c r="G943">
        <v>2014</v>
      </c>
      <c r="H943">
        <v>6.4</v>
      </c>
    </row>
    <row r="944" spans="1:8" x14ac:dyDescent="0.25">
      <c r="A944">
        <v>94</v>
      </c>
      <c r="B944">
        <v>58297830</v>
      </c>
      <c r="C944" t="s">
        <v>868</v>
      </c>
      <c r="D944" t="s">
        <v>1</v>
      </c>
      <c r="E944" t="s">
        <v>2</v>
      </c>
      <c r="F944">
        <v>50000000</v>
      </c>
      <c r="G944">
        <v>1997</v>
      </c>
      <c r="H944">
        <v>7.1</v>
      </c>
    </row>
    <row r="945" spans="1:8" x14ac:dyDescent="0.25">
      <c r="A945">
        <v>118</v>
      </c>
      <c r="B945">
        <v>73343413</v>
      </c>
      <c r="C945" t="s">
        <v>873</v>
      </c>
      <c r="D945" t="s">
        <v>1</v>
      </c>
      <c r="E945" t="s">
        <v>2</v>
      </c>
      <c r="F945">
        <v>50000000</v>
      </c>
      <c r="G945">
        <v>2009</v>
      </c>
      <c r="H945">
        <v>7.4</v>
      </c>
    </row>
    <row r="946" spans="1:8" x14ac:dyDescent="0.25">
      <c r="A946">
        <v>107</v>
      </c>
      <c r="B946">
        <v>80270227</v>
      </c>
      <c r="C946" t="s">
        <v>882</v>
      </c>
      <c r="D946" t="s">
        <v>1</v>
      </c>
      <c r="E946" t="s">
        <v>2</v>
      </c>
      <c r="F946">
        <v>50000000</v>
      </c>
      <c r="G946">
        <v>2005</v>
      </c>
      <c r="H946">
        <v>5.0999999999999996</v>
      </c>
    </row>
    <row r="947" spans="1:8" x14ac:dyDescent="0.25">
      <c r="A947">
        <v>130</v>
      </c>
      <c r="B947">
        <v>296623634</v>
      </c>
      <c r="C947" t="s">
        <v>891</v>
      </c>
      <c r="D947" t="s">
        <v>1</v>
      </c>
      <c r="E947" t="s">
        <v>2</v>
      </c>
      <c r="F947">
        <v>50000000</v>
      </c>
      <c r="G947">
        <v>2009</v>
      </c>
      <c r="H947">
        <v>4.5999999999999996</v>
      </c>
    </row>
    <row r="948" spans="1:8" x14ac:dyDescent="0.25">
      <c r="A948">
        <v>139</v>
      </c>
      <c r="B948">
        <v>153620822</v>
      </c>
      <c r="C948" t="s">
        <v>895</v>
      </c>
      <c r="D948" t="s">
        <v>1</v>
      </c>
      <c r="E948" t="s">
        <v>2</v>
      </c>
      <c r="F948">
        <v>50000000</v>
      </c>
      <c r="G948">
        <v>1996</v>
      </c>
      <c r="H948">
        <v>7.3</v>
      </c>
    </row>
    <row r="949" spans="1:8" x14ac:dyDescent="0.25">
      <c r="A949">
        <v>112</v>
      </c>
      <c r="B949">
        <v>218628680</v>
      </c>
      <c r="C949" t="s">
        <v>896</v>
      </c>
      <c r="D949" t="s">
        <v>1</v>
      </c>
      <c r="E949" t="s">
        <v>2</v>
      </c>
      <c r="F949">
        <v>50000000</v>
      </c>
      <c r="G949">
        <v>2012</v>
      </c>
      <c r="H949">
        <v>7</v>
      </c>
    </row>
    <row r="950" spans="1:8" x14ac:dyDescent="0.25">
      <c r="A950">
        <v>139</v>
      </c>
      <c r="B950">
        <v>147637474</v>
      </c>
      <c r="C950" t="s">
        <v>897</v>
      </c>
      <c r="D950" t="s">
        <v>1</v>
      </c>
      <c r="E950" t="s">
        <v>2</v>
      </c>
      <c r="F950">
        <v>50000000</v>
      </c>
      <c r="G950">
        <v>1997</v>
      </c>
      <c r="H950">
        <v>7.7</v>
      </c>
    </row>
    <row r="951" spans="1:8" x14ac:dyDescent="0.25">
      <c r="A951">
        <v>115</v>
      </c>
      <c r="B951">
        <v>135014968</v>
      </c>
      <c r="C951" t="s">
        <v>898</v>
      </c>
      <c r="D951" t="s">
        <v>1</v>
      </c>
      <c r="E951" t="s">
        <v>2</v>
      </c>
      <c r="F951">
        <v>50000000</v>
      </c>
      <c r="G951">
        <v>1998</v>
      </c>
      <c r="H951">
        <v>6.7</v>
      </c>
    </row>
    <row r="952" spans="1:8" x14ac:dyDescent="0.25">
      <c r="A952">
        <v>143</v>
      </c>
      <c r="B952">
        <v>2175312</v>
      </c>
      <c r="C952" t="s">
        <v>899</v>
      </c>
      <c r="D952" t="s">
        <v>1</v>
      </c>
      <c r="E952" t="s">
        <v>2</v>
      </c>
      <c r="F952">
        <v>50000000</v>
      </c>
      <c r="G952">
        <v>2013</v>
      </c>
      <c r="H952">
        <v>6.3</v>
      </c>
    </row>
    <row r="953" spans="1:8" x14ac:dyDescent="0.25">
      <c r="A953">
        <v>96</v>
      </c>
      <c r="B953">
        <v>126203320</v>
      </c>
      <c r="C953" t="s">
        <v>900</v>
      </c>
      <c r="D953" t="s">
        <v>1</v>
      </c>
      <c r="E953" t="s">
        <v>2</v>
      </c>
      <c r="F953">
        <v>50000000</v>
      </c>
      <c r="G953">
        <v>2002</v>
      </c>
      <c r="H953">
        <v>5.8</v>
      </c>
    </row>
    <row r="954" spans="1:8" x14ac:dyDescent="0.25">
      <c r="A954">
        <v>112</v>
      </c>
      <c r="B954">
        <v>126975169</v>
      </c>
      <c r="C954" t="s">
        <v>901</v>
      </c>
      <c r="D954" t="s">
        <v>1</v>
      </c>
      <c r="E954" t="s">
        <v>2</v>
      </c>
      <c r="F954">
        <v>50000000</v>
      </c>
      <c r="G954">
        <v>2011</v>
      </c>
      <c r="H954">
        <v>7.1</v>
      </c>
    </row>
    <row r="955" spans="1:8" x14ac:dyDescent="0.25">
      <c r="A955">
        <v>116</v>
      </c>
      <c r="B955">
        <v>105807520</v>
      </c>
      <c r="C955" t="s">
        <v>903</v>
      </c>
      <c r="D955" t="s">
        <v>1</v>
      </c>
      <c r="E955" t="s">
        <v>2</v>
      </c>
      <c r="F955">
        <v>50000000</v>
      </c>
      <c r="G955">
        <v>2003</v>
      </c>
      <c r="H955">
        <v>6.4</v>
      </c>
    </row>
    <row r="956" spans="1:8" x14ac:dyDescent="0.25">
      <c r="A956">
        <v>112</v>
      </c>
      <c r="B956">
        <v>191616238</v>
      </c>
      <c r="C956" t="s">
        <v>904</v>
      </c>
      <c r="D956" t="s">
        <v>1</v>
      </c>
      <c r="E956" t="s">
        <v>2</v>
      </c>
      <c r="F956">
        <v>50000000</v>
      </c>
      <c r="G956">
        <v>2014</v>
      </c>
      <c r="H956">
        <v>7.1</v>
      </c>
    </row>
    <row r="957" spans="1:8" x14ac:dyDescent="0.25">
      <c r="A957">
        <v>107</v>
      </c>
      <c r="B957">
        <v>126088877</v>
      </c>
      <c r="C957" t="s">
        <v>907</v>
      </c>
      <c r="D957" t="s">
        <v>1</v>
      </c>
      <c r="E957" t="s">
        <v>2</v>
      </c>
      <c r="F957">
        <v>50000000</v>
      </c>
      <c r="G957">
        <v>2016</v>
      </c>
      <c r="H957">
        <v>6.6</v>
      </c>
    </row>
    <row r="958" spans="1:8" x14ac:dyDescent="0.25">
      <c r="A958">
        <v>124</v>
      </c>
      <c r="B958">
        <v>91030827</v>
      </c>
      <c r="C958" t="s">
        <v>908</v>
      </c>
      <c r="D958" t="s">
        <v>1</v>
      </c>
      <c r="E958" t="s">
        <v>2</v>
      </c>
      <c r="F958">
        <v>50000000</v>
      </c>
      <c r="G958">
        <v>1998</v>
      </c>
      <c r="H958">
        <v>6.7</v>
      </c>
    </row>
    <row r="959" spans="1:8" x14ac:dyDescent="0.25">
      <c r="A959">
        <v>96</v>
      </c>
      <c r="B959">
        <v>150315155</v>
      </c>
      <c r="C959" t="s">
        <v>909</v>
      </c>
      <c r="D959" t="s">
        <v>1</v>
      </c>
      <c r="E959" t="s">
        <v>2</v>
      </c>
      <c r="F959">
        <v>50000000</v>
      </c>
      <c r="G959">
        <v>2015</v>
      </c>
      <c r="H959">
        <v>6.1</v>
      </c>
    </row>
    <row r="960" spans="1:8" x14ac:dyDescent="0.25">
      <c r="A960">
        <v>125</v>
      </c>
      <c r="B960">
        <v>127997349</v>
      </c>
      <c r="C960" t="s">
        <v>910</v>
      </c>
      <c r="D960" t="s">
        <v>1</v>
      </c>
      <c r="E960" t="s">
        <v>2</v>
      </c>
      <c r="F960">
        <v>50000000</v>
      </c>
      <c r="G960">
        <v>2014</v>
      </c>
      <c r="H960">
        <v>6</v>
      </c>
    </row>
    <row r="961" spans="1:8" x14ac:dyDescent="0.25">
      <c r="A961">
        <v>90</v>
      </c>
      <c r="B961">
        <v>81517441</v>
      </c>
      <c r="C961" t="s">
        <v>912</v>
      </c>
      <c r="D961" t="s">
        <v>1</v>
      </c>
      <c r="E961" t="s">
        <v>2</v>
      </c>
      <c r="F961">
        <v>50000000</v>
      </c>
      <c r="G961">
        <v>1999</v>
      </c>
      <c r="H961">
        <v>7.1</v>
      </c>
    </row>
    <row r="962" spans="1:8" x14ac:dyDescent="0.25">
      <c r="A962">
        <v>109</v>
      </c>
      <c r="B962">
        <v>81022333</v>
      </c>
      <c r="C962" t="s">
        <v>913</v>
      </c>
      <c r="D962" t="s">
        <v>1</v>
      </c>
      <c r="E962" t="s">
        <v>2</v>
      </c>
      <c r="F962">
        <v>50000000</v>
      </c>
      <c r="G962">
        <v>1995</v>
      </c>
      <c r="H962">
        <v>5</v>
      </c>
    </row>
    <row r="963" spans="1:8" x14ac:dyDescent="0.25">
      <c r="A963">
        <v>121</v>
      </c>
      <c r="B963">
        <v>79948113</v>
      </c>
      <c r="C963" t="s">
        <v>914</v>
      </c>
      <c r="D963" t="s">
        <v>1</v>
      </c>
      <c r="E963" t="s">
        <v>2</v>
      </c>
      <c r="F963">
        <v>50000000</v>
      </c>
      <c r="G963">
        <v>2009</v>
      </c>
      <c r="H963">
        <v>6.2</v>
      </c>
    </row>
    <row r="964" spans="1:8" x14ac:dyDescent="0.25">
      <c r="A964">
        <v>95</v>
      </c>
      <c r="B964">
        <v>88658172</v>
      </c>
      <c r="C964" t="s">
        <v>915</v>
      </c>
      <c r="D964" t="s">
        <v>1</v>
      </c>
      <c r="E964" t="s">
        <v>2</v>
      </c>
      <c r="F964">
        <v>50000000</v>
      </c>
      <c r="G964">
        <v>2006</v>
      </c>
      <c r="H964">
        <v>5.6</v>
      </c>
    </row>
    <row r="965" spans="1:8" x14ac:dyDescent="0.25">
      <c r="A965">
        <v>118</v>
      </c>
      <c r="B965">
        <v>84244877</v>
      </c>
      <c r="C965" t="s">
        <v>916</v>
      </c>
      <c r="D965" t="s">
        <v>1</v>
      </c>
      <c r="E965" t="s">
        <v>2</v>
      </c>
      <c r="F965">
        <v>50000000</v>
      </c>
      <c r="G965">
        <v>2011</v>
      </c>
      <c r="H965">
        <v>7.4</v>
      </c>
    </row>
    <row r="966" spans="1:8" x14ac:dyDescent="0.25">
      <c r="A966">
        <v>133</v>
      </c>
      <c r="B966">
        <v>75605492</v>
      </c>
      <c r="C966" t="s">
        <v>919</v>
      </c>
      <c r="D966" t="s">
        <v>1</v>
      </c>
      <c r="E966" t="s">
        <v>2</v>
      </c>
      <c r="F966">
        <v>50000000</v>
      </c>
      <c r="G966">
        <v>2011</v>
      </c>
      <c r="H966">
        <v>7.6</v>
      </c>
    </row>
    <row r="967" spans="1:8" x14ac:dyDescent="0.25">
      <c r="A967">
        <v>127</v>
      </c>
      <c r="B967">
        <v>67823573</v>
      </c>
      <c r="C967" t="s">
        <v>920</v>
      </c>
      <c r="D967" t="s">
        <v>1</v>
      </c>
      <c r="E967" t="s">
        <v>2</v>
      </c>
      <c r="F967">
        <v>50000000</v>
      </c>
      <c r="G967">
        <v>1995</v>
      </c>
      <c r="H967">
        <v>6.6</v>
      </c>
    </row>
    <row r="968" spans="1:8" x14ac:dyDescent="0.25">
      <c r="A968">
        <v>106</v>
      </c>
      <c r="B968">
        <v>91439400</v>
      </c>
      <c r="C968" t="s">
        <v>921</v>
      </c>
      <c r="D968" t="s">
        <v>1</v>
      </c>
      <c r="E968" t="s">
        <v>5</v>
      </c>
      <c r="F968">
        <v>50000000</v>
      </c>
      <c r="G968">
        <v>2014</v>
      </c>
      <c r="H968">
        <v>7</v>
      </c>
    </row>
    <row r="969" spans="1:8" x14ac:dyDescent="0.25">
      <c r="A969">
        <v>114</v>
      </c>
      <c r="B969">
        <v>60470220</v>
      </c>
      <c r="C969" t="s">
        <v>924</v>
      </c>
      <c r="D969" t="s">
        <v>1</v>
      </c>
      <c r="E969" t="s">
        <v>2</v>
      </c>
      <c r="F969">
        <v>50000000</v>
      </c>
      <c r="G969">
        <v>2003</v>
      </c>
      <c r="H969">
        <v>6.2</v>
      </c>
    </row>
    <row r="970" spans="1:8" x14ac:dyDescent="0.25">
      <c r="A970">
        <v>78</v>
      </c>
      <c r="B970">
        <v>58336565</v>
      </c>
      <c r="C970" t="s">
        <v>925</v>
      </c>
      <c r="D970" t="s">
        <v>1</v>
      </c>
      <c r="E970" t="s">
        <v>2</v>
      </c>
      <c r="F970">
        <v>50000000</v>
      </c>
      <c r="G970">
        <v>2006</v>
      </c>
      <c r="H970">
        <v>6.6</v>
      </c>
    </row>
    <row r="971" spans="1:8" x14ac:dyDescent="0.25">
      <c r="A971">
        <v>101</v>
      </c>
      <c r="B971">
        <v>66002004</v>
      </c>
      <c r="C971" t="s">
        <v>926</v>
      </c>
      <c r="D971" t="s">
        <v>1</v>
      </c>
      <c r="E971" t="s">
        <v>2</v>
      </c>
      <c r="F971">
        <v>50000000</v>
      </c>
      <c r="G971">
        <v>2005</v>
      </c>
      <c r="H971">
        <v>4.7</v>
      </c>
    </row>
    <row r="972" spans="1:8" x14ac:dyDescent="0.25">
      <c r="A972">
        <v>113</v>
      </c>
      <c r="B972">
        <v>54997476</v>
      </c>
      <c r="C972" t="s">
        <v>927</v>
      </c>
      <c r="D972" t="s">
        <v>1</v>
      </c>
      <c r="E972" t="s">
        <v>2</v>
      </c>
      <c r="F972">
        <v>50000000</v>
      </c>
      <c r="G972">
        <v>2001</v>
      </c>
      <c r="H972">
        <v>6.3</v>
      </c>
    </row>
    <row r="973" spans="1:8" x14ac:dyDescent="0.25">
      <c r="A973">
        <v>98</v>
      </c>
      <c r="B973">
        <v>55682070</v>
      </c>
      <c r="C973" t="s">
        <v>928</v>
      </c>
      <c r="D973" t="s">
        <v>1</v>
      </c>
      <c r="E973" t="s">
        <v>119</v>
      </c>
      <c r="F973">
        <v>50000000</v>
      </c>
      <c r="G973">
        <v>2013</v>
      </c>
      <c r="H973">
        <v>6.1</v>
      </c>
    </row>
    <row r="974" spans="1:8" x14ac:dyDescent="0.25">
      <c r="A974">
        <v>124</v>
      </c>
      <c r="B974">
        <v>52752475</v>
      </c>
      <c r="C974" t="s">
        <v>929</v>
      </c>
      <c r="D974" t="s">
        <v>1</v>
      </c>
      <c r="E974" t="s">
        <v>2</v>
      </c>
      <c r="F974">
        <v>50000000</v>
      </c>
      <c r="G974">
        <v>2002</v>
      </c>
      <c r="H974">
        <v>6.7</v>
      </c>
    </row>
    <row r="975" spans="1:8" x14ac:dyDescent="0.25">
      <c r="A975">
        <v>128</v>
      </c>
      <c r="B975">
        <v>50815288</v>
      </c>
      <c r="C975" t="s">
        <v>931</v>
      </c>
      <c r="D975" t="s">
        <v>1</v>
      </c>
      <c r="E975" t="s">
        <v>2</v>
      </c>
      <c r="F975">
        <v>50000000</v>
      </c>
      <c r="G975">
        <v>2005</v>
      </c>
      <c r="H975">
        <v>7</v>
      </c>
    </row>
    <row r="976" spans="1:8" x14ac:dyDescent="0.25">
      <c r="A976">
        <v>144</v>
      </c>
      <c r="B976">
        <v>52822418</v>
      </c>
      <c r="C976" t="s">
        <v>932</v>
      </c>
      <c r="D976" t="s">
        <v>1</v>
      </c>
      <c r="E976" t="s">
        <v>2</v>
      </c>
      <c r="F976">
        <v>50000000</v>
      </c>
      <c r="G976">
        <v>2016</v>
      </c>
      <c r="H976">
        <v>7.4</v>
      </c>
    </row>
    <row r="977" spans="1:8" x14ac:dyDescent="0.25">
      <c r="A977">
        <v>95</v>
      </c>
      <c r="B977">
        <v>50150619</v>
      </c>
      <c r="C977" t="s">
        <v>933</v>
      </c>
      <c r="D977" t="s">
        <v>1</v>
      </c>
      <c r="E977" t="s">
        <v>2</v>
      </c>
      <c r="F977">
        <v>50000000</v>
      </c>
      <c r="G977">
        <v>2014</v>
      </c>
      <c r="H977">
        <v>7.3</v>
      </c>
    </row>
    <row r="978" spans="1:8" x14ac:dyDescent="0.25">
      <c r="A978">
        <v>105</v>
      </c>
      <c r="B978">
        <v>48745150</v>
      </c>
      <c r="C978" t="s">
        <v>934</v>
      </c>
      <c r="D978" t="s">
        <v>1</v>
      </c>
      <c r="E978" t="s">
        <v>2</v>
      </c>
      <c r="F978">
        <v>50000000</v>
      </c>
      <c r="G978">
        <v>2006</v>
      </c>
      <c r="H978">
        <v>5.8</v>
      </c>
    </row>
    <row r="979" spans="1:8" x14ac:dyDescent="0.25">
      <c r="A979">
        <v>121</v>
      </c>
      <c r="B979">
        <v>50007168</v>
      </c>
      <c r="C979" t="s">
        <v>935</v>
      </c>
      <c r="D979" t="s">
        <v>1</v>
      </c>
      <c r="E979" t="s">
        <v>2</v>
      </c>
      <c r="F979">
        <v>50000000</v>
      </c>
      <c r="G979">
        <v>1997</v>
      </c>
      <c r="H979">
        <v>6.7</v>
      </c>
    </row>
    <row r="980" spans="1:8" x14ac:dyDescent="0.25">
      <c r="A980">
        <v>125</v>
      </c>
      <c r="B980">
        <v>48154732</v>
      </c>
      <c r="C980" t="s">
        <v>936</v>
      </c>
      <c r="D980" t="s">
        <v>1</v>
      </c>
      <c r="E980" t="s">
        <v>2</v>
      </c>
      <c r="F980">
        <v>50000000</v>
      </c>
      <c r="G980">
        <v>1997</v>
      </c>
      <c r="H980">
        <v>5.8</v>
      </c>
    </row>
    <row r="981" spans="1:8" x14ac:dyDescent="0.25">
      <c r="A981">
        <v>129</v>
      </c>
      <c r="B981">
        <v>48265581</v>
      </c>
      <c r="C981" t="s">
        <v>937</v>
      </c>
      <c r="D981" t="s">
        <v>1</v>
      </c>
      <c r="E981" t="s">
        <v>2</v>
      </c>
      <c r="F981">
        <v>50000000</v>
      </c>
      <c r="G981">
        <v>1997</v>
      </c>
      <c r="H981">
        <v>7.8</v>
      </c>
    </row>
    <row r="982" spans="1:8" x14ac:dyDescent="0.25">
      <c r="A982">
        <v>132</v>
      </c>
      <c r="B982">
        <v>46982632</v>
      </c>
      <c r="C982" t="s">
        <v>938</v>
      </c>
      <c r="D982" t="s">
        <v>1</v>
      </c>
      <c r="E982" t="s">
        <v>38</v>
      </c>
      <c r="F982">
        <v>50000000</v>
      </c>
      <c r="G982">
        <v>2006</v>
      </c>
      <c r="H982">
        <v>6.6</v>
      </c>
    </row>
    <row r="983" spans="1:8" x14ac:dyDescent="0.25">
      <c r="A983">
        <v>118</v>
      </c>
      <c r="B983">
        <v>44737059</v>
      </c>
      <c r="C983" t="s">
        <v>939</v>
      </c>
      <c r="D983" t="s">
        <v>1</v>
      </c>
      <c r="E983" t="s">
        <v>2</v>
      </c>
      <c r="F983">
        <v>50000000</v>
      </c>
      <c r="G983">
        <v>2000</v>
      </c>
      <c r="H983">
        <v>6.5</v>
      </c>
    </row>
    <row r="984" spans="1:8" x14ac:dyDescent="0.25">
      <c r="A984">
        <v>113</v>
      </c>
      <c r="B984">
        <v>56724080</v>
      </c>
      <c r="C984" t="s">
        <v>940</v>
      </c>
      <c r="D984" t="s">
        <v>1</v>
      </c>
      <c r="E984" t="s">
        <v>2</v>
      </c>
      <c r="F984">
        <v>50000000</v>
      </c>
      <c r="G984">
        <v>2012</v>
      </c>
      <c r="H984">
        <v>6.7</v>
      </c>
    </row>
    <row r="985" spans="1:8" x14ac:dyDescent="0.25">
      <c r="A985">
        <v>140</v>
      </c>
      <c r="B985">
        <v>44484065</v>
      </c>
      <c r="C985" t="s">
        <v>941</v>
      </c>
      <c r="D985" t="s">
        <v>1</v>
      </c>
      <c r="E985" t="s">
        <v>119</v>
      </c>
      <c r="F985">
        <v>50000000</v>
      </c>
      <c r="G985">
        <v>1998</v>
      </c>
      <c r="H985">
        <v>7.3</v>
      </c>
    </row>
    <row r="986" spans="1:8" x14ac:dyDescent="0.25">
      <c r="A986">
        <v>89</v>
      </c>
      <c r="B986">
        <v>47553512</v>
      </c>
      <c r="C986" t="s">
        <v>942</v>
      </c>
      <c r="D986" t="s">
        <v>1</v>
      </c>
      <c r="E986" t="s">
        <v>2</v>
      </c>
      <c r="F986">
        <v>50000000</v>
      </c>
      <c r="G986">
        <v>2014</v>
      </c>
      <c r="H986">
        <v>5.8</v>
      </c>
    </row>
    <row r="987" spans="1:8" x14ac:dyDescent="0.25">
      <c r="A987">
        <v>106</v>
      </c>
      <c r="B987">
        <v>41482207</v>
      </c>
      <c r="C987" t="s">
        <v>944</v>
      </c>
      <c r="D987" t="s">
        <v>1</v>
      </c>
      <c r="E987" t="s">
        <v>2</v>
      </c>
      <c r="F987">
        <v>50000000</v>
      </c>
      <c r="G987">
        <v>1990</v>
      </c>
      <c r="H987">
        <v>6.3</v>
      </c>
    </row>
    <row r="988" spans="1:8" x14ac:dyDescent="0.25">
      <c r="A988">
        <v>141</v>
      </c>
      <c r="B988">
        <v>47105085</v>
      </c>
      <c r="C988" t="s">
        <v>945</v>
      </c>
      <c r="D988" t="s">
        <v>1</v>
      </c>
      <c r="E988" t="s">
        <v>2</v>
      </c>
      <c r="F988">
        <v>50000000</v>
      </c>
      <c r="G988">
        <v>2014</v>
      </c>
      <c r="H988">
        <v>7.4</v>
      </c>
    </row>
    <row r="989" spans="1:8" x14ac:dyDescent="0.25">
      <c r="A989">
        <v>124</v>
      </c>
      <c r="B989">
        <v>41256277</v>
      </c>
      <c r="C989" t="s">
        <v>946</v>
      </c>
      <c r="D989" t="s">
        <v>1</v>
      </c>
      <c r="E989" t="s">
        <v>2</v>
      </c>
      <c r="F989">
        <v>50000000</v>
      </c>
      <c r="G989">
        <v>1997</v>
      </c>
      <c r="H989">
        <v>5.9</v>
      </c>
    </row>
    <row r="990" spans="1:8" x14ac:dyDescent="0.25">
      <c r="A990">
        <v>114</v>
      </c>
      <c r="B990">
        <v>40905277</v>
      </c>
      <c r="C990" t="s">
        <v>949</v>
      </c>
      <c r="D990" t="s">
        <v>1</v>
      </c>
      <c r="E990" t="s">
        <v>2</v>
      </c>
      <c r="F990">
        <v>50000000</v>
      </c>
      <c r="G990">
        <v>2003</v>
      </c>
      <c r="H990">
        <v>6.5</v>
      </c>
    </row>
    <row r="991" spans="1:8" x14ac:dyDescent="0.25">
      <c r="A991">
        <v>101</v>
      </c>
      <c r="B991">
        <v>38590500</v>
      </c>
      <c r="C991" t="s">
        <v>950</v>
      </c>
      <c r="D991" t="s">
        <v>1</v>
      </c>
      <c r="E991" t="s">
        <v>2</v>
      </c>
      <c r="F991">
        <v>50000000</v>
      </c>
      <c r="G991">
        <v>1994</v>
      </c>
      <c r="H991">
        <v>4.4000000000000004</v>
      </c>
    </row>
    <row r="992" spans="1:8" x14ac:dyDescent="0.25">
      <c r="A992">
        <v>93</v>
      </c>
      <c r="B992">
        <v>39177541</v>
      </c>
      <c r="C992" t="s">
        <v>951</v>
      </c>
      <c r="D992" t="s">
        <v>1</v>
      </c>
      <c r="E992" t="s">
        <v>2</v>
      </c>
      <c r="F992">
        <v>50000000</v>
      </c>
      <c r="G992">
        <v>2005</v>
      </c>
      <c r="H992">
        <v>3.5</v>
      </c>
    </row>
    <row r="993" spans="1:8" x14ac:dyDescent="0.25">
      <c r="A993">
        <v>119</v>
      </c>
      <c r="B993">
        <v>39778599</v>
      </c>
      <c r="C993" t="s">
        <v>952</v>
      </c>
      <c r="D993" t="s">
        <v>1</v>
      </c>
      <c r="E993" t="s">
        <v>2</v>
      </c>
      <c r="F993">
        <v>50000000</v>
      </c>
      <c r="G993">
        <v>2000</v>
      </c>
      <c r="H993">
        <v>6.6</v>
      </c>
    </row>
    <row r="994" spans="1:8" x14ac:dyDescent="0.25">
      <c r="A994">
        <v>119</v>
      </c>
      <c r="B994">
        <v>37486138</v>
      </c>
      <c r="C994" t="s">
        <v>953</v>
      </c>
      <c r="D994" t="s">
        <v>1</v>
      </c>
      <c r="E994" t="s">
        <v>2</v>
      </c>
      <c r="F994">
        <v>50000000</v>
      </c>
      <c r="G994">
        <v>2004</v>
      </c>
      <c r="H994">
        <v>6</v>
      </c>
    </row>
    <row r="995" spans="1:8" x14ac:dyDescent="0.25">
      <c r="A995">
        <v>137</v>
      </c>
      <c r="B995">
        <v>35168395</v>
      </c>
      <c r="C995" t="s">
        <v>955</v>
      </c>
      <c r="D995" t="s">
        <v>1</v>
      </c>
      <c r="E995" t="s">
        <v>2</v>
      </c>
      <c r="F995">
        <v>50000000</v>
      </c>
      <c r="G995">
        <v>1999</v>
      </c>
      <c r="H995">
        <v>6.5</v>
      </c>
    </row>
    <row r="996" spans="1:8" x14ac:dyDescent="0.25">
      <c r="A996">
        <v>87</v>
      </c>
      <c r="B996">
        <v>33643461</v>
      </c>
      <c r="C996" t="s">
        <v>957</v>
      </c>
      <c r="D996" t="s">
        <v>1</v>
      </c>
      <c r="E996" t="s">
        <v>2</v>
      </c>
      <c r="F996">
        <v>50000000</v>
      </c>
      <c r="G996">
        <v>2010</v>
      </c>
      <c r="H996">
        <v>4.2</v>
      </c>
    </row>
    <row r="997" spans="1:8" x14ac:dyDescent="0.25">
      <c r="A997">
        <v>129</v>
      </c>
      <c r="B997">
        <v>32741596</v>
      </c>
      <c r="C997" t="s">
        <v>958</v>
      </c>
      <c r="D997" t="s">
        <v>1</v>
      </c>
      <c r="E997" t="s">
        <v>2</v>
      </c>
      <c r="F997">
        <v>50000000</v>
      </c>
      <c r="G997">
        <v>2010</v>
      </c>
      <c r="H997">
        <v>6.5</v>
      </c>
    </row>
    <row r="998" spans="1:8" x14ac:dyDescent="0.25">
      <c r="A998">
        <v>115</v>
      </c>
      <c r="B998">
        <v>31874869</v>
      </c>
      <c r="C998" t="s">
        <v>959</v>
      </c>
      <c r="D998" t="s">
        <v>1</v>
      </c>
      <c r="E998" t="s">
        <v>2</v>
      </c>
      <c r="F998">
        <v>50000000</v>
      </c>
      <c r="G998">
        <v>2002</v>
      </c>
      <c r="H998">
        <v>6.1</v>
      </c>
    </row>
    <row r="999" spans="1:8" x14ac:dyDescent="0.25">
      <c r="A999">
        <v>132</v>
      </c>
      <c r="B999">
        <v>30306268</v>
      </c>
      <c r="C999" t="s">
        <v>960</v>
      </c>
      <c r="D999" t="s">
        <v>1</v>
      </c>
      <c r="E999" t="s">
        <v>244</v>
      </c>
      <c r="F999">
        <v>50000000</v>
      </c>
      <c r="G999">
        <v>1995</v>
      </c>
      <c r="H999">
        <v>6.3</v>
      </c>
    </row>
    <row r="1000" spans="1:8" x14ac:dyDescent="0.25">
      <c r="A1000">
        <v>131</v>
      </c>
      <c r="B1000">
        <v>27667947</v>
      </c>
      <c r="C1000" t="s">
        <v>961</v>
      </c>
      <c r="D1000" t="s">
        <v>1</v>
      </c>
      <c r="E1000" t="s">
        <v>5</v>
      </c>
      <c r="F1000">
        <v>50000000</v>
      </c>
      <c r="G1000">
        <v>2007</v>
      </c>
      <c r="H1000">
        <v>6.2</v>
      </c>
    </row>
    <row r="1001" spans="1:8" x14ac:dyDescent="0.25">
      <c r="A1001">
        <v>95</v>
      </c>
      <c r="B1001">
        <v>27067160</v>
      </c>
      <c r="C1001" t="s">
        <v>962</v>
      </c>
      <c r="D1001" t="s">
        <v>1</v>
      </c>
      <c r="E1001" t="s">
        <v>2</v>
      </c>
      <c r="F1001">
        <v>50000000</v>
      </c>
      <c r="G1001">
        <v>1999</v>
      </c>
      <c r="H1001">
        <v>5.9</v>
      </c>
    </row>
    <row r="1002" spans="1:8" x14ac:dyDescent="0.25">
      <c r="A1002">
        <v>98</v>
      </c>
      <c r="B1002">
        <v>26536120</v>
      </c>
      <c r="C1002" t="s">
        <v>964</v>
      </c>
      <c r="D1002" t="s">
        <v>1</v>
      </c>
      <c r="E1002" t="s">
        <v>119</v>
      </c>
      <c r="F1002">
        <v>50000000</v>
      </c>
      <c r="G1002">
        <v>2003</v>
      </c>
      <c r="H1002">
        <v>6.5</v>
      </c>
    </row>
    <row r="1003" spans="1:8" x14ac:dyDescent="0.25">
      <c r="A1003">
        <v>110</v>
      </c>
      <c r="B1003">
        <v>26199517</v>
      </c>
      <c r="C1003" t="s">
        <v>965</v>
      </c>
      <c r="D1003" t="s">
        <v>1</v>
      </c>
      <c r="E1003" t="s">
        <v>2</v>
      </c>
      <c r="F1003">
        <v>50000000</v>
      </c>
      <c r="G1003">
        <v>2002</v>
      </c>
      <c r="H1003">
        <v>6.4</v>
      </c>
    </row>
    <row r="1004" spans="1:8" x14ac:dyDescent="0.25">
      <c r="A1004">
        <v>118</v>
      </c>
      <c r="B1004">
        <v>25450527</v>
      </c>
      <c r="C1004" t="s">
        <v>966</v>
      </c>
      <c r="D1004" t="s">
        <v>1</v>
      </c>
      <c r="E1004" t="s">
        <v>2</v>
      </c>
      <c r="F1004">
        <v>50000000</v>
      </c>
      <c r="G1004">
        <v>2009</v>
      </c>
      <c r="H1004">
        <v>6.5</v>
      </c>
    </row>
    <row r="1005" spans="1:8" x14ac:dyDescent="0.25">
      <c r="A1005">
        <v>101</v>
      </c>
      <c r="B1005">
        <v>25407250</v>
      </c>
      <c r="C1005" t="s">
        <v>967</v>
      </c>
      <c r="D1005" t="s">
        <v>1</v>
      </c>
      <c r="E1005" t="s">
        <v>2</v>
      </c>
      <c r="F1005">
        <v>50000000</v>
      </c>
      <c r="G1005">
        <v>1996</v>
      </c>
      <c r="H1005">
        <v>5.7</v>
      </c>
    </row>
    <row r="1006" spans="1:8" x14ac:dyDescent="0.25">
      <c r="A1006">
        <v>119</v>
      </c>
      <c r="B1006">
        <v>24006726</v>
      </c>
      <c r="C1006" t="s">
        <v>969</v>
      </c>
      <c r="D1006" t="s">
        <v>1</v>
      </c>
      <c r="E1006" t="s">
        <v>2</v>
      </c>
      <c r="F1006">
        <v>50000000</v>
      </c>
      <c r="G1006">
        <v>2004</v>
      </c>
      <c r="H1006">
        <v>7.3</v>
      </c>
    </row>
    <row r="1007" spans="1:8" x14ac:dyDescent="0.25">
      <c r="A1007">
        <v>139</v>
      </c>
      <c r="B1007">
        <v>20389967</v>
      </c>
      <c r="C1007" t="s">
        <v>970</v>
      </c>
      <c r="D1007" t="s">
        <v>1</v>
      </c>
      <c r="E1007" t="s">
        <v>2</v>
      </c>
      <c r="F1007">
        <v>50000000</v>
      </c>
      <c r="G1007">
        <v>2016</v>
      </c>
      <c r="H1007">
        <v>6.7</v>
      </c>
    </row>
    <row r="1008" spans="1:8" x14ac:dyDescent="0.25">
      <c r="A1008">
        <v>130</v>
      </c>
      <c r="B1008">
        <v>19593740</v>
      </c>
      <c r="C1008" t="s">
        <v>971</v>
      </c>
      <c r="D1008" t="s">
        <v>1</v>
      </c>
      <c r="E1008" t="s">
        <v>2</v>
      </c>
      <c r="F1008">
        <v>50000000</v>
      </c>
      <c r="G1008">
        <v>2003</v>
      </c>
      <c r="H1008">
        <v>7.5</v>
      </c>
    </row>
    <row r="1009" spans="1:8" x14ac:dyDescent="0.25">
      <c r="A1009">
        <v>114</v>
      </c>
      <c r="B1009">
        <v>26442251</v>
      </c>
      <c r="C1009" t="s">
        <v>973</v>
      </c>
      <c r="D1009" t="s">
        <v>1</v>
      </c>
      <c r="E1009" t="s">
        <v>2</v>
      </c>
      <c r="F1009">
        <v>50000000</v>
      </c>
      <c r="G1009">
        <v>2015</v>
      </c>
      <c r="H1009">
        <v>6.6</v>
      </c>
    </row>
    <row r="1010" spans="1:8" x14ac:dyDescent="0.25">
      <c r="A1010">
        <v>110</v>
      </c>
      <c r="B1010">
        <v>18472363</v>
      </c>
      <c r="C1010" t="s">
        <v>975</v>
      </c>
      <c r="D1010" t="s">
        <v>1</v>
      </c>
      <c r="E1010" t="s">
        <v>2</v>
      </c>
      <c r="F1010">
        <v>50000000</v>
      </c>
      <c r="G1010">
        <v>2005</v>
      </c>
      <c r="H1010">
        <v>5.8</v>
      </c>
    </row>
    <row r="1011" spans="1:8" x14ac:dyDescent="0.25">
      <c r="A1011">
        <v>115</v>
      </c>
      <c r="B1011">
        <v>10556196</v>
      </c>
      <c r="C1011" t="s">
        <v>979</v>
      </c>
      <c r="D1011" t="s">
        <v>1</v>
      </c>
      <c r="E1011" t="s">
        <v>2</v>
      </c>
      <c r="F1011">
        <v>50000000</v>
      </c>
      <c r="G1011">
        <v>1997</v>
      </c>
      <c r="H1011">
        <v>6.2</v>
      </c>
    </row>
    <row r="1012" spans="1:8" x14ac:dyDescent="0.25">
      <c r="A1012">
        <v>99</v>
      </c>
      <c r="B1012">
        <v>16671505</v>
      </c>
      <c r="C1012" t="s">
        <v>980</v>
      </c>
      <c r="D1012" t="s">
        <v>1</v>
      </c>
      <c r="E1012" t="s">
        <v>2</v>
      </c>
      <c r="F1012">
        <v>50000000</v>
      </c>
      <c r="G1012">
        <v>1994</v>
      </c>
      <c r="H1012">
        <v>5.9</v>
      </c>
    </row>
    <row r="1013" spans="1:8" x14ac:dyDescent="0.25">
      <c r="A1013">
        <v>135</v>
      </c>
      <c r="B1013">
        <v>10400000</v>
      </c>
      <c r="C1013" t="s">
        <v>981</v>
      </c>
      <c r="D1013" t="s">
        <v>1</v>
      </c>
      <c r="E1013" t="s">
        <v>2</v>
      </c>
      <c r="F1013">
        <v>50000000</v>
      </c>
      <c r="G1013">
        <v>1995</v>
      </c>
      <c r="H1013">
        <v>5.0999999999999996</v>
      </c>
    </row>
    <row r="1014" spans="1:8" x14ac:dyDescent="0.25">
      <c r="A1014">
        <v>127</v>
      </c>
      <c r="B1014">
        <v>10137232</v>
      </c>
      <c r="C1014" t="s">
        <v>983</v>
      </c>
      <c r="D1014" t="s">
        <v>1</v>
      </c>
      <c r="E1014" t="s">
        <v>244</v>
      </c>
      <c r="F1014">
        <v>50000000</v>
      </c>
      <c r="G1014">
        <v>2005</v>
      </c>
      <c r="H1014">
        <v>6</v>
      </c>
    </row>
    <row r="1015" spans="1:8" x14ac:dyDescent="0.25">
      <c r="A1015">
        <v>107</v>
      </c>
      <c r="B1015">
        <v>9795017</v>
      </c>
      <c r="C1015" t="s">
        <v>984</v>
      </c>
      <c r="D1015" t="s">
        <v>1</v>
      </c>
      <c r="E1015" t="s">
        <v>2</v>
      </c>
      <c r="F1015">
        <v>50000000</v>
      </c>
      <c r="G1015">
        <v>1995</v>
      </c>
      <c r="H1015">
        <v>5.0999999999999996</v>
      </c>
    </row>
    <row r="1016" spans="1:8" x14ac:dyDescent="0.25">
      <c r="A1016">
        <v>95</v>
      </c>
      <c r="B1016">
        <v>20488579</v>
      </c>
      <c r="C1016" t="s">
        <v>985</v>
      </c>
      <c r="D1016" t="s">
        <v>1</v>
      </c>
      <c r="E1016" t="s">
        <v>2</v>
      </c>
      <c r="F1016">
        <v>50000000</v>
      </c>
      <c r="G1016">
        <v>2009</v>
      </c>
      <c r="H1016">
        <v>5.8</v>
      </c>
    </row>
    <row r="1017" spans="1:8" x14ac:dyDescent="0.25">
      <c r="A1017">
        <v>102</v>
      </c>
      <c r="B1017">
        <v>28837115</v>
      </c>
      <c r="C1017" t="s">
        <v>988</v>
      </c>
      <c r="D1017" t="s">
        <v>1</v>
      </c>
      <c r="E1017" t="s">
        <v>2</v>
      </c>
      <c r="F1017">
        <v>50000000</v>
      </c>
      <c r="G1017">
        <v>2016</v>
      </c>
      <c r="H1017">
        <v>4.8</v>
      </c>
    </row>
    <row r="1018" spans="1:8" x14ac:dyDescent="0.25">
      <c r="A1018">
        <v>88</v>
      </c>
      <c r="B1018">
        <v>6471394</v>
      </c>
      <c r="C1018" t="s">
        <v>989</v>
      </c>
      <c r="D1018" t="s">
        <v>1</v>
      </c>
      <c r="E1018" t="s">
        <v>2</v>
      </c>
      <c r="F1018">
        <v>50000000</v>
      </c>
      <c r="G1018">
        <v>2004</v>
      </c>
      <c r="H1018">
        <v>4.9000000000000004</v>
      </c>
    </row>
    <row r="1019" spans="1:8" x14ac:dyDescent="0.25">
      <c r="A1019">
        <v>87</v>
      </c>
      <c r="B1019">
        <v>6291602</v>
      </c>
      <c r="C1019" t="s">
        <v>990</v>
      </c>
      <c r="D1019" t="s">
        <v>1</v>
      </c>
      <c r="E1019" t="s">
        <v>2</v>
      </c>
      <c r="F1019">
        <v>50000000</v>
      </c>
      <c r="G1019">
        <v>2000</v>
      </c>
      <c r="H1019">
        <v>5.6</v>
      </c>
    </row>
    <row r="1020" spans="1:8" x14ac:dyDescent="0.25">
      <c r="A1020">
        <v>104</v>
      </c>
      <c r="B1020">
        <v>10706786</v>
      </c>
      <c r="C1020" t="s">
        <v>991</v>
      </c>
      <c r="D1020" t="s">
        <v>1</v>
      </c>
      <c r="E1020" t="s">
        <v>2</v>
      </c>
      <c r="F1020">
        <v>50000000</v>
      </c>
      <c r="G1020">
        <v>2011</v>
      </c>
      <c r="H1020">
        <v>5.5</v>
      </c>
    </row>
    <row r="1021" spans="1:8" x14ac:dyDescent="0.25">
      <c r="A1021">
        <v>137</v>
      </c>
      <c r="B1021">
        <v>1206135</v>
      </c>
      <c r="C1021" t="s">
        <v>1001</v>
      </c>
      <c r="D1021" t="s">
        <v>1</v>
      </c>
      <c r="E1021" t="s">
        <v>1002</v>
      </c>
      <c r="F1021">
        <v>50000000</v>
      </c>
      <c r="G1021">
        <v>2015</v>
      </c>
      <c r="H1021">
        <v>6.4</v>
      </c>
    </row>
    <row r="1022" spans="1:8" x14ac:dyDescent="0.25">
      <c r="A1022">
        <v>109</v>
      </c>
      <c r="B1022">
        <v>51019112</v>
      </c>
      <c r="C1022" t="s">
        <v>1057</v>
      </c>
      <c r="D1022" t="s">
        <v>1</v>
      </c>
      <c r="E1022" t="s">
        <v>2</v>
      </c>
      <c r="F1022">
        <v>50000000</v>
      </c>
      <c r="G1022">
        <v>2005</v>
      </c>
      <c r="H1022">
        <v>6.8</v>
      </c>
    </row>
    <row r="1023" spans="1:8" x14ac:dyDescent="0.25">
      <c r="A1023">
        <v>88</v>
      </c>
      <c r="B1023">
        <v>28133159</v>
      </c>
      <c r="C1023" t="s">
        <v>1067</v>
      </c>
      <c r="D1023" t="s">
        <v>1</v>
      </c>
      <c r="E1023" t="s">
        <v>2</v>
      </c>
      <c r="F1023">
        <v>50000000</v>
      </c>
      <c r="G1023">
        <v>2006</v>
      </c>
      <c r="H1023">
        <v>5.9</v>
      </c>
    </row>
    <row r="1024" spans="1:8" x14ac:dyDescent="0.25">
      <c r="A1024">
        <v>212</v>
      </c>
      <c r="B1024">
        <v>13560960</v>
      </c>
      <c r="C1024" t="s">
        <v>1080</v>
      </c>
      <c r="D1024" t="s">
        <v>1</v>
      </c>
      <c r="E1024" t="s">
        <v>2</v>
      </c>
      <c r="F1024">
        <v>50000000</v>
      </c>
      <c r="G1024">
        <v>1995</v>
      </c>
      <c r="H1024">
        <v>7.1</v>
      </c>
    </row>
    <row r="1025" spans="1:8" x14ac:dyDescent="0.25">
      <c r="A1025">
        <v>102</v>
      </c>
      <c r="B1025">
        <v>62318875</v>
      </c>
      <c r="C1025" t="s">
        <v>1098</v>
      </c>
      <c r="D1025" t="s">
        <v>1</v>
      </c>
      <c r="E1025" t="s">
        <v>2</v>
      </c>
      <c r="F1025">
        <v>50000000</v>
      </c>
      <c r="G1025">
        <v>2006</v>
      </c>
      <c r="H1025">
        <v>6.8</v>
      </c>
    </row>
    <row r="1026" spans="1:8" x14ac:dyDescent="0.25">
      <c r="A1026">
        <v>122</v>
      </c>
      <c r="B1026">
        <v>24127895</v>
      </c>
      <c r="C1026" t="s">
        <v>1123</v>
      </c>
      <c r="D1026" t="s">
        <v>1</v>
      </c>
      <c r="E1026" t="s">
        <v>2</v>
      </c>
      <c r="F1026">
        <v>50000000</v>
      </c>
      <c r="G1026">
        <v>2005</v>
      </c>
      <c r="H1026">
        <v>7.6</v>
      </c>
    </row>
    <row r="1027" spans="1:8" x14ac:dyDescent="0.25">
      <c r="A1027">
        <v>106</v>
      </c>
      <c r="B1027">
        <v>57887882</v>
      </c>
      <c r="C1027" t="s">
        <v>1176</v>
      </c>
      <c r="D1027" t="s">
        <v>1</v>
      </c>
      <c r="E1027" t="s">
        <v>2</v>
      </c>
      <c r="F1027">
        <v>50000000</v>
      </c>
      <c r="G1027">
        <v>2004</v>
      </c>
      <c r="H1027">
        <v>6.1</v>
      </c>
    </row>
    <row r="1028" spans="1:8" x14ac:dyDescent="0.25">
      <c r="A1028">
        <v>95</v>
      </c>
      <c r="B1028">
        <v>33422806</v>
      </c>
      <c r="C1028" t="s">
        <v>1386</v>
      </c>
      <c r="D1028" t="s">
        <v>1</v>
      </c>
      <c r="E1028" t="s">
        <v>2</v>
      </c>
      <c r="F1028">
        <v>50000000</v>
      </c>
      <c r="G1028">
        <v>2001</v>
      </c>
      <c r="H1028">
        <v>4.8</v>
      </c>
    </row>
    <row r="1029" spans="1:8" x14ac:dyDescent="0.25">
      <c r="A1029">
        <v>128</v>
      </c>
      <c r="B1029">
        <v>50815288</v>
      </c>
      <c r="C1029" t="s">
        <v>931</v>
      </c>
      <c r="D1029" t="s">
        <v>1</v>
      </c>
      <c r="E1029" t="s">
        <v>2</v>
      </c>
      <c r="F1029">
        <v>50000000</v>
      </c>
      <c r="G1029">
        <v>2005</v>
      </c>
      <c r="H1029">
        <v>7</v>
      </c>
    </row>
    <row r="1030" spans="1:8" x14ac:dyDescent="0.25">
      <c r="A1030">
        <v>102</v>
      </c>
      <c r="B1030">
        <v>23106</v>
      </c>
      <c r="C1030" t="s">
        <v>3011</v>
      </c>
      <c r="D1030" t="s">
        <v>1</v>
      </c>
      <c r="E1030" t="s">
        <v>1307</v>
      </c>
      <c r="F1030">
        <v>50000000</v>
      </c>
      <c r="G1030">
        <v>2004</v>
      </c>
      <c r="H1030">
        <v>6.6</v>
      </c>
    </row>
    <row r="1031" spans="1:8" x14ac:dyDescent="0.25">
      <c r="A1031">
        <v>107</v>
      </c>
      <c r="B1031">
        <v>700000</v>
      </c>
      <c r="C1031" t="s">
        <v>3078</v>
      </c>
      <c r="D1031" t="s">
        <v>243</v>
      </c>
      <c r="E1031" t="s">
        <v>244</v>
      </c>
      <c r="F1031">
        <v>50000000</v>
      </c>
      <c r="G1031">
        <v>1993</v>
      </c>
      <c r="H1031">
        <v>7</v>
      </c>
    </row>
    <row r="1032" spans="1:8" x14ac:dyDescent="0.25">
      <c r="A1032">
        <v>115</v>
      </c>
      <c r="B1032">
        <v>31874869</v>
      </c>
      <c r="C1032" t="s">
        <v>959</v>
      </c>
      <c r="D1032" t="s">
        <v>1</v>
      </c>
      <c r="E1032" t="s">
        <v>2</v>
      </c>
      <c r="F1032">
        <v>50000000</v>
      </c>
      <c r="G1032">
        <v>2002</v>
      </c>
      <c r="H1032">
        <v>6.1</v>
      </c>
    </row>
    <row r="1033" spans="1:8" x14ac:dyDescent="0.25">
      <c r="A1033">
        <v>102</v>
      </c>
      <c r="B1033">
        <v>21557240</v>
      </c>
      <c r="C1033" t="s">
        <v>977</v>
      </c>
      <c r="D1033" t="s">
        <v>1</v>
      </c>
      <c r="E1033" t="s">
        <v>2</v>
      </c>
      <c r="F1033">
        <v>49900000</v>
      </c>
      <c r="G1033">
        <v>2011</v>
      </c>
      <c r="H1033">
        <v>5.6</v>
      </c>
    </row>
    <row r="1034" spans="1:8" x14ac:dyDescent="0.25">
      <c r="A1034">
        <v>85</v>
      </c>
      <c r="B1034">
        <v>43905746</v>
      </c>
      <c r="C1034" t="s">
        <v>993</v>
      </c>
      <c r="D1034" t="s">
        <v>1</v>
      </c>
      <c r="E1034" t="s">
        <v>2</v>
      </c>
      <c r="F1034">
        <v>49000000</v>
      </c>
      <c r="G1034">
        <v>2001</v>
      </c>
      <c r="H1034">
        <v>5.9</v>
      </c>
    </row>
    <row r="1035" spans="1:8" x14ac:dyDescent="0.25">
      <c r="A1035">
        <v>120</v>
      </c>
      <c r="B1035">
        <v>31569268</v>
      </c>
      <c r="C1035" t="s">
        <v>997</v>
      </c>
      <c r="D1035" t="s">
        <v>1</v>
      </c>
      <c r="E1035" t="s">
        <v>2</v>
      </c>
      <c r="F1035">
        <v>49000000</v>
      </c>
      <c r="G1035">
        <v>2015</v>
      </c>
      <c r="H1035">
        <v>6.9</v>
      </c>
    </row>
    <row r="1036" spans="1:8" x14ac:dyDescent="0.25">
      <c r="A1036">
        <v>91</v>
      </c>
      <c r="B1036">
        <v>64505912</v>
      </c>
      <c r="C1036" t="s">
        <v>723</v>
      </c>
      <c r="D1036" t="s">
        <v>1</v>
      </c>
      <c r="E1036" t="s">
        <v>2</v>
      </c>
      <c r="F1036">
        <v>48000000</v>
      </c>
      <c r="G1036">
        <v>2008</v>
      </c>
      <c r="H1036">
        <v>5</v>
      </c>
    </row>
    <row r="1037" spans="1:8" x14ac:dyDescent="0.25">
      <c r="A1037">
        <v>104</v>
      </c>
      <c r="B1037">
        <v>46611204</v>
      </c>
      <c r="C1037" t="s">
        <v>743</v>
      </c>
      <c r="D1037" t="s">
        <v>1</v>
      </c>
      <c r="E1037" t="s">
        <v>2</v>
      </c>
      <c r="F1037">
        <v>48000000</v>
      </c>
      <c r="G1037">
        <v>1998</v>
      </c>
      <c r="H1037">
        <v>6.1</v>
      </c>
    </row>
    <row r="1038" spans="1:8" x14ac:dyDescent="0.25">
      <c r="A1038">
        <v>155</v>
      </c>
      <c r="B1038">
        <v>165500000</v>
      </c>
      <c r="C1038" t="s">
        <v>894</v>
      </c>
      <c r="D1038" t="s">
        <v>1</v>
      </c>
      <c r="E1038" t="s">
        <v>2</v>
      </c>
      <c r="F1038">
        <v>48000000</v>
      </c>
      <c r="G1038">
        <v>1991</v>
      </c>
      <c r="H1038">
        <v>6.9</v>
      </c>
    </row>
    <row r="1039" spans="1:8" x14ac:dyDescent="0.25">
      <c r="A1039">
        <v>190</v>
      </c>
      <c r="B1039">
        <v>124107476</v>
      </c>
      <c r="C1039" t="s">
        <v>995</v>
      </c>
      <c r="D1039" t="s">
        <v>1</v>
      </c>
      <c r="E1039" t="s">
        <v>2</v>
      </c>
      <c r="F1039">
        <v>48000000</v>
      </c>
      <c r="G1039">
        <v>2000</v>
      </c>
      <c r="H1039">
        <v>7.6</v>
      </c>
    </row>
    <row r="1040" spans="1:8" x14ac:dyDescent="0.25">
      <c r="A1040">
        <v>127</v>
      </c>
      <c r="B1040">
        <v>197171806</v>
      </c>
      <c r="C1040" t="s">
        <v>996</v>
      </c>
      <c r="D1040" t="s">
        <v>1</v>
      </c>
      <c r="E1040" t="s">
        <v>2</v>
      </c>
      <c r="F1040">
        <v>48000000</v>
      </c>
      <c r="G1040">
        <v>1989</v>
      </c>
      <c r="H1040">
        <v>8.3000000000000007</v>
      </c>
    </row>
    <row r="1041" spans="1:8" x14ac:dyDescent="0.25">
      <c r="A1041">
        <v>118</v>
      </c>
      <c r="B1041">
        <v>66488090</v>
      </c>
      <c r="C1041" t="s">
        <v>998</v>
      </c>
      <c r="D1041" t="s">
        <v>1</v>
      </c>
      <c r="E1041" t="s">
        <v>2</v>
      </c>
      <c r="F1041">
        <v>48000000</v>
      </c>
      <c r="G1041">
        <v>1999</v>
      </c>
      <c r="H1041">
        <v>6.7</v>
      </c>
    </row>
    <row r="1042" spans="1:8" x14ac:dyDescent="0.25">
      <c r="A1042">
        <v>112</v>
      </c>
      <c r="B1042">
        <v>95308367</v>
      </c>
      <c r="C1042" t="s">
        <v>999</v>
      </c>
      <c r="D1042" t="s">
        <v>1</v>
      </c>
      <c r="E1042" t="s">
        <v>2</v>
      </c>
      <c r="F1042">
        <v>48000000</v>
      </c>
      <c r="G1042">
        <v>2002</v>
      </c>
      <c r="H1042">
        <v>6.8</v>
      </c>
    </row>
    <row r="1043" spans="1:8" x14ac:dyDescent="0.25">
      <c r="A1043">
        <v>114</v>
      </c>
      <c r="B1043">
        <v>60652036</v>
      </c>
      <c r="C1043" t="s">
        <v>1000</v>
      </c>
      <c r="D1043" t="s">
        <v>1</v>
      </c>
      <c r="E1043" t="s">
        <v>2</v>
      </c>
      <c r="F1043">
        <v>48000000</v>
      </c>
      <c r="G1043">
        <v>1999</v>
      </c>
      <c r="H1043">
        <v>7.1</v>
      </c>
    </row>
    <row r="1044" spans="1:8" x14ac:dyDescent="0.25">
      <c r="A1044">
        <v>112</v>
      </c>
      <c r="B1044">
        <v>56607223</v>
      </c>
      <c r="C1044" t="s">
        <v>1003</v>
      </c>
      <c r="D1044" t="s">
        <v>1</v>
      </c>
      <c r="E1044" t="s">
        <v>38</v>
      </c>
      <c r="F1044">
        <v>48000000</v>
      </c>
      <c r="G1044">
        <v>2001</v>
      </c>
      <c r="H1044">
        <v>6.4</v>
      </c>
    </row>
    <row r="1045" spans="1:8" x14ac:dyDescent="0.25">
      <c r="A1045">
        <v>120</v>
      </c>
      <c r="B1045">
        <v>50173190</v>
      </c>
      <c r="C1045" t="s">
        <v>1004</v>
      </c>
      <c r="D1045" t="s">
        <v>1</v>
      </c>
      <c r="E1045" t="s">
        <v>2</v>
      </c>
      <c r="F1045">
        <v>48000000</v>
      </c>
      <c r="G1045">
        <v>2001</v>
      </c>
      <c r="H1045">
        <v>7.4</v>
      </c>
    </row>
    <row r="1046" spans="1:8" x14ac:dyDescent="0.25">
      <c r="A1046">
        <v>123</v>
      </c>
      <c r="B1046">
        <v>47095453</v>
      </c>
      <c r="C1046" t="s">
        <v>1005</v>
      </c>
      <c r="D1046" t="s">
        <v>1</v>
      </c>
      <c r="E1046" t="s">
        <v>2</v>
      </c>
      <c r="F1046">
        <v>48000000</v>
      </c>
      <c r="G1046">
        <v>2001</v>
      </c>
      <c r="H1046">
        <v>6.4</v>
      </c>
    </row>
    <row r="1047" spans="1:8" x14ac:dyDescent="0.25">
      <c r="A1047">
        <v>93</v>
      </c>
      <c r="B1047">
        <v>37879996</v>
      </c>
      <c r="C1047" t="s">
        <v>1006</v>
      </c>
      <c r="D1047" t="s">
        <v>1</v>
      </c>
      <c r="E1047" t="s">
        <v>2</v>
      </c>
      <c r="F1047">
        <v>48000000</v>
      </c>
      <c r="G1047">
        <v>2000</v>
      </c>
      <c r="H1047">
        <v>6</v>
      </c>
    </row>
    <row r="1048" spans="1:8" x14ac:dyDescent="0.25">
      <c r="A1048">
        <v>115</v>
      </c>
      <c r="B1048">
        <v>89253340</v>
      </c>
      <c r="C1048" t="s">
        <v>1009</v>
      </c>
      <c r="D1048" t="s">
        <v>1</v>
      </c>
      <c r="E1048" t="s">
        <v>244</v>
      </c>
      <c r="F1048">
        <v>48000000</v>
      </c>
      <c r="G1048">
        <v>2014</v>
      </c>
      <c r="H1048">
        <v>6</v>
      </c>
    </row>
    <row r="1049" spans="1:8" x14ac:dyDescent="0.25">
      <c r="A1049">
        <v>123</v>
      </c>
      <c r="B1049">
        <v>37339525</v>
      </c>
      <c r="C1049" t="s">
        <v>1010</v>
      </c>
      <c r="D1049" t="s">
        <v>1</v>
      </c>
      <c r="E1049" t="s">
        <v>2</v>
      </c>
      <c r="F1049">
        <v>48000000</v>
      </c>
      <c r="G1049">
        <v>1998</v>
      </c>
      <c r="H1049">
        <v>7</v>
      </c>
    </row>
    <row r="1050" spans="1:8" x14ac:dyDescent="0.25">
      <c r="A1050">
        <v>113</v>
      </c>
      <c r="B1050">
        <v>69304264</v>
      </c>
      <c r="C1050" t="s">
        <v>1015</v>
      </c>
      <c r="D1050" t="s">
        <v>1</v>
      </c>
      <c r="E1050" t="s">
        <v>2</v>
      </c>
      <c r="F1050">
        <v>48000000</v>
      </c>
      <c r="G1050">
        <v>1999</v>
      </c>
      <c r="H1050">
        <v>6.8</v>
      </c>
    </row>
    <row r="1051" spans="1:8" x14ac:dyDescent="0.25">
      <c r="A1051">
        <v>132</v>
      </c>
      <c r="B1051">
        <v>29781453</v>
      </c>
      <c r="C1051" t="s">
        <v>1016</v>
      </c>
      <c r="D1051" t="s">
        <v>1</v>
      </c>
      <c r="E1051" t="s">
        <v>2</v>
      </c>
      <c r="F1051">
        <v>48000000</v>
      </c>
      <c r="G1051">
        <v>2001</v>
      </c>
      <c r="H1051">
        <v>6.4</v>
      </c>
    </row>
    <row r="1052" spans="1:8" x14ac:dyDescent="0.25">
      <c r="A1052">
        <v>102</v>
      </c>
      <c r="B1052">
        <v>93607673</v>
      </c>
      <c r="C1052" t="s">
        <v>1021</v>
      </c>
      <c r="D1052" t="s">
        <v>1</v>
      </c>
      <c r="E1052" t="s">
        <v>2</v>
      </c>
      <c r="F1052">
        <v>48000000</v>
      </c>
      <c r="G1052">
        <v>2001</v>
      </c>
      <c r="H1052">
        <v>5.7</v>
      </c>
    </row>
    <row r="1053" spans="1:8" x14ac:dyDescent="0.25">
      <c r="A1053">
        <v>84</v>
      </c>
      <c r="B1053">
        <v>110000082</v>
      </c>
      <c r="C1053" t="s">
        <v>1031</v>
      </c>
      <c r="D1053" t="s">
        <v>1</v>
      </c>
      <c r="E1053" t="s">
        <v>2</v>
      </c>
      <c r="F1053">
        <v>48000000</v>
      </c>
      <c r="G1053">
        <v>2003</v>
      </c>
      <c r="H1053">
        <v>5.5</v>
      </c>
    </row>
    <row r="1054" spans="1:8" x14ac:dyDescent="0.25">
      <c r="A1054">
        <v>133</v>
      </c>
      <c r="B1054">
        <v>6167817</v>
      </c>
      <c r="C1054" t="s">
        <v>857</v>
      </c>
      <c r="D1054" t="s">
        <v>243</v>
      </c>
      <c r="E1054" t="s">
        <v>244</v>
      </c>
      <c r="F1054">
        <v>47000000</v>
      </c>
      <c r="G1054">
        <v>2004</v>
      </c>
      <c r="H1054">
        <v>7.7</v>
      </c>
    </row>
    <row r="1055" spans="1:8" x14ac:dyDescent="0.25">
      <c r="A1055">
        <v>96</v>
      </c>
      <c r="B1055">
        <v>60154431</v>
      </c>
      <c r="C1055" t="s">
        <v>1011</v>
      </c>
      <c r="D1055" t="s">
        <v>1</v>
      </c>
      <c r="E1055" t="s">
        <v>2</v>
      </c>
      <c r="F1055">
        <v>47000000</v>
      </c>
      <c r="G1055">
        <v>1996</v>
      </c>
      <c r="H1055">
        <v>6</v>
      </c>
    </row>
    <row r="1056" spans="1:8" x14ac:dyDescent="0.25">
      <c r="A1056">
        <v>75</v>
      </c>
      <c r="B1056">
        <v>15519841</v>
      </c>
      <c r="C1056" t="s">
        <v>1018</v>
      </c>
      <c r="D1056" t="s">
        <v>1</v>
      </c>
      <c r="E1056" t="s">
        <v>2</v>
      </c>
      <c r="F1056">
        <v>47000000</v>
      </c>
      <c r="G1056">
        <v>2006</v>
      </c>
      <c r="H1056">
        <v>4.5</v>
      </c>
    </row>
    <row r="1057" spans="1:8" x14ac:dyDescent="0.25">
      <c r="A1057">
        <v>108</v>
      </c>
      <c r="B1057">
        <v>5600000</v>
      </c>
      <c r="C1057" t="s">
        <v>1019</v>
      </c>
      <c r="D1057" t="s">
        <v>1</v>
      </c>
      <c r="E1057" t="s">
        <v>2</v>
      </c>
      <c r="F1057">
        <v>47000000</v>
      </c>
      <c r="G1057">
        <v>1996</v>
      </c>
      <c r="H1057">
        <v>5.8</v>
      </c>
    </row>
    <row r="1058" spans="1:8" x14ac:dyDescent="0.25">
      <c r="A1058">
        <v>81</v>
      </c>
      <c r="B1058">
        <v>10539414</v>
      </c>
      <c r="C1058" t="s">
        <v>1024</v>
      </c>
      <c r="D1058" t="s">
        <v>1</v>
      </c>
      <c r="E1058" t="s">
        <v>2</v>
      </c>
      <c r="F1058">
        <v>47000000</v>
      </c>
      <c r="G1058">
        <v>2010</v>
      </c>
      <c r="H1058">
        <v>4.7</v>
      </c>
    </row>
    <row r="1059" spans="1:8" x14ac:dyDescent="0.25">
      <c r="A1059">
        <v>99</v>
      </c>
      <c r="B1059">
        <v>70327868</v>
      </c>
      <c r="C1059" t="s">
        <v>867</v>
      </c>
      <c r="D1059" t="s">
        <v>1</v>
      </c>
      <c r="E1059" t="s">
        <v>119</v>
      </c>
      <c r="F1059">
        <v>46000000</v>
      </c>
      <c r="G1059">
        <v>2000</v>
      </c>
      <c r="H1059">
        <v>5.9</v>
      </c>
    </row>
    <row r="1060" spans="1:8" x14ac:dyDescent="0.25">
      <c r="A1060">
        <v>105</v>
      </c>
      <c r="B1060">
        <v>126805112</v>
      </c>
      <c r="C1060" t="s">
        <v>1020</v>
      </c>
      <c r="D1060" t="s">
        <v>1</v>
      </c>
      <c r="E1060" t="s">
        <v>2</v>
      </c>
      <c r="F1060">
        <v>46000000</v>
      </c>
      <c r="G1060">
        <v>1997</v>
      </c>
      <c r="H1060">
        <v>6.3</v>
      </c>
    </row>
    <row r="1061" spans="1:8" x14ac:dyDescent="0.25">
      <c r="A1061">
        <v>118</v>
      </c>
      <c r="B1061">
        <v>67263182</v>
      </c>
      <c r="C1061" t="s">
        <v>1022</v>
      </c>
      <c r="D1061" t="s">
        <v>1</v>
      </c>
      <c r="E1061" t="s">
        <v>2</v>
      </c>
      <c r="F1061">
        <v>46000000</v>
      </c>
      <c r="G1061">
        <v>2002</v>
      </c>
      <c r="H1061">
        <v>7.2</v>
      </c>
    </row>
    <row r="1062" spans="1:8" x14ac:dyDescent="0.25">
      <c r="A1062">
        <v>116</v>
      </c>
      <c r="B1062">
        <v>58918501</v>
      </c>
      <c r="C1062" t="s">
        <v>1025</v>
      </c>
      <c r="D1062" t="s">
        <v>1</v>
      </c>
      <c r="E1062" t="s">
        <v>2</v>
      </c>
      <c r="F1062">
        <v>46000000</v>
      </c>
      <c r="G1062">
        <v>1996</v>
      </c>
      <c r="H1062">
        <v>6.6</v>
      </c>
    </row>
    <row r="1063" spans="1:8" x14ac:dyDescent="0.25">
      <c r="A1063">
        <v>153</v>
      </c>
      <c r="B1063">
        <v>60962878</v>
      </c>
      <c r="C1063" t="s">
        <v>1040</v>
      </c>
      <c r="D1063" t="s">
        <v>1</v>
      </c>
      <c r="E1063" t="s">
        <v>2</v>
      </c>
      <c r="F1063">
        <v>46000000</v>
      </c>
      <c r="G1063">
        <v>2013</v>
      </c>
      <c r="H1063">
        <v>8.1</v>
      </c>
    </row>
    <row r="1064" spans="1:8" x14ac:dyDescent="0.25">
      <c r="A1064">
        <v>73</v>
      </c>
      <c r="B1064">
        <v>422783777</v>
      </c>
      <c r="C1064" t="s">
        <v>498</v>
      </c>
      <c r="D1064" t="s">
        <v>1</v>
      </c>
      <c r="E1064" t="s">
        <v>2</v>
      </c>
      <c r="F1064">
        <v>45000000</v>
      </c>
      <c r="G1064">
        <v>1994</v>
      </c>
      <c r="H1064">
        <v>8.5</v>
      </c>
    </row>
    <row r="1065" spans="1:8" x14ac:dyDescent="0.25">
      <c r="A1065">
        <v>113</v>
      </c>
      <c r="B1065">
        <v>21009180</v>
      </c>
      <c r="C1065" t="s">
        <v>547</v>
      </c>
      <c r="D1065" t="s">
        <v>1</v>
      </c>
      <c r="E1065" t="s">
        <v>2</v>
      </c>
      <c r="F1065">
        <v>45000000</v>
      </c>
      <c r="G1065">
        <v>2004</v>
      </c>
      <c r="H1065">
        <v>6.1</v>
      </c>
    </row>
    <row r="1066" spans="1:8" x14ac:dyDescent="0.25">
      <c r="A1066">
        <v>111</v>
      </c>
      <c r="B1066">
        <v>36064910</v>
      </c>
      <c r="C1066" t="s">
        <v>658</v>
      </c>
      <c r="D1066" t="s">
        <v>1</v>
      </c>
      <c r="E1066" t="s">
        <v>2</v>
      </c>
      <c r="F1066">
        <v>45000000</v>
      </c>
      <c r="G1066">
        <v>2008</v>
      </c>
      <c r="H1066">
        <v>6.4</v>
      </c>
    </row>
    <row r="1067" spans="1:8" x14ac:dyDescent="0.25">
      <c r="A1067">
        <v>115</v>
      </c>
      <c r="B1067">
        <v>48472213</v>
      </c>
      <c r="C1067" t="s">
        <v>745</v>
      </c>
      <c r="D1067" t="s">
        <v>1</v>
      </c>
      <c r="E1067" t="s">
        <v>2</v>
      </c>
      <c r="F1067">
        <v>45000000</v>
      </c>
      <c r="G1067">
        <v>2005</v>
      </c>
      <c r="H1067">
        <v>5</v>
      </c>
    </row>
    <row r="1068" spans="1:8" x14ac:dyDescent="0.25">
      <c r="A1068">
        <v>129</v>
      </c>
      <c r="B1068">
        <v>88504640</v>
      </c>
      <c r="C1068" t="s">
        <v>911</v>
      </c>
      <c r="D1068" t="s">
        <v>1</v>
      </c>
      <c r="E1068" t="s">
        <v>2</v>
      </c>
      <c r="F1068">
        <v>45000000</v>
      </c>
      <c r="G1068">
        <v>2006</v>
      </c>
      <c r="H1068">
        <v>7.6</v>
      </c>
    </row>
    <row r="1069" spans="1:8" x14ac:dyDescent="0.25">
      <c r="A1069">
        <v>98</v>
      </c>
      <c r="B1069">
        <v>50740078</v>
      </c>
      <c r="C1069" t="s">
        <v>947</v>
      </c>
      <c r="D1069" t="s">
        <v>1</v>
      </c>
      <c r="E1069" t="s">
        <v>119</v>
      </c>
      <c r="F1069">
        <v>45000000</v>
      </c>
      <c r="G1069">
        <v>2004</v>
      </c>
      <c r="H1069">
        <v>6.2</v>
      </c>
    </row>
    <row r="1070" spans="1:8" x14ac:dyDescent="0.25">
      <c r="A1070">
        <v>111</v>
      </c>
      <c r="B1070">
        <v>92001027</v>
      </c>
      <c r="C1070" t="s">
        <v>1023</v>
      </c>
      <c r="D1070" t="s">
        <v>1</v>
      </c>
      <c r="E1070" t="s">
        <v>2</v>
      </c>
      <c r="F1070">
        <v>45000000</v>
      </c>
      <c r="G1070">
        <v>1996</v>
      </c>
      <c r="H1070">
        <v>7.6</v>
      </c>
    </row>
    <row r="1071" spans="1:8" x14ac:dyDescent="0.25">
      <c r="A1071">
        <v>86</v>
      </c>
      <c r="B1071">
        <v>181395380</v>
      </c>
      <c r="C1071" t="s">
        <v>1026</v>
      </c>
      <c r="D1071" t="s">
        <v>1</v>
      </c>
      <c r="E1071" t="s">
        <v>2</v>
      </c>
      <c r="F1071">
        <v>45000000</v>
      </c>
      <c r="G1071">
        <v>1997</v>
      </c>
      <c r="H1071">
        <v>6.8</v>
      </c>
    </row>
    <row r="1072" spans="1:8" x14ac:dyDescent="0.25">
      <c r="A1072">
        <v>91</v>
      </c>
      <c r="B1072">
        <v>130512915</v>
      </c>
      <c r="C1072" t="s">
        <v>1029</v>
      </c>
      <c r="D1072" t="s">
        <v>1</v>
      </c>
      <c r="E1072" t="s">
        <v>2</v>
      </c>
      <c r="F1072">
        <v>45000000</v>
      </c>
      <c r="G1072">
        <v>1994</v>
      </c>
      <c r="H1072">
        <v>4.8</v>
      </c>
    </row>
    <row r="1073" spans="1:8" x14ac:dyDescent="0.25">
      <c r="A1073">
        <v>98</v>
      </c>
      <c r="B1073">
        <v>139852971</v>
      </c>
      <c r="C1073" t="s">
        <v>1030</v>
      </c>
      <c r="D1073" t="s">
        <v>1</v>
      </c>
      <c r="E1073" t="s">
        <v>244</v>
      </c>
      <c r="F1073">
        <v>45000000</v>
      </c>
      <c r="G1073">
        <v>2012</v>
      </c>
      <c r="H1073">
        <v>6.3</v>
      </c>
    </row>
    <row r="1074" spans="1:8" x14ac:dyDescent="0.25">
      <c r="A1074">
        <v>109</v>
      </c>
      <c r="B1074">
        <v>106807667</v>
      </c>
      <c r="C1074" t="s">
        <v>1032</v>
      </c>
      <c r="D1074" t="s">
        <v>1</v>
      </c>
      <c r="E1074" t="s">
        <v>2</v>
      </c>
      <c r="F1074">
        <v>45000000</v>
      </c>
      <c r="G1074">
        <v>2000</v>
      </c>
      <c r="H1074">
        <v>6.2</v>
      </c>
    </row>
    <row r="1075" spans="1:8" x14ac:dyDescent="0.25">
      <c r="A1075">
        <v>93</v>
      </c>
      <c r="B1075">
        <v>101702060</v>
      </c>
      <c r="C1075" t="s">
        <v>1033</v>
      </c>
      <c r="D1075" t="s">
        <v>1</v>
      </c>
      <c r="E1075" t="s">
        <v>2</v>
      </c>
      <c r="F1075">
        <v>45000000</v>
      </c>
      <c r="G1075">
        <v>2008</v>
      </c>
      <c r="H1075">
        <v>5.8</v>
      </c>
    </row>
    <row r="1076" spans="1:8" x14ac:dyDescent="0.25">
      <c r="A1076">
        <v>141</v>
      </c>
      <c r="B1076">
        <v>100768056</v>
      </c>
      <c r="C1076" t="s">
        <v>1035</v>
      </c>
      <c r="D1076" t="s">
        <v>1</v>
      </c>
      <c r="E1076" t="s">
        <v>2</v>
      </c>
      <c r="F1076">
        <v>45000000</v>
      </c>
      <c r="G1076">
        <v>1993</v>
      </c>
      <c r="H1076">
        <v>6.5</v>
      </c>
    </row>
    <row r="1077" spans="1:8" x14ac:dyDescent="0.25">
      <c r="A1077">
        <v>119</v>
      </c>
      <c r="B1077">
        <v>92115211</v>
      </c>
      <c r="C1077" t="s">
        <v>1036</v>
      </c>
      <c r="D1077" t="s">
        <v>1</v>
      </c>
      <c r="E1077" t="s">
        <v>2</v>
      </c>
      <c r="F1077">
        <v>45000000</v>
      </c>
      <c r="G1077">
        <v>1994</v>
      </c>
      <c r="H1077">
        <v>6.7</v>
      </c>
    </row>
    <row r="1078" spans="1:8" x14ac:dyDescent="0.25">
      <c r="A1078">
        <v>97</v>
      </c>
      <c r="B1078">
        <v>93452056</v>
      </c>
      <c r="C1078" t="s">
        <v>1037</v>
      </c>
      <c r="D1078" t="s">
        <v>1</v>
      </c>
      <c r="E1078" t="s">
        <v>2</v>
      </c>
      <c r="F1078">
        <v>45000000</v>
      </c>
      <c r="G1078">
        <v>2007</v>
      </c>
      <c r="H1078">
        <v>7.4</v>
      </c>
    </row>
    <row r="1079" spans="1:8" x14ac:dyDescent="0.25">
      <c r="A1079">
        <v>117</v>
      </c>
      <c r="B1079">
        <v>83287363</v>
      </c>
      <c r="C1079" t="s">
        <v>1038</v>
      </c>
      <c r="D1079" t="s">
        <v>1</v>
      </c>
      <c r="E1079" t="s">
        <v>2</v>
      </c>
      <c r="F1079">
        <v>45000000</v>
      </c>
      <c r="G1079">
        <v>1992</v>
      </c>
      <c r="H1079">
        <v>6.9</v>
      </c>
    </row>
    <row r="1080" spans="1:8" x14ac:dyDescent="0.25">
      <c r="A1080">
        <v>122</v>
      </c>
      <c r="B1080">
        <v>76261036</v>
      </c>
      <c r="C1080" t="s">
        <v>1041</v>
      </c>
      <c r="D1080" t="s">
        <v>1</v>
      </c>
      <c r="E1080" t="s">
        <v>2</v>
      </c>
      <c r="F1080">
        <v>45000000</v>
      </c>
      <c r="G1080">
        <v>2001</v>
      </c>
      <c r="H1080">
        <v>7.7</v>
      </c>
    </row>
    <row r="1081" spans="1:8" x14ac:dyDescent="0.25">
      <c r="A1081">
        <v>102</v>
      </c>
      <c r="B1081">
        <v>71423726</v>
      </c>
      <c r="C1081" t="s">
        <v>1042</v>
      </c>
      <c r="D1081" t="s">
        <v>1</v>
      </c>
      <c r="E1081" t="s">
        <v>2</v>
      </c>
      <c r="F1081">
        <v>45000000</v>
      </c>
      <c r="G1081">
        <v>1999</v>
      </c>
      <c r="H1081">
        <v>7.3</v>
      </c>
    </row>
    <row r="1082" spans="1:8" x14ac:dyDescent="0.25">
      <c r="A1082">
        <v>83</v>
      </c>
      <c r="B1082">
        <v>71277420</v>
      </c>
      <c r="C1082" t="s">
        <v>1043</v>
      </c>
      <c r="D1082" t="s">
        <v>1</v>
      </c>
      <c r="E1082" t="s">
        <v>2</v>
      </c>
      <c r="F1082">
        <v>45000000</v>
      </c>
      <c r="G1082">
        <v>2001</v>
      </c>
      <c r="H1082">
        <v>5.2</v>
      </c>
    </row>
    <row r="1083" spans="1:8" x14ac:dyDescent="0.25">
      <c r="A1083">
        <v>103</v>
      </c>
      <c r="B1083">
        <v>88625922</v>
      </c>
      <c r="C1083" t="s">
        <v>1044</v>
      </c>
      <c r="D1083" t="s">
        <v>1</v>
      </c>
      <c r="E1083" t="s">
        <v>2</v>
      </c>
      <c r="F1083">
        <v>45000000</v>
      </c>
      <c r="G1083">
        <v>2011</v>
      </c>
      <c r="H1083">
        <v>7.1</v>
      </c>
    </row>
    <row r="1084" spans="1:8" x14ac:dyDescent="0.25">
      <c r="A1084">
        <v>110</v>
      </c>
      <c r="B1084">
        <v>70001065</v>
      </c>
      <c r="C1084" t="s">
        <v>1045</v>
      </c>
      <c r="D1084" t="s">
        <v>1</v>
      </c>
      <c r="E1084" t="s">
        <v>2</v>
      </c>
      <c r="F1084">
        <v>45000000</v>
      </c>
      <c r="G1084">
        <v>1998</v>
      </c>
      <c r="H1084">
        <v>7.1</v>
      </c>
    </row>
    <row r="1085" spans="1:8" x14ac:dyDescent="0.25">
      <c r="A1085">
        <v>91</v>
      </c>
      <c r="B1085">
        <v>66790248</v>
      </c>
      <c r="C1085" t="s">
        <v>1047</v>
      </c>
      <c r="D1085" t="s">
        <v>1</v>
      </c>
      <c r="E1085" t="s">
        <v>2</v>
      </c>
      <c r="F1085">
        <v>45000000</v>
      </c>
      <c r="G1085">
        <v>2002</v>
      </c>
      <c r="H1085">
        <v>6.5</v>
      </c>
    </row>
    <row r="1086" spans="1:8" x14ac:dyDescent="0.25">
      <c r="A1086">
        <v>89</v>
      </c>
      <c r="B1086">
        <v>65557989</v>
      </c>
      <c r="C1086" t="s">
        <v>1048</v>
      </c>
      <c r="D1086" t="s">
        <v>1</v>
      </c>
      <c r="E1086" t="s">
        <v>2</v>
      </c>
      <c r="F1086">
        <v>45000000</v>
      </c>
      <c r="G1086">
        <v>1997</v>
      </c>
      <c r="H1086">
        <v>4.5999999999999996</v>
      </c>
    </row>
    <row r="1087" spans="1:8" x14ac:dyDescent="0.25">
      <c r="A1087">
        <v>107</v>
      </c>
      <c r="B1087">
        <v>60786269</v>
      </c>
      <c r="C1087" t="s">
        <v>1049</v>
      </c>
      <c r="D1087" t="s">
        <v>1</v>
      </c>
      <c r="E1087" t="s">
        <v>2</v>
      </c>
      <c r="F1087">
        <v>45000000</v>
      </c>
      <c r="G1087">
        <v>2000</v>
      </c>
      <c r="H1087">
        <v>5.6</v>
      </c>
    </row>
    <row r="1088" spans="1:8" x14ac:dyDescent="0.25">
      <c r="A1088">
        <v>129</v>
      </c>
      <c r="B1088">
        <v>59365105</v>
      </c>
      <c r="C1088" t="s">
        <v>1050</v>
      </c>
      <c r="D1088" t="s">
        <v>1</v>
      </c>
      <c r="E1088" t="s">
        <v>5</v>
      </c>
      <c r="F1088">
        <v>45000000</v>
      </c>
      <c r="G1088">
        <v>2003</v>
      </c>
      <c r="H1088">
        <v>7.7</v>
      </c>
    </row>
    <row r="1089" spans="1:8" x14ac:dyDescent="0.25">
      <c r="A1089">
        <v>110</v>
      </c>
      <c r="B1089">
        <v>57362581</v>
      </c>
      <c r="C1089" t="s">
        <v>1053</v>
      </c>
      <c r="D1089" t="s">
        <v>1</v>
      </c>
      <c r="E1089" t="s">
        <v>1054</v>
      </c>
      <c r="F1089">
        <v>45000000</v>
      </c>
      <c r="G1089">
        <v>1994</v>
      </c>
      <c r="H1089">
        <v>5.4</v>
      </c>
    </row>
    <row r="1090" spans="1:8" x14ac:dyDescent="0.25">
      <c r="A1090">
        <v>135</v>
      </c>
      <c r="B1090">
        <v>53854588</v>
      </c>
      <c r="C1090" t="s">
        <v>1055</v>
      </c>
      <c r="D1090" t="s">
        <v>1</v>
      </c>
      <c r="E1090" t="s">
        <v>2</v>
      </c>
      <c r="F1090">
        <v>45000000</v>
      </c>
      <c r="G1090">
        <v>1996</v>
      </c>
      <c r="H1090">
        <v>6.3</v>
      </c>
    </row>
    <row r="1091" spans="1:8" x14ac:dyDescent="0.25">
      <c r="A1091">
        <v>95</v>
      </c>
      <c r="B1091">
        <v>52580895</v>
      </c>
      <c r="C1091" t="s">
        <v>1056</v>
      </c>
      <c r="D1091" t="s">
        <v>1</v>
      </c>
      <c r="E1091" t="s">
        <v>2</v>
      </c>
      <c r="F1091">
        <v>45000000</v>
      </c>
      <c r="G1091">
        <v>2005</v>
      </c>
      <c r="H1091">
        <v>5.6</v>
      </c>
    </row>
    <row r="1092" spans="1:8" x14ac:dyDescent="0.25">
      <c r="A1092">
        <v>94</v>
      </c>
      <c r="B1092">
        <v>50648679</v>
      </c>
      <c r="C1092" t="s">
        <v>1059</v>
      </c>
      <c r="D1092" t="s">
        <v>1</v>
      </c>
      <c r="E1092" t="s">
        <v>244</v>
      </c>
      <c r="F1092">
        <v>45000000</v>
      </c>
      <c r="G1092">
        <v>2007</v>
      </c>
      <c r="H1092">
        <v>6.3</v>
      </c>
    </row>
    <row r="1093" spans="1:8" x14ac:dyDescent="0.25">
      <c r="A1093">
        <v>112</v>
      </c>
      <c r="B1093">
        <v>38360195</v>
      </c>
      <c r="C1093" t="s">
        <v>1061</v>
      </c>
      <c r="D1093" t="s">
        <v>1</v>
      </c>
      <c r="E1093" t="s">
        <v>2</v>
      </c>
      <c r="F1093">
        <v>45000000</v>
      </c>
      <c r="G1093">
        <v>2006</v>
      </c>
      <c r="H1093">
        <v>6.4</v>
      </c>
    </row>
    <row r="1094" spans="1:8" x14ac:dyDescent="0.25">
      <c r="A1094">
        <v>111</v>
      </c>
      <c r="B1094">
        <v>46815748</v>
      </c>
      <c r="C1094" t="s">
        <v>1062</v>
      </c>
      <c r="D1094" t="s">
        <v>1</v>
      </c>
      <c r="E1094" t="s">
        <v>2</v>
      </c>
      <c r="F1094">
        <v>45000000</v>
      </c>
      <c r="G1094">
        <v>1994</v>
      </c>
      <c r="H1094">
        <v>6.3</v>
      </c>
    </row>
    <row r="1095" spans="1:8" x14ac:dyDescent="0.25">
      <c r="A1095">
        <v>96</v>
      </c>
      <c r="B1095">
        <v>35617599</v>
      </c>
      <c r="C1095" t="s">
        <v>1063</v>
      </c>
      <c r="D1095" t="s">
        <v>1</v>
      </c>
      <c r="E1095" t="s">
        <v>2</v>
      </c>
      <c r="F1095">
        <v>45000000</v>
      </c>
      <c r="G1095">
        <v>1995</v>
      </c>
      <c r="H1095">
        <v>5.9</v>
      </c>
    </row>
    <row r="1096" spans="1:8" x14ac:dyDescent="0.25">
      <c r="A1096">
        <v>141</v>
      </c>
      <c r="B1096">
        <v>47307550</v>
      </c>
      <c r="C1096" t="s">
        <v>1064</v>
      </c>
      <c r="D1096" t="s">
        <v>1</v>
      </c>
      <c r="E1096" t="s">
        <v>2</v>
      </c>
      <c r="F1096">
        <v>45000000</v>
      </c>
      <c r="G1096">
        <v>2012</v>
      </c>
      <c r="H1096">
        <v>6.5</v>
      </c>
    </row>
    <row r="1097" spans="1:8" x14ac:dyDescent="0.25">
      <c r="A1097">
        <v>133</v>
      </c>
      <c r="B1097">
        <v>24343673</v>
      </c>
      <c r="C1097" t="s">
        <v>1069</v>
      </c>
      <c r="D1097" t="s">
        <v>1</v>
      </c>
      <c r="E1097" t="s">
        <v>2</v>
      </c>
      <c r="F1097">
        <v>45000000</v>
      </c>
      <c r="G1097">
        <v>2007</v>
      </c>
      <c r="H1097">
        <v>7.4</v>
      </c>
    </row>
    <row r="1098" spans="1:8" x14ac:dyDescent="0.25">
      <c r="A1098">
        <v>91</v>
      </c>
      <c r="B1098">
        <v>20400913</v>
      </c>
      <c r="C1098" t="s">
        <v>1073</v>
      </c>
      <c r="D1098" t="s">
        <v>1</v>
      </c>
      <c r="E1098" t="s">
        <v>2</v>
      </c>
      <c r="F1098">
        <v>45000000</v>
      </c>
      <c r="G1098">
        <v>1996</v>
      </c>
      <c r="H1098">
        <v>5.3</v>
      </c>
    </row>
    <row r="1099" spans="1:8" x14ac:dyDescent="0.25">
      <c r="A1099">
        <v>117</v>
      </c>
      <c r="B1099">
        <v>20101861</v>
      </c>
      <c r="C1099" t="s">
        <v>1074</v>
      </c>
      <c r="D1099" t="s">
        <v>1</v>
      </c>
      <c r="E1099" t="s">
        <v>2</v>
      </c>
      <c r="F1099">
        <v>45000000</v>
      </c>
      <c r="G1099">
        <v>1996</v>
      </c>
      <c r="H1099">
        <v>6</v>
      </c>
    </row>
    <row r="1100" spans="1:8" x14ac:dyDescent="0.25">
      <c r="A1100">
        <v>86</v>
      </c>
      <c r="B1100">
        <v>25200412</v>
      </c>
      <c r="C1100" t="s">
        <v>1075</v>
      </c>
      <c r="D1100" t="s">
        <v>1</v>
      </c>
      <c r="E1100" t="s">
        <v>2</v>
      </c>
      <c r="F1100">
        <v>45000000</v>
      </c>
      <c r="G1100">
        <v>2009</v>
      </c>
      <c r="H1100">
        <v>5.4</v>
      </c>
    </row>
    <row r="1101" spans="1:8" x14ac:dyDescent="0.25">
      <c r="A1101">
        <v>124</v>
      </c>
      <c r="B1101">
        <v>19719930</v>
      </c>
      <c r="C1101" t="s">
        <v>1076</v>
      </c>
      <c r="D1101" t="s">
        <v>1</v>
      </c>
      <c r="E1101" t="s">
        <v>2</v>
      </c>
      <c r="F1101">
        <v>45000000</v>
      </c>
      <c r="G1101">
        <v>2001</v>
      </c>
      <c r="H1101">
        <v>6.8</v>
      </c>
    </row>
    <row r="1102" spans="1:8" x14ac:dyDescent="0.25">
      <c r="A1102">
        <v>134</v>
      </c>
      <c r="B1102">
        <v>19377727</v>
      </c>
      <c r="C1102" t="s">
        <v>1077</v>
      </c>
      <c r="D1102" t="s">
        <v>1</v>
      </c>
      <c r="E1102" t="s">
        <v>2</v>
      </c>
      <c r="F1102">
        <v>45000000</v>
      </c>
      <c r="G1102">
        <v>2005</v>
      </c>
      <c r="H1102">
        <v>6.4</v>
      </c>
    </row>
    <row r="1103" spans="1:8" x14ac:dyDescent="0.25">
      <c r="A1103">
        <v>100</v>
      </c>
      <c r="B1103">
        <v>17300889</v>
      </c>
      <c r="C1103" t="s">
        <v>1078</v>
      </c>
      <c r="D1103" t="s">
        <v>1</v>
      </c>
      <c r="E1103" t="s">
        <v>55</v>
      </c>
      <c r="F1103">
        <v>45000000</v>
      </c>
      <c r="G1103">
        <v>1996</v>
      </c>
      <c r="H1103">
        <v>4.9000000000000004</v>
      </c>
    </row>
    <row r="1104" spans="1:8" x14ac:dyDescent="0.25">
      <c r="A1104">
        <v>128</v>
      </c>
      <c r="B1104">
        <v>15523168</v>
      </c>
      <c r="C1104" t="s">
        <v>1081</v>
      </c>
      <c r="D1104" t="s">
        <v>1</v>
      </c>
      <c r="E1104" t="s">
        <v>244</v>
      </c>
      <c r="F1104">
        <v>45000000</v>
      </c>
      <c r="G1104">
        <v>2010</v>
      </c>
      <c r="H1104">
        <v>7.2</v>
      </c>
    </row>
    <row r="1105" spans="1:8" x14ac:dyDescent="0.25">
      <c r="A1105">
        <v>106</v>
      </c>
      <c r="B1105">
        <v>11146409</v>
      </c>
      <c r="C1105" t="s">
        <v>1082</v>
      </c>
      <c r="D1105" t="s">
        <v>1</v>
      </c>
      <c r="E1105" t="s">
        <v>2</v>
      </c>
      <c r="F1105">
        <v>45000000</v>
      </c>
      <c r="G1105">
        <v>1998</v>
      </c>
      <c r="H1105">
        <v>6</v>
      </c>
    </row>
    <row r="1106" spans="1:8" x14ac:dyDescent="0.25">
      <c r="A1106">
        <v>160</v>
      </c>
      <c r="B1106">
        <v>7916887</v>
      </c>
      <c r="C1106" t="s">
        <v>1083</v>
      </c>
      <c r="D1106" t="s">
        <v>1</v>
      </c>
      <c r="E1106" t="s">
        <v>2</v>
      </c>
      <c r="F1106">
        <v>45000000</v>
      </c>
      <c r="G1106">
        <v>2008</v>
      </c>
      <c r="H1106">
        <v>6</v>
      </c>
    </row>
    <row r="1107" spans="1:8" x14ac:dyDescent="0.25">
      <c r="A1107">
        <v>114</v>
      </c>
      <c r="B1107">
        <v>6565495</v>
      </c>
      <c r="C1107" t="s">
        <v>1084</v>
      </c>
      <c r="D1107" t="s">
        <v>326</v>
      </c>
      <c r="E1107" t="s">
        <v>142</v>
      </c>
      <c r="F1107">
        <v>45000000</v>
      </c>
      <c r="G1107">
        <v>2006</v>
      </c>
      <c r="H1107">
        <v>7</v>
      </c>
    </row>
    <row r="1108" spans="1:8" x14ac:dyDescent="0.25">
      <c r="A1108">
        <v>139</v>
      </c>
      <c r="B1108">
        <v>4584886</v>
      </c>
      <c r="C1108" t="s">
        <v>1087</v>
      </c>
      <c r="D1108" t="s">
        <v>1</v>
      </c>
      <c r="E1108" t="s">
        <v>2</v>
      </c>
      <c r="F1108">
        <v>45000000</v>
      </c>
      <c r="G1108">
        <v>2007</v>
      </c>
      <c r="H1108">
        <v>6.4</v>
      </c>
    </row>
    <row r="1109" spans="1:8" x14ac:dyDescent="0.25">
      <c r="A1109">
        <v>103</v>
      </c>
      <c r="B1109">
        <v>2154540</v>
      </c>
      <c r="C1109" t="s">
        <v>1088</v>
      </c>
      <c r="D1109" t="s">
        <v>1</v>
      </c>
      <c r="E1109" t="s">
        <v>2</v>
      </c>
      <c r="F1109">
        <v>45000000</v>
      </c>
      <c r="G1109">
        <v>1997</v>
      </c>
      <c r="H1109">
        <v>4.9000000000000004</v>
      </c>
    </row>
    <row r="1110" spans="1:8" x14ac:dyDescent="0.25">
      <c r="A1110">
        <v>101</v>
      </c>
      <c r="B1110">
        <v>8129455</v>
      </c>
      <c r="C1110" t="s">
        <v>1089</v>
      </c>
      <c r="D1110" t="s">
        <v>1</v>
      </c>
      <c r="E1110" t="s">
        <v>2</v>
      </c>
      <c r="F1110">
        <v>45000000</v>
      </c>
      <c r="G1110">
        <v>2011</v>
      </c>
      <c r="H1110">
        <v>6.3</v>
      </c>
    </row>
    <row r="1111" spans="1:8" x14ac:dyDescent="0.25">
      <c r="A1111">
        <v>103</v>
      </c>
      <c r="B1111">
        <v>24520892</v>
      </c>
      <c r="C1111" t="s">
        <v>1102</v>
      </c>
      <c r="D1111" t="s">
        <v>1</v>
      </c>
      <c r="E1111" t="s">
        <v>244</v>
      </c>
      <c r="F1111">
        <v>45000000</v>
      </c>
      <c r="G1111">
        <v>2005</v>
      </c>
      <c r="H1111">
        <v>7</v>
      </c>
    </row>
    <row r="1112" spans="1:8" x14ac:dyDescent="0.25">
      <c r="A1112">
        <v>84</v>
      </c>
      <c r="B1112">
        <v>106793915</v>
      </c>
      <c r="C1112" t="s">
        <v>1109</v>
      </c>
      <c r="D1112" t="s">
        <v>1</v>
      </c>
      <c r="E1112" t="s">
        <v>5</v>
      </c>
      <c r="F1112">
        <v>45000000</v>
      </c>
      <c r="G1112">
        <v>2000</v>
      </c>
      <c r="H1112">
        <v>7</v>
      </c>
    </row>
    <row r="1113" spans="1:8" x14ac:dyDescent="0.25">
      <c r="A1113">
        <v>100</v>
      </c>
      <c r="B1113">
        <v>5664251</v>
      </c>
      <c r="C1113" t="s">
        <v>1127</v>
      </c>
      <c r="D1113" t="s">
        <v>1</v>
      </c>
      <c r="E1113" t="s">
        <v>23</v>
      </c>
      <c r="F1113">
        <v>45000000</v>
      </c>
      <c r="G1113">
        <v>2010</v>
      </c>
      <c r="H1113">
        <v>6.3</v>
      </c>
    </row>
    <row r="1114" spans="1:8" x14ac:dyDescent="0.25">
      <c r="A1114">
        <v>89</v>
      </c>
      <c r="B1114">
        <v>90703745</v>
      </c>
      <c r="C1114" t="s">
        <v>1150</v>
      </c>
      <c r="D1114" t="s">
        <v>1</v>
      </c>
      <c r="E1114" t="s">
        <v>2</v>
      </c>
      <c r="F1114">
        <v>45000000</v>
      </c>
      <c r="G1114">
        <v>2006</v>
      </c>
      <c r="H1114">
        <v>5.0999999999999996</v>
      </c>
    </row>
    <row r="1115" spans="1:8" x14ac:dyDescent="0.25">
      <c r="A1115">
        <v>131</v>
      </c>
      <c r="B1115">
        <v>20302961</v>
      </c>
      <c r="C1115" t="s">
        <v>1237</v>
      </c>
      <c r="D1115" t="s">
        <v>1</v>
      </c>
      <c r="E1115" t="s">
        <v>244</v>
      </c>
      <c r="F1115">
        <v>45000000</v>
      </c>
      <c r="G1115">
        <v>1995</v>
      </c>
      <c r="H1115">
        <v>4.5999999999999996</v>
      </c>
    </row>
    <row r="1116" spans="1:8" x14ac:dyDescent="0.25">
      <c r="A1116">
        <v>114</v>
      </c>
      <c r="B1116">
        <v>18996755</v>
      </c>
      <c r="C1116" t="s">
        <v>1241</v>
      </c>
      <c r="D1116" t="s">
        <v>1</v>
      </c>
      <c r="E1116" t="s">
        <v>620</v>
      </c>
      <c r="F1116">
        <v>45000000</v>
      </c>
      <c r="G1116">
        <v>2012</v>
      </c>
      <c r="H1116">
        <v>7.6</v>
      </c>
    </row>
    <row r="1117" spans="1:8" x14ac:dyDescent="0.25">
      <c r="A1117">
        <v>113</v>
      </c>
      <c r="B1117">
        <v>170684505</v>
      </c>
      <c r="C1117" t="s">
        <v>1511</v>
      </c>
      <c r="D1117" t="s">
        <v>1</v>
      </c>
      <c r="E1117" t="s">
        <v>2</v>
      </c>
      <c r="F1117">
        <v>45000000</v>
      </c>
      <c r="G1117">
        <v>2002</v>
      </c>
      <c r="H1117">
        <v>7.2</v>
      </c>
    </row>
    <row r="1118" spans="1:8" x14ac:dyDescent="0.25">
      <c r="A1118">
        <v>109</v>
      </c>
      <c r="B1118">
        <v>74484168</v>
      </c>
      <c r="C1118" t="s">
        <v>1547</v>
      </c>
      <c r="D1118" t="s">
        <v>1</v>
      </c>
      <c r="E1118" t="s">
        <v>2</v>
      </c>
      <c r="F1118">
        <v>45000000</v>
      </c>
      <c r="G1118">
        <v>2005</v>
      </c>
      <c r="H1118">
        <v>6.9</v>
      </c>
    </row>
    <row r="1119" spans="1:8" x14ac:dyDescent="0.25">
      <c r="A1119">
        <v>94</v>
      </c>
      <c r="B1119">
        <v>32095318</v>
      </c>
      <c r="C1119" t="s">
        <v>1587</v>
      </c>
      <c r="D1119" t="s">
        <v>1</v>
      </c>
      <c r="E1119" t="s">
        <v>2</v>
      </c>
      <c r="F1119">
        <v>45000000</v>
      </c>
      <c r="G1119">
        <v>2001</v>
      </c>
      <c r="H1119">
        <v>5.5</v>
      </c>
    </row>
    <row r="1120" spans="1:8" x14ac:dyDescent="0.25">
      <c r="A1120">
        <v>100</v>
      </c>
      <c r="B1120">
        <v>9353573</v>
      </c>
      <c r="C1120" t="s">
        <v>1622</v>
      </c>
      <c r="D1120" t="s">
        <v>1</v>
      </c>
      <c r="E1120" t="s">
        <v>2</v>
      </c>
      <c r="F1120">
        <v>45000000</v>
      </c>
      <c r="G1120">
        <v>2009</v>
      </c>
      <c r="H1120">
        <v>2.7</v>
      </c>
    </row>
    <row r="1121" spans="1:8" x14ac:dyDescent="0.25">
      <c r="A1121">
        <v>107</v>
      </c>
      <c r="B1121">
        <v>12026670</v>
      </c>
      <c r="C1121" t="s">
        <v>1623</v>
      </c>
      <c r="D1121" t="s">
        <v>1</v>
      </c>
      <c r="E1121" t="s">
        <v>2</v>
      </c>
      <c r="F1121">
        <v>45000000</v>
      </c>
      <c r="G1121">
        <v>2013</v>
      </c>
      <c r="H1121">
        <v>6.4</v>
      </c>
    </row>
    <row r="1122" spans="1:8" x14ac:dyDescent="0.25">
      <c r="A1122">
        <v>95</v>
      </c>
      <c r="B1122">
        <v>89808372</v>
      </c>
      <c r="C1122" t="s">
        <v>1786</v>
      </c>
      <c r="D1122" t="s">
        <v>1</v>
      </c>
      <c r="E1122" t="s">
        <v>2</v>
      </c>
      <c r="F1122">
        <v>45000000</v>
      </c>
      <c r="G1122">
        <v>2003</v>
      </c>
      <c r="H1122">
        <v>4.5999999999999996</v>
      </c>
    </row>
    <row r="1123" spans="1:8" x14ac:dyDescent="0.25">
      <c r="A1123">
        <v>45</v>
      </c>
      <c r="B1123">
        <v>145109</v>
      </c>
      <c r="C1123" t="s">
        <v>2944</v>
      </c>
      <c r="D1123" t="s">
        <v>2945</v>
      </c>
      <c r="E1123" t="s">
        <v>1438</v>
      </c>
      <c r="F1123">
        <v>45000000</v>
      </c>
      <c r="G1123">
        <v>2008</v>
      </c>
      <c r="H1123">
        <v>7.3</v>
      </c>
    </row>
    <row r="1124" spans="1:8" x14ac:dyDescent="0.25">
      <c r="A1124">
        <v>133</v>
      </c>
      <c r="B1124">
        <v>24343673</v>
      </c>
      <c r="C1124" t="s">
        <v>1069</v>
      </c>
      <c r="D1124" t="s">
        <v>1</v>
      </c>
      <c r="E1124" t="s">
        <v>2</v>
      </c>
      <c r="F1124">
        <v>45000000</v>
      </c>
      <c r="G1124">
        <v>2007</v>
      </c>
      <c r="H1124">
        <v>7.4</v>
      </c>
    </row>
    <row r="1125" spans="1:8" x14ac:dyDescent="0.25">
      <c r="A1125">
        <v>130</v>
      </c>
      <c r="B1125">
        <v>136019448</v>
      </c>
      <c r="C1125" t="s">
        <v>1090</v>
      </c>
      <c r="D1125" t="s">
        <v>1</v>
      </c>
      <c r="E1125" t="s">
        <v>2</v>
      </c>
      <c r="F1125">
        <v>44500000</v>
      </c>
      <c r="G1125">
        <v>2012</v>
      </c>
      <c r="H1125">
        <v>7.7</v>
      </c>
    </row>
    <row r="1126" spans="1:8" x14ac:dyDescent="0.25">
      <c r="A1126">
        <v>119</v>
      </c>
      <c r="B1126">
        <v>21471685</v>
      </c>
      <c r="C1126" t="s">
        <v>484</v>
      </c>
      <c r="D1126" t="s">
        <v>1</v>
      </c>
      <c r="E1126" t="s">
        <v>2</v>
      </c>
      <c r="F1126">
        <v>44000000</v>
      </c>
      <c r="G1126">
        <v>2000</v>
      </c>
      <c r="H1126">
        <v>2.4</v>
      </c>
    </row>
    <row r="1127" spans="1:8" x14ac:dyDescent="0.25">
      <c r="A1127">
        <v>187</v>
      </c>
      <c r="B1127">
        <v>54116191</v>
      </c>
      <c r="C1127" t="s">
        <v>685</v>
      </c>
      <c r="D1127" t="s">
        <v>1</v>
      </c>
      <c r="E1127" t="s">
        <v>2</v>
      </c>
      <c r="F1127">
        <v>44000000</v>
      </c>
      <c r="G1127">
        <v>2015</v>
      </c>
      <c r="H1127">
        <v>7.9</v>
      </c>
    </row>
    <row r="1128" spans="1:8" x14ac:dyDescent="0.25">
      <c r="A1128">
        <v>130</v>
      </c>
      <c r="B1128">
        <v>183875760</v>
      </c>
      <c r="C1128" t="s">
        <v>1091</v>
      </c>
      <c r="D1128" t="s">
        <v>1</v>
      </c>
      <c r="E1128" t="s">
        <v>2</v>
      </c>
      <c r="F1128">
        <v>44000000</v>
      </c>
      <c r="G1128">
        <v>1993</v>
      </c>
      <c r="H1128">
        <v>7.8</v>
      </c>
    </row>
    <row r="1129" spans="1:8" x14ac:dyDescent="0.25">
      <c r="A1129">
        <v>147</v>
      </c>
      <c r="B1129">
        <v>53300852</v>
      </c>
      <c r="C1129" t="s">
        <v>1093</v>
      </c>
      <c r="D1129" t="s">
        <v>1</v>
      </c>
      <c r="E1129" t="s">
        <v>2</v>
      </c>
      <c r="F1129">
        <v>44000000</v>
      </c>
      <c r="G1129">
        <v>1996</v>
      </c>
      <c r="H1129">
        <v>7.5</v>
      </c>
    </row>
    <row r="1130" spans="1:8" x14ac:dyDescent="0.25">
      <c r="A1130">
        <v>96</v>
      </c>
      <c r="B1130">
        <v>150415432</v>
      </c>
      <c r="C1130" t="s">
        <v>1094</v>
      </c>
      <c r="D1130" t="s">
        <v>1</v>
      </c>
      <c r="E1130" t="s">
        <v>2</v>
      </c>
      <c r="F1130">
        <v>44000000</v>
      </c>
      <c r="G1130">
        <v>1985</v>
      </c>
      <c r="H1130">
        <v>6.4</v>
      </c>
    </row>
    <row r="1131" spans="1:8" x14ac:dyDescent="0.25">
      <c r="A1131">
        <v>118</v>
      </c>
      <c r="B1131">
        <v>44834712</v>
      </c>
      <c r="C1131" t="s">
        <v>1095</v>
      </c>
      <c r="D1131" t="s">
        <v>1</v>
      </c>
      <c r="E1131" t="s">
        <v>2</v>
      </c>
      <c r="F1131">
        <v>44000000</v>
      </c>
      <c r="G1131">
        <v>1996</v>
      </c>
      <c r="H1131">
        <v>5.6</v>
      </c>
    </row>
    <row r="1132" spans="1:8" x14ac:dyDescent="0.25">
      <c r="A1132">
        <v>325</v>
      </c>
      <c r="B1132">
        <v>1500000</v>
      </c>
      <c r="C1132" t="s">
        <v>1097</v>
      </c>
      <c r="D1132" t="s">
        <v>1</v>
      </c>
      <c r="E1132" t="s">
        <v>2</v>
      </c>
      <c r="F1132">
        <v>44000000</v>
      </c>
      <c r="G1132">
        <v>1980</v>
      </c>
      <c r="H1132">
        <v>6.8</v>
      </c>
    </row>
    <row r="1133" spans="1:8" x14ac:dyDescent="0.25">
      <c r="A1133">
        <v>99</v>
      </c>
      <c r="B1133">
        <v>31136950</v>
      </c>
      <c r="C1133" t="s">
        <v>1105</v>
      </c>
      <c r="D1133" t="s">
        <v>1</v>
      </c>
      <c r="E1133" t="s">
        <v>2</v>
      </c>
      <c r="F1133">
        <v>44000000</v>
      </c>
      <c r="G1133">
        <v>2010</v>
      </c>
      <c r="H1133">
        <v>6.5</v>
      </c>
    </row>
    <row r="1134" spans="1:8" x14ac:dyDescent="0.25">
      <c r="A1134">
        <v>112</v>
      </c>
      <c r="B1134">
        <v>6105175</v>
      </c>
      <c r="C1134" t="s">
        <v>1126</v>
      </c>
      <c r="D1134" t="s">
        <v>1</v>
      </c>
      <c r="E1134" t="s">
        <v>2</v>
      </c>
      <c r="F1134">
        <v>44000000</v>
      </c>
      <c r="G1134">
        <v>2014</v>
      </c>
      <c r="H1134">
        <v>6.6</v>
      </c>
    </row>
    <row r="1135" spans="1:8" x14ac:dyDescent="0.25">
      <c r="A1135">
        <v>100</v>
      </c>
      <c r="B1135">
        <v>24407944</v>
      </c>
      <c r="C1135" t="s">
        <v>668</v>
      </c>
      <c r="D1135" t="s">
        <v>1</v>
      </c>
      <c r="E1135" t="s">
        <v>38</v>
      </c>
      <c r="F1135">
        <v>43000000</v>
      </c>
      <c r="G1135">
        <v>2005</v>
      </c>
      <c r="H1135">
        <v>4.8</v>
      </c>
    </row>
    <row r="1136" spans="1:8" x14ac:dyDescent="0.25">
      <c r="A1136">
        <v>136</v>
      </c>
      <c r="B1136">
        <v>51768623</v>
      </c>
      <c r="C1136" t="s">
        <v>1100</v>
      </c>
      <c r="D1136" t="s">
        <v>1</v>
      </c>
      <c r="E1136" t="s">
        <v>2</v>
      </c>
      <c r="F1136">
        <v>43000000</v>
      </c>
      <c r="G1136">
        <v>2000</v>
      </c>
      <c r="H1136">
        <v>7.3</v>
      </c>
    </row>
    <row r="1137" spans="1:8" x14ac:dyDescent="0.25">
      <c r="A1137">
        <v>103</v>
      </c>
      <c r="B1137">
        <v>37035515</v>
      </c>
      <c r="C1137" t="s">
        <v>1101</v>
      </c>
      <c r="D1137" t="s">
        <v>1</v>
      </c>
      <c r="E1137" t="s">
        <v>2</v>
      </c>
      <c r="F1137">
        <v>43000000</v>
      </c>
      <c r="G1137">
        <v>2000</v>
      </c>
      <c r="H1137">
        <v>6</v>
      </c>
    </row>
    <row r="1138" spans="1:8" x14ac:dyDescent="0.25">
      <c r="A1138">
        <v>90</v>
      </c>
      <c r="B1138">
        <v>24430272</v>
      </c>
      <c r="C1138" t="s">
        <v>1103</v>
      </c>
      <c r="D1138" t="s">
        <v>1</v>
      </c>
      <c r="E1138" t="s">
        <v>2</v>
      </c>
      <c r="F1138">
        <v>43000000</v>
      </c>
      <c r="G1138">
        <v>2002</v>
      </c>
      <c r="H1138">
        <v>5.0999999999999996</v>
      </c>
    </row>
    <row r="1139" spans="1:8" x14ac:dyDescent="0.25">
      <c r="A1139">
        <v>123</v>
      </c>
      <c r="B1139">
        <v>159578352</v>
      </c>
      <c r="C1139" t="s">
        <v>1112</v>
      </c>
      <c r="D1139" t="s">
        <v>1</v>
      </c>
      <c r="E1139" t="s">
        <v>2</v>
      </c>
      <c r="F1139">
        <v>43000000</v>
      </c>
      <c r="G1139">
        <v>2013</v>
      </c>
      <c r="H1139">
        <v>6.6</v>
      </c>
    </row>
    <row r="1140" spans="1:8" x14ac:dyDescent="0.25">
      <c r="A1140">
        <v>104</v>
      </c>
      <c r="B1140">
        <v>47806295</v>
      </c>
      <c r="C1140" t="s">
        <v>1192</v>
      </c>
      <c r="D1140" t="s">
        <v>1</v>
      </c>
      <c r="E1140" t="s">
        <v>2</v>
      </c>
      <c r="F1140">
        <v>43000000</v>
      </c>
      <c r="G1140">
        <v>2005</v>
      </c>
      <c r="H1140">
        <v>6.5</v>
      </c>
    </row>
    <row r="1141" spans="1:8" x14ac:dyDescent="0.25">
      <c r="A1141">
        <v>125</v>
      </c>
      <c r="B1141">
        <v>15738632</v>
      </c>
      <c r="C1141" t="s">
        <v>684</v>
      </c>
      <c r="D1141" t="s">
        <v>1</v>
      </c>
      <c r="E1141" t="s">
        <v>2</v>
      </c>
      <c r="F1141">
        <v>42000000</v>
      </c>
      <c r="G1141">
        <v>2001</v>
      </c>
      <c r="H1141">
        <v>5.9</v>
      </c>
    </row>
    <row r="1142" spans="1:8" x14ac:dyDescent="0.25">
      <c r="A1142">
        <v>154</v>
      </c>
      <c r="B1142">
        <v>158348400</v>
      </c>
      <c r="C1142" t="s">
        <v>1104</v>
      </c>
      <c r="D1142" t="s">
        <v>1</v>
      </c>
      <c r="E1142" t="s">
        <v>2</v>
      </c>
      <c r="F1142">
        <v>42000000</v>
      </c>
      <c r="G1142">
        <v>1993</v>
      </c>
      <c r="H1142">
        <v>6.8</v>
      </c>
    </row>
    <row r="1143" spans="1:8" x14ac:dyDescent="0.25">
      <c r="A1143">
        <v>109</v>
      </c>
      <c r="B1143">
        <v>138447667</v>
      </c>
      <c r="C1143" t="s">
        <v>1107</v>
      </c>
      <c r="D1143" t="s">
        <v>1</v>
      </c>
      <c r="E1143" t="s">
        <v>2</v>
      </c>
      <c r="F1143">
        <v>42000000</v>
      </c>
      <c r="G1143">
        <v>2012</v>
      </c>
      <c r="H1143">
        <v>7.2</v>
      </c>
    </row>
    <row r="1144" spans="1:8" x14ac:dyDescent="0.25">
      <c r="A1144">
        <v>124</v>
      </c>
      <c r="B1144">
        <v>116006080</v>
      </c>
      <c r="C1144" t="s">
        <v>1108</v>
      </c>
      <c r="D1144" t="s">
        <v>1</v>
      </c>
      <c r="E1144" t="s">
        <v>5</v>
      </c>
      <c r="F1144">
        <v>42000000</v>
      </c>
      <c r="G1144">
        <v>1999</v>
      </c>
      <c r="H1144">
        <v>7</v>
      </c>
    </row>
    <row r="1145" spans="1:8" x14ac:dyDescent="0.25">
      <c r="A1145">
        <v>90</v>
      </c>
      <c r="B1145">
        <v>87856565</v>
      </c>
      <c r="C1145" t="s">
        <v>1110</v>
      </c>
      <c r="D1145" t="s">
        <v>1</v>
      </c>
      <c r="E1145" t="s">
        <v>2</v>
      </c>
      <c r="F1145">
        <v>42000000</v>
      </c>
      <c r="G1145">
        <v>2004</v>
      </c>
      <c r="H1145">
        <v>5.9</v>
      </c>
    </row>
    <row r="1146" spans="1:8" x14ac:dyDescent="0.25">
      <c r="A1146">
        <v>105</v>
      </c>
      <c r="B1146">
        <v>45290318</v>
      </c>
      <c r="C1146" t="s">
        <v>1114</v>
      </c>
      <c r="D1146" t="s">
        <v>1</v>
      </c>
      <c r="E1146" t="s">
        <v>2</v>
      </c>
      <c r="F1146">
        <v>42000000</v>
      </c>
      <c r="G1146">
        <v>2012</v>
      </c>
      <c r="H1146">
        <v>6.5</v>
      </c>
    </row>
    <row r="1147" spans="1:8" x14ac:dyDescent="0.25">
      <c r="A1147">
        <v>115</v>
      </c>
      <c r="B1147">
        <v>41543207</v>
      </c>
      <c r="C1147" t="s">
        <v>1115</v>
      </c>
      <c r="D1147" t="s">
        <v>1</v>
      </c>
      <c r="E1147" t="s">
        <v>2</v>
      </c>
      <c r="F1147">
        <v>42000000</v>
      </c>
      <c r="G1147">
        <v>2002</v>
      </c>
      <c r="H1147">
        <v>6.3</v>
      </c>
    </row>
    <row r="1148" spans="1:8" x14ac:dyDescent="0.25">
      <c r="A1148">
        <v>122</v>
      </c>
      <c r="B1148">
        <v>41252428</v>
      </c>
      <c r="C1148" t="s">
        <v>1116</v>
      </c>
      <c r="D1148" t="s">
        <v>1</v>
      </c>
      <c r="E1148" t="s">
        <v>2</v>
      </c>
      <c r="F1148">
        <v>42000000</v>
      </c>
      <c r="G1148">
        <v>1996</v>
      </c>
      <c r="H1148">
        <v>6.5</v>
      </c>
    </row>
    <row r="1149" spans="1:8" x14ac:dyDescent="0.25">
      <c r="A1149">
        <v>81</v>
      </c>
      <c r="B1149">
        <v>59992760</v>
      </c>
      <c r="C1149" t="s">
        <v>1118</v>
      </c>
      <c r="D1149" t="s">
        <v>1</v>
      </c>
      <c r="E1149" t="s">
        <v>2</v>
      </c>
      <c r="F1149">
        <v>42000000</v>
      </c>
      <c r="G1149">
        <v>2009</v>
      </c>
      <c r="H1149">
        <v>5.8</v>
      </c>
    </row>
    <row r="1150" spans="1:8" x14ac:dyDescent="0.25">
      <c r="A1150">
        <v>100</v>
      </c>
      <c r="B1150">
        <v>37652565</v>
      </c>
      <c r="C1150" t="s">
        <v>1120</v>
      </c>
      <c r="D1150" t="s">
        <v>1</v>
      </c>
      <c r="E1150" t="s">
        <v>2</v>
      </c>
      <c r="F1150">
        <v>42000000</v>
      </c>
      <c r="G1150">
        <v>2011</v>
      </c>
      <c r="H1150">
        <v>5.4</v>
      </c>
    </row>
    <row r="1151" spans="1:8" x14ac:dyDescent="0.25">
      <c r="A1151">
        <v>120</v>
      </c>
      <c r="B1151">
        <v>24375436</v>
      </c>
      <c r="C1151" t="s">
        <v>1121</v>
      </c>
      <c r="D1151" t="s">
        <v>1</v>
      </c>
      <c r="E1151" t="s">
        <v>2</v>
      </c>
      <c r="F1151">
        <v>42000000</v>
      </c>
      <c r="G1151">
        <v>2001</v>
      </c>
      <c r="H1151">
        <v>6.1</v>
      </c>
    </row>
    <row r="1152" spans="1:8" x14ac:dyDescent="0.25">
      <c r="A1152">
        <v>104</v>
      </c>
      <c r="B1152">
        <v>20915465</v>
      </c>
      <c r="C1152" t="s">
        <v>1122</v>
      </c>
      <c r="D1152" t="s">
        <v>1</v>
      </c>
      <c r="E1152" t="s">
        <v>5</v>
      </c>
      <c r="F1152">
        <v>42000000</v>
      </c>
      <c r="G1152">
        <v>1993</v>
      </c>
      <c r="H1152">
        <v>4</v>
      </c>
    </row>
    <row r="1153" spans="1:8" x14ac:dyDescent="0.25">
      <c r="A1153">
        <v>102</v>
      </c>
      <c r="B1153">
        <v>18600911</v>
      </c>
      <c r="C1153" t="s">
        <v>1133</v>
      </c>
      <c r="D1153" t="s">
        <v>1</v>
      </c>
      <c r="E1153" t="s">
        <v>2</v>
      </c>
      <c r="F1153">
        <v>42000000</v>
      </c>
      <c r="G1153">
        <v>2012</v>
      </c>
      <c r="H1153">
        <v>6.6</v>
      </c>
    </row>
    <row r="1154" spans="1:8" x14ac:dyDescent="0.25">
      <c r="A1154">
        <v>116</v>
      </c>
      <c r="B1154">
        <v>54414716</v>
      </c>
      <c r="C1154" t="s">
        <v>1183</v>
      </c>
      <c r="D1154" t="s">
        <v>1</v>
      </c>
      <c r="E1154" t="s">
        <v>2</v>
      </c>
      <c r="F1154">
        <v>42000000</v>
      </c>
      <c r="G1154">
        <v>2014</v>
      </c>
      <c r="H1154">
        <v>6.3</v>
      </c>
    </row>
    <row r="1155" spans="1:8" x14ac:dyDescent="0.25">
      <c r="A1155">
        <v>101</v>
      </c>
      <c r="B1155">
        <v>13208023</v>
      </c>
      <c r="C1155" t="s">
        <v>1251</v>
      </c>
      <c r="D1155" t="s">
        <v>1</v>
      </c>
      <c r="E1155" t="s">
        <v>5</v>
      </c>
      <c r="F1155">
        <v>42000000</v>
      </c>
      <c r="G1155">
        <v>2002</v>
      </c>
      <c r="H1155">
        <v>3.3</v>
      </c>
    </row>
    <row r="1156" spans="1:8" x14ac:dyDescent="0.25">
      <c r="A1156">
        <v>85</v>
      </c>
      <c r="B1156">
        <v>64238770</v>
      </c>
      <c r="C1156" t="s">
        <v>1554</v>
      </c>
      <c r="D1156" t="s">
        <v>1</v>
      </c>
      <c r="E1156" t="s">
        <v>38</v>
      </c>
      <c r="F1156">
        <v>42000000</v>
      </c>
      <c r="G1156">
        <v>2014</v>
      </c>
      <c r="H1156">
        <v>5.8</v>
      </c>
    </row>
    <row r="1157" spans="1:8" x14ac:dyDescent="0.25">
      <c r="A1157">
        <v>118</v>
      </c>
      <c r="B1157">
        <v>16252765</v>
      </c>
      <c r="C1157" t="s">
        <v>1755</v>
      </c>
      <c r="D1157" t="s">
        <v>1</v>
      </c>
      <c r="E1157" t="s">
        <v>244</v>
      </c>
      <c r="F1157">
        <v>42000000</v>
      </c>
      <c r="G1157">
        <v>2001</v>
      </c>
      <c r="H1157">
        <v>6</v>
      </c>
    </row>
    <row r="1158" spans="1:8" x14ac:dyDescent="0.25">
      <c r="A1158">
        <v>110</v>
      </c>
      <c r="B1158">
        <v>116724075</v>
      </c>
      <c r="C1158" t="s">
        <v>1129</v>
      </c>
      <c r="D1158" t="s">
        <v>1</v>
      </c>
      <c r="E1158" t="s">
        <v>2</v>
      </c>
      <c r="F1158">
        <v>41000000</v>
      </c>
      <c r="G1158">
        <v>2002</v>
      </c>
      <c r="H1158">
        <v>7</v>
      </c>
    </row>
    <row r="1159" spans="1:8" x14ac:dyDescent="0.25">
      <c r="A1159">
        <v>108</v>
      </c>
      <c r="B1159">
        <v>22108977</v>
      </c>
      <c r="C1159" t="s">
        <v>1131</v>
      </c>
      <c r="D1159" t="s">
        <v>1</v>
      </c>
      <c r="E1159" t="s">
        <v>675</v>
      </c>
      <c r="F1159">
        <v>41000000</v>
      </c>
      <c r="G1159">
        <v>2003</v>
      </c>
      <c r="H1159">
        <v>5.2</v>
      </c>
    </row>
    <row r="1160" spans="1:8" x14ac:dyDescent="0.25">
      <c r="A1160">
        <v>100</v>
      </c>
      <c r="B1160">
        <v>7204138</v>
      </c>
      <c r="C1160" t="s">
        <v>1134</v>
      </c>
      <c r="D1160" t="s">
        <v>1</v>
      </c>
      <c r="E1160" t="s">
        <v>2</v>
      </c>
      <c r="F1160">
        <v>41000000</v>
      </c>
      <c r="G1160">
        <v>2011</v>
      </c>
      <c r="H1160">
        <v>6.2</v>
      </c>
    </row>
    <row r="1161" spans="1:8" x14ac:dyDescent="0.25">
      <c r="A1161">
        <v>104</v>
      </c>
      <c r="B1161">
        <v>19406406</v>
      </c>
      <c r="C1161" t="s">
        <v>493</v>
      </c>
      <c r="D1161" t="s">
        <v>243</v>
      </c>
      <c r="E1161" t="s">
        <v>244</v>
      </c>
      <c r="F1161">
        <v>40000000</v>
      </c>
      <c r="G1161">
        <v>2009</v>
      </c>
      <c r="H1161">
        <v>7.8</v>
      </c>
    </row>
    <row r="1162" spans="1:8" x14ac:dyDescent="0.25">
      <c r="A1162">
        <v>110</v>
      </c>
      <c r="B1162">
        <v>33927476</v>
      </c>
      <c r="C1162" t="s">
        <v>757</v>
      </c>
      <c r="D1162" t="s">
        <v>1</v>
      </c>
      <c r="E1162" t="s">
        <v>5</v>
      </c>
      <c r="F1162">
        <v>40000000</v>
      </c>
      <c r="G1162">
        <v>1997</v>
      </c>
      <c r="H1162">
        <v>5.7</v>
      </c>
    </row>
    <row r="1163" spans="1:8" x14ac:dyDescent="0.25">
      <c r="A1163">
        <v>157</v>
      </c>
      <c r="B1163">
        <v>95720716</v>
      </c>
      <c r="C1163" t="s">
        <v>878</v>
      </c>
      <c r="D1163" t="s">
        <v>1</v>
      </c>
      <c r="E1163" t="s">
        <v>2</v>
      </c>
      <c r="F1163">
        <v>40000000</v>
      </c>
      <c r="G1163">
        <v>2012</v>
      </c>
      <c r="H1163">
        <v>7.4</v>
      </c>
    </row>
    <row r="1164" spans="1:8" x14ac:dyDescent="0.25">
      <c r="A1164">
        <v>108</v>
      </c>
      <c r="B1164">
        <v>40203020</v>
      </c>
      <c r="C1164" t="s">
        <v>948</v>
      </c>
      <c r="D1164" t="s">
        <v>1</v>
      </c>
      <c r="E1164" t="s">
        <v>5</v>
      </c>
      <c r="F1164">
        <v>40000000</v>
      </c>
      <c r="G1164">
        <v>2004</v>
      </c>
      <c r="H1164">
        <v>5.9</v>
      </c>
    </row>
    <row r="1165" spans="1:8" x14ac:dyDescent="0.25">
      <c r="A1165">
        <v>99</v>
      </c>
      <c r="B1165">
        <v>38105077</v>
      </c>
      <c r="C1165" t="s">
        <v>954</v>
      </c>
      <c r="D1165" t="s">
        <v>1</v>
      </c>
      <c r="E1165" t="s">
        <v>2</v>
      </c>
      <c r="F1165">
        <v>40000000</v>
      </c>
      <c r="G1165">
        <v>2009</v>
      </c>
      <c r="H1165">
        <v>6.4</v>
      </c>
    </row>
    <row r="1166" spans="1:8" x14ac:dyDescent="0.25">
      <c r="A1166">
        <v>117</v>
      </c>
      <c r="B1166">
        <v>32800000</v>
      </c>
      <c r="C1166" t="s">
        <v>956</v>
      </c>
      <c r="D1166" t="s">
        <v>1</v>
      </c>
      <c r="E1166" t="s">
        <v>2</v>
      </c>
      <c r="F1166">
        <v>40000000</v>
      </c>
      <c r="G1166">
        <v>1996</v>
      </c>
      <c r="H1166">
        <v>4.3</v>
      </c>
    </row>
    <row r="1167" spans="1:8" x14ac:dyDescent="0.25">
      <c r="A1167">
        <v>125</v>
      </c>
      <c r="B1167">
        <v>26616999</v>
      </c>
      <c r="C1167" t="s">
        <v>963</v>
      </c>
      <c r="D1167" t="s">
        <v>1</v>
      </c>
      <c r="E1167" t="s">
        <v>2</v>
      </c>
      <c r="F1167">
        <v>40000000</v>
      </c>
      <c r="G1167">
        <v>2013</v>
      </c>
      <c r="H1167">
        <v>5.9</v>
      </c>
    </row>
    <row r="1168" spans="1:8" x14ac:dyDescent="0.25">
      <c r="A1168">
        <v>100</v>
      </c>
      <c r="B1168">
        <v>19118247</v>
      </c>
      <c r="C1168" t="s">
        <v>972</v>
      </c>
      <c r="D1168" t="s">
        <v>1</v>
      </c>
      <c r="E1168" t="s">
        <v>2</v>
      </c>
      <c r="F1168">
        <v>40000000</v>
      </c>
      <c r="G1168">
        <v>2005</v>
      </c>
      <c r="H1168">
        <v>5.4</v>
      </c>
    </row>
    <row r="1169" spans="1:8" x14ac:dyDescent="0.25">
      <c r="A1169">
        <v>104</v>
      </c>
      <c r="B1169">
        <v>21413502</v>
      </c>
      <c r="C1169" t="s">
        <v>994</v>
      </c>
      <c r="D1169" t="s">
        <v>1</v>
      </c>
      <c r="E1169" t="s">
        <v>2</v>
      </c>
      <c r="F1169">
        <v>40000000</v>
      </c>
      <c r="G1169">
        <v>1990</v>
      </c>
      <c r="H1169">
        <v>6.3</v>
      </c>
    </row>
    <row r="1170" spans="1:8" x14ac:dyDescent="0.25">
      <c r="A1170">
        <v>113</v>
      </c>
      <c r="B1170">
        <v>95149435</v>
      </c>
      <c r="C1170" t="s">
        <v>1034</v>
      </c>
      <c r="D1170" t="s">
        <v>1</v>
      </c>
      <c r="E1170" t="s">
        <v>2</v>
      </c>
      <c r="F1170">
        <v>40000000</v>
      </c>
      <c r="G1170">
        <v>2004</v>
      </c>
      <c r="H1170">
        <v>5.7</v>
      </c>
    </row>
    <row r="1171" spans="1:8" x14ac:dyDescent="0.25">
      <c r="A1171">
        <v>117</v>
      </c>
      <c r="B1171">
        <v>46280507</v>
      </c>
      <c r="C1171" t="s">
        <v>1060</v>
      </c>
      <c r="D1171" t="s">
        <v>1</v>
      </c>
      <c r="E1171" t="s">
        <v>2</v>
      </c>
      <c r="F1171">
        <v>40000000</v>
      </c>
      <c r="G1171">
        <v>2014</v>
      </c>
      <c r="H1171">
        <v>6.5</v>
      </c>
    </row>
    <row r="1172" spans="1:8" x14ac:dyDescent="0.25">
      <c r="A1172">
        <v>177</v>
      </c>
      <c r="B1172">
        <v>27400000</v>
      </c>
      <c r="C1172" t="s">
        <v>1068</v>
      </c>
      <c r="D1172" t="s">
        <v>1</v>
      </c>
      <c r="E1172" t="s">
        <v>2</v>
      </c>
      <c r="F1172">
        <v>40000000</v>
      </c>
      <c r="G1172">
        <v>1984</v>
      </c>
      <c r="H1172">
        <v>6.6</v>
      </c>
    </row>
    <row r="1173" spans="1:8" x14ac:dyDescent="0.25">
      <c r="A1173">
        <v>99</v>
      </c>
      <c r="B1173">
        <v>15279680</v>
      </c>
      <c r="C1173" t="s">
        <v>1085</v>
      </c>
      <c r="D1173" t="s">
        <v>1</v>
      </c>
      <c r="E1173" t="s">
        <v>2</v>
      </c>
      <c r="F1173">
        <v>40000000</v>
      </c>
      <c r="G1173">
        <v>2008</v>
      </c>
      <c r="H1173">
        <v>5.4</v>
      </c>
    </row>
    <row r="1174" spans="1:8" x14ac:dyDescent="0.25">
      <c r="A1174">
        <v>74</v>
      </c>
      <c r="B1174">
        <v>7262288</v>
      </c>
      <c r="C1174" t="s">
        <v>1086</v>
      </c>
      <c r="D1174" t="s">
        <v>1</v>
      </c>
      <c r="E1174" t="s">
        <v>2</v>
      </c>
      <c r="F1174">
        <v>40000000</v>
      </c>
      <c r="G1174">
        <v>2002</v>
      </c>
      <c r="H1174">
        <v>6.5</v>
      </c>
    </row>
    <row r="1175" spans="1:8" x14ac:dyDescent="0.25">
      <c r="A1175">
        <v>110</v>
      </c>
      <c r="B1175">
        <v>67061228</v>
      </c>
      <c r="C1175" t="s">
        <v>1092</v>
      </c>
      <c r="D1175" t="s">
        <v>1</v>
      </c>
      <c r="E1175" t="s">
        <v>2</v>
      </c>
      <c r="F1175">
        <v>40000000</v>
      </c>
      <c r="G1175">
        <v>2010</v>
      </c>
      <c r="H1175">
        <v>5.5</v>
      </c>
    </row>
    <row r="1176" spans="1:8" x14ac:dyDescent="0.25">
      <c r="A1176">
        <v>110</v>
      </c>
      <c r="B1176">
        <v>5773519</v>
      </c>
      <c r="C1176" t="s">
        <v>1099</v>
      </c>
      <c r="D1176" t="s">
        <v>1</v>
      </c>
      <c r="E1176" t="s">
        <v>2</v>
      </c>
      <c r="F1176">
        <v>40000000</v>
      </c>
      <c r="G1176">
        <v>2015</v>
      </c>
      <c r="H1176">
        <v>6</v>
      </c>
    </row>
    <row r="1177" spans="1:8" x14ac:dyDescent="0.25">
      <c r="A1177">
        <v>93</v>
      </c>
      <c r="B1177">
        <v>29113588</v>
      </c>
      <c r="C1177" t="s">
        <v>1106</v>
      </c>
      <c r="D1177" t="s">
        <v>1</v>
      </c>
      <c r="E1177" t="s">
        <v>2</v>
      </c>
      <c r="F1177">
        <v>40000000</v>
      </c>
      <c r="G1177">
        <v>2011</v>
      </c>
      <c r="H1177">
        <v>6.6</v>
      </c>
    </row>
    <row r="1178" spans="1:8" x14ac:dyDescent="0.25">
      <c r="A1178">
        <v>117</v>
      </c>
      <c r="B1178">
        <v>70100000</v>
      </c>
      <c r="C1178" t="s">
        <v>1111</v>
      </c>
      <c r="D1178" t="s">
        <v>1</v>
      </c>
      <c r="E1178" t="s">
        <v>2</v>
      </c>
      <c r="F1178">
        <v>40000000</v>
      </c>
      <c r="G1178">
        <v>1992</v>
      </c>
      <c r="H1178">
        <v>5.4</v>
      </c>
    </row>
    <row r="1179" spans="1:8" x14ac:dyDescent="0.25">
      <c r="A1179">
        <v>91</v>
      </c>
      <c r="B1179">
        <v>26404753</v>
      </c>
      <c r="C1179" t="s">
        <v>1125</v>
      </c>
      <c r="D1179" t="s">
        <v>1</v>
      </c>
      <c r="E1179" t="s">
        <v>2</v>
      </c>
      <c r="F1179">
        <v>40000000</v>
      </c>
      <c r="G1179">
        <v>2012</v>
      </c>
      <c r="H1179">
        <v>5.3</v>
      </c>
    </row>
    <row r="1180" spans="1:8" x14ac:dyDescent="0.25">
      <c r="A1180">
        <v>107</v>
      </c>
      <c r="B1180">
        <v>293501675</v>
      </c>
      <c r="C1180" t="s">
        <v>1132</v>
      </c>
      <c r="D1180" t="s">
        <v>1</v>
      </c>
      <c r="E1180" t="s">
        <v>2</v>
      </c>
      <c r="F1180">
        <v>40000000</v>
      </c>
      <c r="G1180">
        <v>1999</v>
      </c>
      <c r="H1180">
        <v>8.1</v>
      </c>
    </row>
    <row r="1181" spans="1:8" x14ac:dyDescent="0.25">
      <c r="A1181">
        <v>138</v>
      </c>
      <c r="B1181">
        <v>150117807</v>
      </c>
      <c r="C1181" t="s">
        <v>1136</v>
      </c>
      <c r="D1181" t="s">
        <v>1</v>
      </c>
      <c r="E1181" t="s">
        <v>2</v>
      </c>
      <c r="F1181">
        <v>40000000</v>
      </c>
      <c r="G1181">
        <v>2013</v>
      </c>
      <c r="H1181">
        <v>7.3</v>
      </c>
    </row>
    <row r="1182" spans="1:8" x14ac:dyDescent="0.25">
      <c r="A1182">
        <v>108</v>
      </c>
      <c r="B1182">
        <v>163947053</v>
      </c>
      <c r="C1182" t="s">
        <v>1137</v>
      </c>
      <c r="D1182" t="s">
        <v>1</v>
      </c>
      <c r="E1182" t="s">
        <v>2</v>
      </c>
      <c r="F1182">
        <v>40000000</v>
      </c>
      <c r="G1182">
        <v>2009</v>
      </c>
      <c r="H1182">
        <v>6.7</v>
      </c>
    </row>
    <row r="1183" spans="1:8" x14ac:dyDescent="0.25">
      <c r="A1183">
        <v>108</v>
      </c>
      <c r="B1183">
        <v>118500000</v>
      </c>
      <c r="C1183" t="s">
        <v>1139</v>
      </c>
      <c r="D1183" t="s">
        <v>1</v>
      </c>
      <c r="E1183" t="s">
        <v>2</v>
      </c>
      <c r="F1183">
        <v>40000000</v>
      </c>
      <c r="G1183">
        <v>1989</v>
      </c>
      <c r="H1183">
        <v>7.8</v>
      </c>
    </row>
    <row r="1184" spans="1:8" x14ac:dyDescent="0.25">
      <c r="A1184">
        <v>89</v>
      </c>
      <c r="B1184">
        <v>126546825</v>
      </c>
      <c r="C1184" t="s">
        <v>1140</v>
      </c>
      <c r="D1184" t="s">
        <v>1</v>
      </c>
      <c r="E1184" t="s">
        <v>244</v>
      </c>
      <c r="F1184">
        <v>40000000</v>
      </c>
      <c r="G1184">
        <v>2014</v>
      </c>
      <c r="H1184">
        <v>6.4</v>
      </c>
    </row>
    <row r="1185" spans="1:8" x14ac:dyDescent="0.25">
      <c r="A1185">
        <v>129</v>
      </c>
      <c r="B1185">
        <v>166147885</v>
      </c>
      <c r="C1185" t="s">
        <v>1141</v>
      </c>
      <c r="D1185" t="s">
        <v>1</v>
      </c>
      <c r="E1185" t="s">
        <v>2</v>
      </c>
      <c r="F1185">
        <v>40000000</v>
      </c>
      <c r="G1185">
        <v>2015</v>
      </c>
      <c r="H1185">
        <v>4.0999999999999996</v>
      </c>
    </row>
    <row r="1186" spans="1:8" x14ac:dyDescent="0.25">
      <c r="A1186">
        <v>149</v>
      </c>
      <c r="B1186">
        <v>108706165</v>
      </c>
      <c r="C1186" t="s">
        <v>1143</v>
      </c>
      <c r="D1186" t="s">
        <v>1</v>
      </c>
      <c r="E1186" t="s">
        <v>2</v>
      </c>
      <c r="F1186">
        <v>40000000</v>
      </c>
      <c r="G1186">
        <v>1996</v>
      </c>
      <c r="H1186">
        <v>7.4</v>
      </c>
    </row>
    <row r="1187" spans="1:8" x14ac:dyDescent="0.25">
      <c r="A1187">
        <v>94</v>
      </c>
      <c r="B1187">
        <v>138614544</v>
      </c>
      <c r="C1187" t="s">
        <v>1144</v>
      </c>
      <c r="D1187" t="s">
        <v>1</v>
      </c>
      <c r="E1187" t="s">
        <v>2</v>
      </c>
      <c r="F1187">
        <v>40000000</v>
      </c>
      <c r="G1187">
        <v>2003</v>
      </c>
      <c r="H1187">
        <v>5.8</v>
      </c>
    </row>
    <row r="1188" spans="1:8" x14ac:dyDescent="0.25">
      <c r="A1188">
        <v>121</v>
      </c>
      <c r="B1188">
        <v>125069696</v>
      </c>
      <c r="C1188" t="s">
        <v>1145</v>
      </c>
      <c r="D1188" t="s">
        <v>1</v>
      </c>
      <c r="E1188" t="s">
        <v>2</v>
      </c>
      <c r="F1188">
        <v>40000000</v>
      </c>
      <c r="G1188">
        <v>2013</v>
      </c>
      <c r="H1188">
        <v>7.6</v>
      </c>
    </row>
    <row r="1189" spans="1:8" x14ac:dyDescent="0.25">
      <c r="A1189">
        <v>128</v>
      </c>
      <c r="B1189">
        <v>107458785</v>
      </c>
      <c r="C1189" t="s">
        <v>1146</v>
      </c>
      <c r="D1189" t="s">
        <v>1</v>
      </c>
      <c r="E1189" t="s">
        <v>2</v>
      </c>
      <c r="F1189">
        <v>40000000</v>
      </c>
      <c r="G1189">
        <v>1992</v>
      </c>
      <c r="H1189">
        <v>7.2</v>
      </c>
    </row>
    <row r="1190" spans="1:8" x14ac:dyDescent="0.25">
      <c r="A1190">
        <v>134</v>
      </c>
      <c r="B1190">
        <v>102310175</v>
      </c>
      <c r="C1190" t="s">
        <v>1147</v>
      </c>
      <c r="D1190" t="s">
        <v>1</v>
      </c>
      <c r="E1190" t="s">
        <v>2</v>
      </c>
      <c r="F1190">
        <v>40000000</v>
      </c>
      <c r="G1190">
        <v>2016</v>
      </c>
      <c r="H1190">
        <v>7.8</v>
      </c>
    </row>
    <row r="1191" spans="1:8" x14ac:dyDescent="0.25">
      <c r="A1191">
        <v>120</v>
      </c>
      <c r="B1191">
        <v>96917897</v>
      </c>
      <c r="C1191" t="s">
        <v>1148</v>
      </c>
      <c r="D1191" t="s">
        <v>1</v>
      </c>
      <c r="E1191" t="s">
        <v>2</v>
      </c>
      <c r="F1191">
        <v>40000000</v>
      </c>
      <c r="G1191">
        <v>2010</v>
      </c>
      <c r="H1191">
        <v>7.7</v>
      </c>
    </row>
    <row r="1192" spans="1:8" x14ac:dyDescent="0.25">
      <c r="A1192">
        <v>129</v>
      </c>
      <c r="B1192">
        <v>93952276</v>
      </c>
      <c r="C1192" t="s">
        <v>1149</v>
      </c>
      <c r="D1192" t="s">
        <v>1</v>
      </c>
      <c r="E1192" t="s">
        <v>2</v>
      </c>
      <c r="F1192">
        <v>40000000</v>
      </c>
      <c r="G1192">
        <v>2009</v>
      </c>
      <c r="H1192">
        <v>6.4</v>
      </c>
    </row>
    <row r="1193" spans="1:8" x14ac:dyDescent="0.25">
      <c r="A1193">
        <v>116</v>
      </c>
      <c r="B1193">
        <v>89138076</v>
      </c>
      <c r="C1193" t="s">
        <v>1151</v>
      </c>
      <c r="D1193" t="s">
        <v>1</v>
      </c>
      <c r="E1193" t="s">
        <v>2</v>
      </c>
      <c r="F1193">
        <v>40000000</v>
      </c>
      <c r="G1193">
        <v>2000</v>
      </c>
      <c r="H1193">
        <v>5.5</v>
      </c>
    </row>
    <row r="1194" spans="1:8" x14ac:dyDescent="0.25">
      <c r="A1194">
        <v>118</v>
      </c>
      <c r="B1194">
        <v>87666629</v>
      </c>
      <c r="C1194" t="s">
        <v>1152</v>
      </c>
      <c r="D1194" t="s">
        <v>1</v>
      </c>
      <c r="E1194" t="s">
        <v>2</v>
      </c>
      <c r="F1194">
        <v>40000000</v>
      </c>
      <c r="G1194">
        <v>1990</v>
      </c>
      <c r="H1194">
        <v>7.4</v>
      </c>
    </row>
    <row r="1195" spans="1:8" x14ac:dyDescent="0.25">
      <c r="A1195">
        <v>107</v>
      </c>
      <c r="B1195">
        <v>90353764</v>
      </c>
      <c r="C1195" t="s">
        <v>1153</v>
      </c>
      <c r="D1195" t="s">
        <v>1</v>
      </c>
      <c r="E1195" t="s">
        <v>2</v>
      </c>
      <c r="F1195">
        <v>40000000</v>
      </c>
      <c r="G1195">
        <v>2015</v>
      </c>
      <c r="H1195">
        <v>6</v>
      </c>
    </row>
    <row r="1196" spans="1:8" x14ac:dyDescent="0.25">
      <c r="A1196">
        <v>155</v>
      </c>
      <c r="B1196">
        <v>82522790</v>
      </c>
      <c r="C1196" t="s">
        <v>1154</v>
      </c>
      <c r="D1196" t="s">
        <v>1</v>
      </c>
      <c r="E1196" t="s">
        <v>2</v>
      </c>
      <c r="F1196">
        <v>40000000</v>
      </c>
      <c r="G1196">
        <v>1992</v>
      </c>
      <c r="H1196">
        <v>7.5</v>
      </c>
    </row>
    <row r="1197" spans="1:8" x14ac:dyDescent="0.25">
      <c r="A1197">
        <v>123</v>
      </c>
      <c r="B1197">
        <v>94125426</v>
      </c>
      <c r="C1197" t="s">
        <v>1155</v>
      </c>
      <c r="D1197" t="s">
        <v>1</v>
      </c>
      <c r="E1197" t="s">
        <v>2</v>
      </c>
      <c r="F1197">
        <v>40000000</v>
      </c>
      <c r="G1197">
        <v>2009</v>
      </c>
      <c r="H1197">
        <v>7</v>
      </c>
    </row>
    <row r="1198" spans="1:8" x14ac:dyDescent="0.25">
      <c r="A1198">
        <v>128</v>
      </c>
      <c r="B1198">
        <v>95001343</v>
      </c>
      <c r="C1198" t="s">
        <v>1156</v>
      </c>
      <c r="D1198" t="s">
        <v>1</v>
      </c>
      <c r="E1198" t="s">
        <v>2</v>
      </c>
      <c r="F1198">
        <v>40000000</v>
      </c>
      <c r="G1198">
        <v>2013</v>
      </c>
      <c r="H1198">
        <v>7.5</v>
      </c>
    </row>
    <row r="1199" spans="1:8" x14ac:dyDescent="0.25">
      <c r="A1199">
        <v>139</v>
      </c>
      <c r="B1199">
        <v>81292135</v>
      </c>
      <c r="C1199" t="s">
        <v>1157</v>
      </c>
      <c r="D1199" t="s">
        <v>1</v>
      </c>
      <c r="E1199" t="s">
        <v>2</v>
      </c>
      <c r="F1199">
        <v>40000000</v>
      </c>
      <c r="G1199">
        <v>1999</v>
      </c>
      <c r="H1199">
        <v>7.3</v>
      </c>
    </row>
    <row r="1200" spans="1:8" x14ac:dyDescent="0.25">
      <c r="A1200">
        <v>120</v>
      </c>
      <c r="B1200">
        <v>81593527</v>
      </c>
      <c r="C1200" t="s">
        <v>1159</v>
      </c>
      <c r="D1200" t="s">
        <v>1</v>
      </c>
      <c r="E1200" t="s">
        <v>2</v>
      </c>
      <c r="F1200">
        <v>40000000</v>
      </c>
      <c r="G1200">
        <v>2006</v>
      </c>
      <c r="H1200">
        <v>7.3</v>
      </c>
    </row>
    <row r="1201" spans="1:8" x14ac:dyDescent="0.25">
      <c r="A1201">
        <v>102</v>
      </c>
      <c r="B1201">
        <v>90835030</v>
      </c>
      <c r="C1201" t="s">
        <v>1161</v>
      </c>
      <c r="D1201" t="s">
        <v>1</v>
      </c>
      <c r="E1201" t="s">
        <v>2</v>
      </c>
      <c r="F1201">
        <v>40000000</v>
      </c>
      <c r="G1201">
        <v>2016</v>
      </c>
      <c r="H1201">
        <v>5.9</v>
      </c>
    </row>
    <row r="1202" spans="1:8" x14ac:dyDescent="0.25">
      <c r="A1202">
        <v>117</v>
      </c>
      <c r="B1202">
        <v>72455275</v>
      </c>
      <c r="C1202" t="s">
        <v>1162</v>
      </c>
      <c r="D1202" t="s">
        <v>1</v>
      </c>
      <c r="E1202" t="s">
        <v>2</v>
      </c>
      <c r="F1202">
        <v>40000000</v>
      </c>
      <c r="G1202">
        <v>1992</v>
      </c>
      <c r="H1202">
        <v>7.8</v>
      </c>
    </row>
    <row r="1203" spans="1:8" x14ac:dyDescent="0.25">
      <c r="A1203">
        <v>178</v>
      </c>
      <c r="B1203">
        <v>75305995</v>
      </c>
      <c r="C1203" t="s">
        <v>1163</v>
      </c>
      <c r="D1203" t="s">
        <v>1</v>
      </c>
      <c r="E1203" t="s">
        <v>2</v>
      </c>
      <c r="F1203">
        <v>40000000</v>
      </c>
      <c r="G1203">
        <v>2004</v>
      </c>
      <c r="H1203">
        <v>7.7</v>
      </c>
    </row>
    <row r="1204" spans="1:8" x14ac:dyDescent="0.25">
      <c r="A1204">
        <v>147</v>
      </c>
      <c r="B1204">
        <v>74098862</v>
      </c>
      <c r="C1204" t="s">
        <v>1164</v>
      </c>
      <c r="D1204" t="s">
        <v>1</v>
      </c>
      <c r="E1204" t="s">
        <v>2</v>
      </c>
      <c r="F1204">
        <v>40000000</v>
      </c>
      <c r="G1204">
        <v>2005</v>
      </c>
      <c r="H1204">
        <v>8.1</v>
      </c>
    </row>
    <row r="1205" spans="1:8" x14ac:dyDescent="0.25">
      <c r="A1205">
        <v>90</v>
      </c>
      <c r="B1205">
        <v>72266306</v>
      </c>
      <c r="C1205" t="s">
        <v>1165</v>
      </c>
      <c r="D1205" t="s">
        <v>1</v>
      </c>
      <c r="E1205" t="s">
        <v>2</v>
      </c>
      <c r="F1205">
        <v>40000000</v>
      </c>
      <c r="G1205">
        <v>2008</v>
      </c>
      <c r="H1205">
        <v>6.6</v>
      </c>
    </row>
    <row r="1206" spans="1:8" x14ac:dyDescent="0.25">
      <c r="A1206">
        <v>105</v>
      </c>
      <c r="B1206">
        <v>71347010</v>
      </c>
      <c r="C1206" t="s">
        <v>1166</v>
      </c>
      <c r="D1206" t="s">
        <v>1</v>
      </c>
      <c r="E1206" t="s">
        <v>2</v>
      </c>
      <c r="F1206">
        <v>40000000</v>
      </c>
      <c r="G1206">
        <v>2009</v>
      </c>
      <c r="H1206">
        <v>7.1</v>
      </c>
    </row>
    <row r="1207" spans="1:8" x14ac:dyDescent="0.25">
      <c r="A1207">
        <v>114</v>
      </c>
      <c r="B1207">
        <v>70836296</v>
      </c>
      <c r="C1207" t="s">
        <v>1167</v>
      </c>
      <c r="D1207" t="s">
        <v>1</v>
      </c>
      <c r="E1207" t="s">
        <v>2</v>
      </c>
      <c r="F1207">
        <v>40000000</v>
      </c>
      <c r="G1207">
        <v>2001</v>
      </c>
      <c r="H1207">
        <v>5.9</v>
      </c>
    </row>
    <row r="1208" spans="1:8" x14ac:dyDescent="0.25">
      <c r="A1208">
        <v>206</v>
      </c>
      <c r="B1208">
        <v>70405498</v>
      </c>
      <c r="C1208" t="s">
        <v>1168</v>
      </c>
      <c r="D1208" t="s">
        <v>1</v>
      </c>
      <c r="E1208" t="s">
        <v>244</v>
      </c>
      <c r="F1208">
        <v>40000000</v>
      </c>
      <c r="G1208">
        <v>1991</v>
      </c>
      <c r="H1208">
        <v>8</v>
      </c>
    </row>
    <row r="1209" spans="1:8" x14ac:dyDescent="0.25">
      <c r="A1209">
        <v>99</v>
      </c>
      <c r="B1209">
        <v>70163652</v>
      </c>
      <c r="C1209" t="s">
        <v>1169</v>
      </c>
      <c r="D1209" t="s">
        <v>1</v>
      </c>
      <c r="E1209" t="s">
        <v>2</v>
      </c>
      <c r="F1209">
        <v>40000000</v>
      </c>
      <c r="G1209">
        <v>2006</v>
      </c>
      <c r="H1209">
        <v>4.5999999999999996</v>
      </c>
    </row>
    <row r="1210" spans="1:8" x14ac:dyDescent="0.25">
      <c r="A1210">
        <v>109</v>
      </c>
      <c r="B1210">
        <v>83906114</v>
      </c>
      <c r="C1210" t="s">
        <v>1172</v>
      </c>
      <c r="D1210" t="s">
        <v>1</v>
      </c>
      <c r="E1210" t="s">
        <v>2</v>
      </c>
      <c r="F1210">
        <v>40000000</v>
      </c>
      <c r="G1210">
        <v>2014</v>
      </c>
      <c r="H1210">
        <v>6</v>
      </c>
    </row>
    <row r="1211" spans="1:8" x14ac:dyDescent="0.25">
      <c r="A1211">
        <v>82</v>
      </c>
      <c r="B1211">
        <v>66466372</v>
      </c>
      <c r="C1211" t="s">
        <v>1173</v>
      </c>
      <c r="D1211" t="s">
        <v>1</v>
      </c>
      <c r="E1211" t="s">
        <v>2</v>
      </c>
      <c r="F1211">
        <v>40000000</v>
      </c>
      <c r="G1211">
        <v>2009</v>
      </c>
      <c r="H1211">
        <v>5.2</v>
      </c>
    </row>
    <row r="1212" spans="1:8" x14ac:dyDescent="0.25">
      <c r="A1212">
        <v>142</v>
      </c>
      <c r="B1212">
        <v>72306065</v>
      </c>
      <c r="C1212" t="s">
        <v>1174</v>
      </c>
      <c r="D1212" t="s">
        <v>1</v>
      </c>
      <c r="E1212" t="s">
        <v>2</v>
      </c>
      <c r="F1212">
        <v>40000000</v>
      </c>
      <c r="G1212">
        <v>2015</v>
      </c>
      <c r="H1212">
        <v>7.6</v>
      </c>
    </row>
    <row r="1213" spans="1:8" x14ac:dyDescent="0.25">
      <c r="A1213">
        <v>106</v>
      </c>
      <c r="B1213">
        <v>59068786</v>
      </c>
      <c r="C1213" t="s">
        <v>1175</v>
      </c>
      <c r="D1213" t="s">
        <v>1</v>
      </c>
      <c r="E1213" t="s">
        <v>2</v>
      </c>
      <c r="F1213">
        <v>40000000</v>
      </c>
      <c r="G1213">
        <v>2001</v>
      </c>
      <c r="H1213">
        <v>6.4</v>
      </c>
    </row>
    <row r="1214" spans="1:8" x14ac:dyDescent="0.25">
      <c r="A1214">
        <v>108</v>
      </c>
      <c r="B1214">
        <v>53955614</v>
      </c>
      <c r="C1214" t="s">
        <v>1177</v>
      </c>
      <c r="D1214" t="s">
        <v>1</v>
      </c>
      <c r="E1214" t="s">
        <v>2</v>
      </c>
      <c r="F1214">
        <v>40000000</v>
      </c>
      <c r="G1214">
        <v>1998</v>
      </c>
      <c r="H1214">
        <v>6.1</v>
      </c>
    </row>
    <row r="1215" spans="1:8" x14ac:dyDescent="0.25">
      <c r="A1215">
        <v>98</v>
      </c>
      <c r="B1215">
        <v>54967359</v>
      </c>
      <c r="C1215" t="s">
        <v>1178</v>
      </c>
      <c r="D1215" t="s">
        <v>1</v>
      </c>
      <c r="E1215" t="s">
        <v>2</v>
      </c>
      <c r="F1215">
        <v>40000000</v>
      </c>
      <c r="G1215">
        <v>1997</v>
      </c>
      <c r="H1215">
        <v>5.2</v>
      </c>
    </row>
    <row r="1216" spans="1:8" x14ac:dyDescent="0.25">
      <c r="A1216">
        <v>118</v>
      </c>
      <c r="B1216">
        <v>57981889</v>
      </c>
      <c r="C1216" t="s">
        <v>1180</v>
      </c>
      <c r="D1216" t="s">
        <v>1</v>
      </c>
      <c r="E1216" t="s">
        <v>2</v>
      </c>
      <c r="F1216">
        <v>40000000</v>
      </c>
      <c r="G1216">
        <v>2011</v>
      </c>
      <c r="H1216">
        <v>7.3</v>
      </c>
    </row>
    <row r="1217" spans="1:8" x14ac:dyDescent="0.25">
      <c r="A1217">
        <v>130</v>
      </c>
      <c r="B1217">
        <v>53082743</v>
      </c>
      <c r="C1217" t="s">
        <v>1182</v>
      </c>
      <c r="D1217" t="s">
        <v>1</v>
      </c>
      <c r="E1217" t="s">
        <v>2</v>
      </c>
      <c r="F1217">
        <v>40000000</v>
      </c>
      <c r="G1217">
        <v>2006</v>
      </c>
      <c r="H1217">
        <v>8.5</v>
      </c>
    </row>
    <row r="1218" spans="1:8" x14ac:dyDescent="0.25">
      <c r="A1218">
        <v>89</v>
      </c>
      <c r="B1218">
        <v>57011847</v>
      </c>
      <c r="C1218" t="s">
        <v>1184</v>
      </c>
      <c r="D1218" t="s">
        <v>1</v>
      </c>
      <c r="E1218" t="s">
        <v>2</v>
      </c>
      <c r="F1218">
        <v>40000000</v>
      </c>
      <c r="G1218">
        <v>2013</v>
      </c>
      <c r="H1218">
        <v>5.9</v>
      </c>
    </row>
    <row r="1219" spans="1:8" x14ac:dyDescent="0.25">
      <c r="A1219">
        <v>139</v>
      </c>
      <c r="B1219">
        <v>50859889</v>
      </c>
      <c r="C1219" t="s">
        <v>1185</v>
      </c>
      <c r="D1219" t="s">
        <v>1186</v>
      </c>
      <c r="E1219" t="s">
        <v>2</v>
      </c>
      <c r="F1219">
        <v>40000000</v>
      </c>
      <c r="G1219">
        <v>2006</v>
      </c>
      <c r="H1219">
        <v>7.8</v>
      </c>
    </row>
    <row r="1220" spans="1:8" x14ac:dyDescent="0.25">
      <c r="A1220">
        <v>107</v>
      </c>
      <c r="B1220">
        <v>52000688</v>
      </c>
      <c r="C1220" t="s">
        <v>1188</v>
      </c>
      <c r="D1220" t="s">
        <v>1</v>
      </c>
      <c r="E1220" t="s">
        <v>2</v>
      </c>
      <c r="F1220">
        <v>40000000</v>
      </c>
      <c r="G1220">
        <v>2010</v>
      </c>
      <c r="H1220">
        <v>6.4</v>
      </c>
    </row>
    <row r="1221" spans="1:8" x14ac:dyDescent="0.25">
      <c r="A1221">
        <v>116</v>
      </c>
      <c r="B1221">
        <v>49851591</v>
      </c>
      <c r="C1221" t="s">
        <v>1189</v>
      </c>
      <c r="D1221" t="s">
        <v>1</v>
      </c>
      <c r="E1221" t="s">
        <v>2</v>
      </c>
      <c r="F1221">
        <v>40000000</v>
      </c>
      <c r="G1221">
        <v>1986</v>
      </c>
      <c r="H1221">
        <v>5.9</v>
      </c>
    </row>
    <row r="1222" spans="1:8" x14ac:dyDescent="0.25">
      <c r="A1222">
        <v>96</v>
      </c>
      <c r="B1222">
        <v>47781388</v>
      </c>
      <c r="C1222" t="s">
        <v>1190</v>
      </c>
      <c r="D1222" t="s">
        <v>1</v>
      </c>
      <c r="E1222" t="s">
        <v>2</v>
      </c>
      <c r="F1222">
        <v>40000000</v>
      </c>
      <c r="G1222">
        <v>2004</v>
      </c>
      <c r="H1222">
        <v>6.6</v>
      </c>
    </row>
    <row r="1223" spans="1:8" x14ac:dyDescent="0.25">
      <c r="A1223">
        <v>99</v>
      </c>
      <c r="B1223">
        <v>52320979</v>
      </c>
      <c r="C1223" t="s">
        <v>1191</v>
      </c>
      <c r="D1223" t="s">
        <v>1</v>
      </c>
      <c r="E1223" t="s">
        <v>2</v>
      </c>
      <c r="F1223">
        <v>40000000</v>
      </c>
      <c r="G1223">
        <v>2006</v>
      </c>
      <c r="H1223">
        <v>6.8</v>
      </c>
    </row>
    <row r="1224" spans="1:8" x14ac:dyDescent="0.25">
      <c r="A1224">
        <v>101</v>
      </c>
      <c r="B1224">
        <v>46012734</v>
      </c>
      <c r="C1224" t="s">
        <v>1194</v>
      </c>
      <c r="D1224" t="s">
        <v>1</v>
      </c>
      <c r="E1224" t="s">
        <v>2</v>
      </c>
      <c r="F1224">
        <v>40000000</v>
      </c>
      <c r="G1224">
        <v>2008</v>
      </c>
      <c r="H1224">
        <v>5.8</v>
      </c>
    </row>
    <row r="1225" spans="1:8" x14ac:dyDescent="0.25">
      <c r="A1225">
        <v>134</v>
      </c>
      <c r="B1225">
        <v>47034272</v>
      </c>
      <c r="C1225" t="s">
        <v>1195</v>
      </c>
      <c r="D1225" t="s">
        <v>1</v>
      </c>
      <c r="E1225" t="s">
        <v>2</v>
      </c>
      <c r="F1225">
        <v>40000000</v>
      </c>
      <c r="G1225">
        <v>2014</v>
      </c>
      <c r="H1225">
        <v>6.9</v>
      </c>
    </row>
    <row r="1226" spans="1:8" x14ac:dyDescent="0.25">
      <c r="A1226">
        <v>135</v>
      </c>
      <c r="B1226">
        <v>45856732</v>
      </c>
      <c r="C1226" t="s">
        <v>1196</v>
      </c>
      <c r="D1226" t="s">
        <v>1</v>
      </c>
      <c r="E1226" t="s">
        <v>2</v>
      </c>
      <c r="F1226">
        <v>40000000</v>
      </c>
      <c r="G1226">
        <v>1997</v>
      </c>
      <c r="H1226">
        <v>7.1</v>
      </c>
    </row>
    <row r="1227" spans="1:8" x14ac:dyDescent="0.25">
      <c r="A1227">
        <v>98</v>
      </c>
      <c r="B1227">
        <v>59588068</v>
      </c>
      <c r="C1227" t="s">
        <v>1197</v>
      </c>
      <c r="D1227" t="s">
        <v>1</v>
      </c>
      <c r="E1227" t="s">
        <v>2</v>
      </c>
      <c r="F1227">
        <v>40000000</v>
      </c>
      <c r="G1227">
        <v>2003</v>
      </c>
      <c r="H1227">
        <v>5.8</v>
      </c>
    </row>
    <row r="1228" spans="1:8" x14ac:dyDescent="0.25">
      <c r="A1228">
        <v>106</v>
      </c>
      <c r="B1228">
        <v>45500797</v>
      </c>
      <c r="C1228" t="s">
        <v>1199</v>
      </c>
      <c r="D1228" t="s">
        <v>1</v>
      </c>
      <c r="E1228" t="s">
        <v>2</v>
      </c>
      <c r="F1228">
        <v>40000000</v>
      </c>
      <c r="G1228">
        <v>1992</v>
      </c>
      <c r="H1228">
        <v>6</v>
      </c>
    </row>
    <row r="1229" spans="1:8" x14ac:dyDescent="0.25">
      <c r="A1229">
        <v>102</v>
      </c>
      <c r="B1229">
        <v>41797066</v>
      </c>
      <c r="C1229" t="s">
        <v>1200</v>
      </c>
      <c r="D1229" t="s">
        <v>1</v>
      </c>
      <c r="E1229" t="s">
        <v>2</v>
      </c>
      <c r="F1229">
        <v>40000000</v>
      </c>
      <c r="G1229">
        <v>2007</v>
      </c>
      <c r="H1229">
        <v>4.7</v>
      </c>
    </row>
    <row r="1230" spans="1:8" x14ac:dyDescent="0.25">
      <c r="A1230">
        <v>95</v>
      </c>
      <c r="B1230">
        <v>38087756</v>
      </c>
      <c r="C1230" t="s">
        <v>1201</v>
      </c>
      <c r="D1230" t="s">
        <v>1</v>
      </c>
      <c r="E1230" t="s">
        <v>2</v>
      </c>
      <c r="F1230">
        <v>40000000</v>
      </c>
      <c r="G1230">
        <v>1994</v>
      </c>
      <c r="H1230">
        <v>5.2</v>
      </c>
    </row>
    <row r="1231" spans="1:8" x14ac:dyDescent="0.25">
      <c r="A1231">
        <v>103</v>
      </c>
      <c r="B1231">
        <v>37752931</v>
      </c>
      <c r="C1231" t="s">
        <v>1202</v>
      </c>
      <c r="D1231" t="s">
        <v>1</v>
      </c>
      <c r="E1231" t="s">
        <v>2</v>
      </c>
      <c r="F1231">
        <v>40000000</v>
      </c>
      <c r="G1231">
        <v>2000</v>
      </c>
      <c r="H1231">
        <v>5.5</v>
      </c>
    </row>
    <row r="1232" spans="1:8" x14ac:dyDescent="0.25">
      <c r="A1232">
        <v>109</v>
      </c>
      <c r="B1232">
        <v>37371385</v>
      </c>
      <c r="C1232" t="s">
        <v>1203</v>
      </c>
      <c r="D1232" t="s">
        <v>1</v>
      </c>
      <c r="E1232" t="s">
        <v>2</v>
      </c>
      <c r="F1232">
        <v>40000000</v>
      </c>
      <c r="G1232">
        <v>2011</v>
      </c>
      <c r="H1232">
        <v>7</v>
      </c>
    </row>
    <row r="1233" spans="1:8" x14ac:dyDescent="0.25">
      <c r="A1233">
        <v>95</v>
      </c>
      <c r="B1233">
        <v>37101011</v>
      </c>
      <c r="C1233" t="s">
        <v>1204</v>
      </c>
      <c r="D1233" t="s">
        <v>1</v>
      </c>
      <c r="E1233" t="s">
        <v>2</v>
      </c>
      <c r="F1233">
        <v>40000000</v>
      </c>
      <c r="G1233">
        <v>2012</v>
      </c>
      <c r="H1233">
        <v>5.8</v>
      </c>
    </row>
    <row r="1234" spans="1:8" x14ac:dyDescent="0.25">
      <c r="A1234">
        <v>111</v>
      </c>
      <c r="B1234">
        <v>38176892</v>
      </c>
      <c r="C1234" t="s">
        <v>1205</v>
      </c>
      <c r="D1234" t="s">
        <v>1</v>
      </c>
      <c r="E1234" t="s">
        <v>2</v>
      </c>
      <c r="F1234">
        <v>40000000</v>
      </c>
      <c r="G1234">
        <v>2011</v>
      </c>
      <c r="H1234">
        <v>6.2</v>
      </c>
    </row>
    <row r="1235" spans="1:8" x14ac:dyDescent="0.25">
      <c r="A1235">
        <v>123</v>
      </c>
      <c r="B1235">
        <v>36283504</v>
      </c>
      <c r="C1235" t="s">
        <v>1206</v>
      </c>
      <c r="D1235" t="s">
        <v>1</v>
      </c>
      <c r="E1235" t="s">
        <v>119</v>
      </c>
      <c r="F1235">
        <v>40000000</v>
      </c>
      <c r="G1235">
        <v>1999</v>
      </c>
      <c r="H1235">
        <v>6.5</v>
      </c>
    </row>
    <row r="1236" spans="1:8" x14ac:dyDescent="0.25">
      <c r="A1236">
        <v>94</v>
      </c>
      <c r="B1236">
        <v>38543473</v>
      </c>
      <c r="C1236" t="s">
        <v>1208</v>
      </c>
      <c r="D1236" t="s">
        <v>1</v>
      </c>
      <c r="E1236" t="s">
        <v>2</v>
      </c>
      <c r="F1236">
        <v>40000000</v>
      </c>
      <c r="G1236">
        <v>2014</v>
      </c>
      <c r="H1236">
        <v>5.0999999999999996</v>
      </c>
    </row>
    <row r="1237" spans="1:8" x14ac:dyDescent="0.25">
      <c r="A1237">
        <v>92</v>
      </c>
      <c r="B1237">
        <v>42575718</v>
      </c>
      <c r="C1237" t="s">
        <v>1210</v>
      </c>
      <c r="D1237" t="s">
        <v>1</v>
      </c>
      <c r="E1237" t="s">
        <v>2</v>
      </c>
      <c r="F1237">
        <v>40000000</v>
      </c>
      <c r="G1237">
        <v>2011</v>
      </c>
      <c r="H1237">
        <v>5.9</v>
      </c>
    </row>
    <row r="1238" spans="1:8" x14ac:dyDescent="0.25">
      <c r="A1238">
        <v>102</v>
      </c>
      <c r="B1238">
        <v>33864342</v>
      </c>
      <c r="C1238" t="s">
        <v>1211</v>
      </c>
      <c r="D1238" t="s">
        <v>1</v>
      </c>
      <c r="E1238" t="s">
        <v>5</v>
      </c>
      <c r="F1238">
        <v>40000000</v>
      </c>
      <c r="G1238">
        <v>1999</v>
      </c>
      <c r="H1238">
        <v>5.8</v>
      </c>
    </row>
    <row r="1239" spans="1:8" x14ac:dyDescent="0.25">
      <c r="A1239">
        <v>123</v>
      </c>
      <c r="B1239">
        <v>33508922</v>
      </c>
      <c r="C1239" t="s">
        <v>1212</v>
      </c>
      <c r="D1239" t="s">
        <v>1</v>
      </c>
      <c r="E1239" t="s">
        <v>2</v>
      </c>
      <c r="F1239">
        <v>40000000</v>
      </c>
      <c r="G1239">
        <v>2000</v>
      </c>
      <c r="H1239">
        <v>7.2</v>
      </c>
    </row>
    <row r="1240" spans="1:8" x14ac:dyDescent="0.25">
      <c r="A1240">
        <v>102</v>
      </c>
      <c r="B1240">
        <v>32853640</v>
      </c>
      <c r="C1240" t="s">
        <v>1214</v>
      </c>
      <c r="D1240" t="s">
        <v>1</v>
      </c>
      <c r="E1240" t="s">
        <v>2</v>
      </c>
      <c r="F1240">
        <v>40000000</v>
      </c>
      <c r="G1240">
        <v>2008</v>
      </c>
      <c r="H1240">
        <v>5.7</v>
      </c>
    </row>
    <row r="1241" spans="1:8" x14ac:dyDescent="0.25">
      <c r="A1241">
        <v>136</v>
      </c>
      <c r="B1241">
        <v>42615685</v>
      </c>
      <c r="C1241" t="s">
        <v>1215</v>
      </c>
      <c r="D1241" t="s">
        <v>1</v>
      </c>
      <c r="E1241" t="s">
        <v>2</v>
      </c>
      <c r="F1241">
        <v>40000000</v>
      </c>
      <c r="G1241">
        <v>2014</v>
      </c>
      <c r="H1241">
        <v>6.1</v>
      </c>
    </row>
    <row r="1242" spans="1:8" x14ac:dyDescent="0.25">
      <c r="A1242">
        <v>129</v>
      </c>
      <c r="B1242">
        <v>31836745</v>
      </c>
      <c r="C1242" t="s">
        <v>1217</v>
      </c>
      <c r="D1242" t="s">
        <v>1</v>
      </c>
      <c r="E1242" t="s">
        <v>2</v>
      </c>
      <c r="F1242">
        <v>40000000</v>
      </c>
      <c r="G1242">
        <v>2011</v>
      </c>
      <c r="H1242">
        <v>6.9</v>
      </c>
    </row>
    <row r="1243" spans="1:8" x14ac:dyDescent="0.25">
      <c r="A1243">
        <v>107</v>
      </c>
      <c r="B1243">
        <v>30993544</v>
      </c>
      <c r="C1243" t="s">
        <v>1218</v>
      </c>
      <c r="D1243" t="s">
        <v>1</v>
      </c>
      <c r="E1243" t="s">
        <v>2</v>
      </c>
      <c r="F1243">
        <v>40000000</v>
      </c>
      <c r="G1243">
        <v>2010</v>
      </c>
      <c r="H1243">
        <v>6.5</v>
      </c>
    </row>
    <row r="1244" spans="1:8" x14ac:dyDescent="0.25">
      <c r="A1244">
        <v>117</v>
      </c>
      <c r="B1244">
        <v>30981850</v>
      </c>
      <c r="C1244" t="s">
        <v>1219</v>
      </c>
      <c r="D1244" t="s">
        <v>1</v>
      </c>
      <c r="E1244" t="s">
        <v>2</v>
      </c>
      <c r="F1244">
        <v>40000000</v>
      </c>
      <c r="G1244">
        <v>2005</v>
      </c>
      <c r="H1244">
        <v>5</v>
      </c>
    </row>
    <row r="1245" spans="1:8" x14ac:dyDescent="0.25">
      <c r="A1245">
        <v>116</v>
      </c>
      <c r="B1245">
        <v>30199105</v>
      </c>
      <c r="C1245" t="s">
        <v>1220</v>
      </c>
      <c r="D1245" t="s">
        <v>1</v>
      </c>
      <c r="E1245" t="s">
        <v>2</v>
      </c>
      <c r="F1245">
        <v>40000000</v>
      </c>
      <c r="G1245">
        <v>2000</v>
      </c>
      <c r="H1245">
        <v>5.7</v>
      </c>
    </row>
    <row r="1246" spans="1:8" x14ac:dyDescent="0.25">
      <c r="A1246">
        <v>135</v>
      </c>
      <c r="B1246">
        <v>29077547</v>
      </c>
      <c r="C1246" t="s">
        <v>1221</v>
      </c>
      <c r="D1246" t="s">
        <v>1</v>
      </c>
      <c r="E1246" t="s">
        <v>2</v>
      </c>
      <c r="F1246">
        <v>40000000</v>
      </c>
      <c r="G1246">
        <v>2005</v>
      </c>
      <c r="H1246">
        <v>7</v>
      </c>
    </row>
    <row r="1247" spans="1:8" x14ac:dyDescent="0.25">
      <c r="A1247">
        <v>107</v>
      </c>
      <c r="B1247">
        <v>29374178</v>
      </c>
      <c r="C1247" t="s">
        <v>1222</v>
      </c>
      <c r="D1247" t="s">
        <v>1</v>
      </c>
      <c r="E1247" t="s">
        <v>2</v>
      </c>
      <c r="F1247">
        <v>40000000</v>
      </c>
      <c r="G1247">
        <v>2000</v>
      </c>
      <c r="H1247">
        <v>5.0999999999999996</v>
      </c>
    </row>
    <row r="1248" spans="1:8" x14ac:dyDescent="0.25">
      <c r="A1248">
        <v>90</v>
      </c>
      <c r="B1248">
        <v>28535768</v>
      </c>
      <c r="C1248" t="s">
        <v>1223</v>
      </c>
      <c r="D1248" t="s">
        <v>1</v>
      </c>
      <c r="E1248" t="s">
        <v>2</v>
      </c>
      <c r="F1248">
        <v>40000000</v>
      </c>
      <c r="G1248">
        <v>1999</v>
      </c>
      <c r="H1248">
        <v>5.3</v>
      </c>
    </row>
    <row r="1249" spans="1:8" x14ac:dyDescent="0.25">
      <c r="A1249">
        <v>99</v>
      </c>
      <c r="B1249">
        <v>27663982</v>
      </c>
      <c r="C1249" t="s">
        <v>1224</v>
      </c>
      <c r="D1249" t="s">
        <v>1</v>
      </c>
      <c r="E1249" t="s">
        <v>2</v>
      </c>
      <c r="F1249">
        <v>40000000</v>
      </c>
      <c r="G1249">
        <v>1996</v>
      </c>
      <c r="H1249">
        <v>4.4000000000000004</v>
      </c>
    </row>
    <row r="1250" spans="1:8" x14ac:dyDescent="0.25">
      <c r="A1250">
        <v>104</v>
      </c>
      <c r="B1250">
        <v>27053815</v>
      </c>
      <c r="C1250" t="s">
        <v>1225</v>
      </c>
      <c r="D1250" t="s">
        <v>1</v>
      </c>
      <c r="E1250" t="s">
        <v>119</v>
      </c>
      <c r="F1250">
        <v>40000000</v>
      </c>
      <c r="G1250">
        <v>2001</v>
      </c>
      <c r="H1250">
        <v>4.7</v>
      </c>
    </row>
    <row r="1251" spans="1:8" x14ac:dyDescent="0.25">
      <c r="A1251">
        <v>119</v>
      </c>
      <c r="B1251">
        <v>25178165</v>
      </c>
      <c r="C1251" t="s">
        <v>1227</v>
      </c>
      <c r="D1251" t="s">
        <v>1</v>
      </c>
      <c r="E1251" t="s">
        <v>2</v>
      </c>
      <c r="F1251">
        <v>40000000</v>
      </c>
      <c r="G1251">
        <v>2001</v>
      </c>
      <c r="H1251">
        <v>6.7</v>
      </c>
    </row>
    <row r="1252" spans="1:8" x14ac:dyDescent="0.25">
      <c r="A1252">
        <v>99</v>
      </c>
      <c r="B1252">
        <v>25117498</v>
      </c>
      <c r="C1252" t="s">
        <v>1228</v>
      </c>
      <c r="D1252" t="s">
        <v>1</v>
      </c>
      <c r="E1252" t="s">
        <v>2</v>
      </c>
      <c r="F1252">
        <v>40000000</v>
      </c>
      <c r="G1252">
        <v>2007</v>
      </c>
      <c r="H1252">
        <v>5.7</v>
      </c>
    </row>
    <row r="1253" spans="1:8" x14ac:dyDescent="0.25">
      <c r="A1253">
        <v>128</v>
      </c>
      <c r="B1253">
        <v>24332324</v>
      </c>
      <c r="C1253" t="s">
        <v>1230</v>
      </c>
      <c r="D1253" t="s">
        <v>1</v>
      </c>
      <c r="E1253" t="s">
        <v>2</v>
      </c>
      <c r="F1253">
        <v>40000000</v>
      </c>
      <c r="G1253">
        <v>1994</v>
      </c>
      <c r="H1253">
        <v>6.1</v>
      </c>
    </row>
    <row r="1254" spans="1:8" x14ac:dyDescent="0.25">
      <c r="A1254">
        <v>112</v>
      </c>
      <c r="B1254">
        <v>36665854</v>
      </c>
      <c r="C1254" t="s">
        <v>1231</v>
      </c>
      <c r="D1254" t="s">
        <v>1</v>
      </c>
      <c r="E1254" t="s">
        <v>244</v>
      </c>
      <c r="F1254">
        <v>40000000</v>
      </c>
      <c r="G1254">
        <v>2011</v>
      </c>
      <c r="H1254">
        <v>6.4</v>
      </c>
    </row>
    <row r="1255" spans="1:8" x14ac:dyDescent="0.25">
      <c r="A1255">
        <v>86</v>
      </c>
      <c r="B1255">
        <v>22717758</v>
      </c>
      <c r="C1255" t="s">
        <v>1232</v>
      </c>
      <c r="D1255" t="s">
        <v>1</v>
      </c>
      <c r="E1255" t="s">
        <v>2</v>
      </c>
      <c r="F1255">
        <v>40000000</v>
      </c>
      <c r="G1255">
        <v>1998</v>
      </c>
      <c r="H1255">
        <v>6.2</v>
      </c>
    </row>
    <row r="1256" spans="1:8" x14ac:dyDescent="0.25">
      <c r="A1256">
        <v>84</v>
      </c>
      <c r="B1256">
        <v>21176322</v>
      </c>
      <c r="C1256" t="s">
        <v>1235</v>
      </c>
      <c r="D1256" t="s">
        <v>1</v>
      </c>
      <c r="E1256" t="s">
        <v>2</v>
      </c>
      <c r="F1256">
        <v>40000000</v>
      </c>
      <c r="G1256">
        <v>2004</v>
      </c>
      <c r="H1256">
        <v>4</v>
      </c>
    </row>
    <row r="1257" spans="1:8" x14ac:dyDescent="0.25">
      <c r="A1257">
        <v>111</v>
      </c>
      <c r="B1257">
        <v>20300000</v>
      </c>
      <c r="C1257" t="s">
        <v>1236</v>
      </c>
      <c r="D1257" t="s">
        <v>1</v>
      </c>
      <c r="E1257" t="s">
        <v>2</v>
      </c>
      <c r="F1257">
        <v>40000000</v>
      </c>
      <c r="G1257">
        <v>1996</v>
      </c>
      <c r="H1257">
        <v>6.2</v>
      </c>
    </row>
    <row r="1258" spans="1:8" x14ac:dyDescent="0.25">
      <c r="A1258">
        <v>123</v>
      </c>
      <c r="B1258">
        <v>15962471</v>
      </c>
      <c r="C1258" t="s">
        <v>1238</v>
      </c>
      <c r="D1258" t="s">
        <v>1</v>
      </c>
      <c r="E1258" t="s">
        <v>2</v>
      </c>
      <c r="F1258">
        <v>40000000</v>
      </c>
      <c r="G1258">
        <v>2006</v>
      </c>
      <c r="H1258">
        <v>6.4</v>
      </c>
    </row>
    <row r="1259" spans="1:8" x14ac:dyDescent="0.25">
      <c r="A1259">
        <v>101</v>
      </c>
      <c r="B1259">
        <v>14942422</v>
      </c>
      <c r="C1259" t="s">
        <v>1239</v>
      </c>
      <c r="D1259" t="s">
        <v>1</v>
      </c>
      <c r="E1259" t="s">
        <v>2</v>
      </c>
      <c r="F1259">
        <v>40000000</v>
      </c>
      <c r="G1259">
        <v>1995</v>
      </c>
      <c r="H1259">
        <v>5.9</v>
      </c>
    </row>
    <row r="1260" spans="1:8" x14ac:dyDescent="0.25">
      <c r="A1260">
        <v>102</v>
      </c>
      <c r="B1260">
        <v>14967182</v>
      </c>
      <c r="C1260" t="s">
        <v>1240</v>
      </c>
      <c r="D1260" t="s">
        <v>1</v>
      </c>
      <c r="E1260" t="s">
        <v>2</v>
      </c>
      <c r="F1260">
        <v>40000000</v>
      </c>
      <c r="G1260">
        <v>2000</v>
      </c>
      <c r="H1260">
        <v>5.0999999999999996</v>
      </c>
    </row>
    <row r="1261" spans="1:8" x14ac:dyDescent="0.25">
      <c r="A1261">
        <v>87</v>
      </c>
      <c r="B1261">
        <v>20999103</v>
      </c>
      <c r="C1261" t="s">
        <v>1243</v>
      </c>
      <c r="D1261" t="s">
        <v>1</v>
      </c>
      <c r="E1261" t="s">
        <v>2</v>
      </c>
      <c r="F1261">
        <v>40000000</v>
      </c>
      <c r="G1261">
        <v>2009</v>
      </c>
      <c r="H1261">
        <v>7.8</v>
      </c>
    </row>
    <row r="1262" spans="1:8" x14ac:dyDescent="0.25">
      <c r="A1262">
        <v>103</v>
      </c>
      <c r="B1262">
        <v>14448589</v>
      </c>
      <c r="C1262" t="s">
        <v>1244</v>
      </c>
      <c r="D1262" t="s">
        <v>1</v>
      </c>
      <c r="E1262" t="s">
        <v>2</v>
      </c>
      <c r="F1262">
        <v>40000000</v>
      </c>
      <c r="G1262">
        <v>2002</v>
      </c>
      <c r="H1262">
        <v>5.8</v>
      </c>
    </row>
    <row r="1263" spans="1:8" x14ac:dyDescent="0.25">
      <c r="A1263">
        <v>99</v>
      </c>
      <c r="B1263">
        <v>14358033</v>
      </c>
      <c r="C1263" t="s">
        <v>1245</v>
      </c>
      <c r="D1263" t="s">
        <v>1</v>
      </c>
      <c r="E1263" t="s">
        <v>2</v>
      </c>
      <c r="F1263">
        <v>40000000</v>
      </c>
      <c r="G1263">
        <v>1992</v>
      </c>
      <c r="H1263">
        <v>5.9</v>
      </c>
    </row>
    <row r="1264" spans="1:8" x14ac:dyDescent="0.25">
      <c r="A1264">
        <v>107</v>
      </c>
      <c r="B1264">
        <v>20113965</v>
      </c>
      <c r="C1264" t="s">
        <v>1249</v>
      </c>
      <c r="D1264" t="s">
        <v>1</v>
      </c>
      <c r="E1264" t="s">
        <v>2</v>
      </c>
      <c r="F1264">
        <v>40000000</v>
      </c>
      <c r="G1264">
        <v>2012</v>
      </c>
      <c r="H1264">
        <v>6.5</v>
      </c>
    </row>
    <row r="1265" spans="1:8" x14ac:dyDescent="0.25">
      <c r="A1265">
        <v>106</v>
      </c>
      <c r="B1265">
        <v>13376506</v>
      </c>
      <c r="C1265" t="s">
        <v>1250</v>
      </c>
      <c r="D1265" t="s">
        <v>1</v>
      </c>
      <c r="E1265" t="s">
        <v>2</v>
      </c>
      <c r="F1265">
        <v>40000000</v>
      </c>
      <c r="G1265">
        <v>1999</v>
      </c>
      <c r="H1265">
        <v>6.3</v>
      </c>
    </row>
    <row r="1266" spans="1:8" x14ac:dyDescent="0.25">
      <c r="A1266">
        <v>109</v>
      </c>
      <c r="B1266">
        <v>13838130</v>
      </c>
      <c r="C1266" t="s">
        <v>1252</v>
      </c>
      <c r="D1266" t="s">
        <v>1</v>
      </c>
      <c r="E1266" t="s">
        <v>2</v>
      </c>
      <c r="F1266">
        <v>40000000</v>
      </c>
      <c r="G1266">
        <v>2009</v>
      </c>
      <c r="H1266">
        <v>5.9</v>
      </c>
    </row>
    <row r="1267" spans="1:8" x14ac:dyDescent="0.25">
      <c r="A1267">
        <v>110</v>
      </c>
      <c r="B1267">
        <v>5773519</v>
      </c>
      <c r="C1267" t="s">
        <v>1099</v>
      </c>
      <c r="D1267" t="s">
        <v>1</v>
      </c>
      <c r="E1267" t="s">
        <v>2</v>
      </c>
      <c r="F1267">
        <v>40000000</v>
      </c>
      <c r="G1267">
        <v>2015</v>
      </c>
      <c r="H1267">
        <v>6</v>
      </c>
    </row>
    <row r="1268" spans="1:8" x14ac:dyDescent="0.25">
      <c r="A1268">
        <v>89</v>
      </c>
      <c r="B1268">
        <v>9652000</v>
      </c>
      <c r="C1268" t="s">
        <v>1253</v>
      </c>
      <c r="D1268" t="s">
        <v>1</v>
      </c>
      <c r="E1268" t="s">
        <v>2</v>
      </c>
      <c r="F1268">
        <v>40000000</v>
      </c>
      <c r="G1268">
        <v>2003</v>
      </c>
      <c r="H1268">
        <v>5.8</v>
      </c>
    </row>
    <row r="1269" spans="1:8" x14ac:dyDescent="0.25">
      <c r="A1269">
        <v>102</v>
      </c>
      <c r="B1269">
        <v>6114237</v>
      </c>
      <c r="C1269" t="s">
        <v>1257</v>
      </c>
      <c r="D1269" t="s">
        <v>1</v>
      </c>
      <c r="E1269" t="s">
        <v>2</v>
      </c>
      <c r="F1269">
        <v>40000000</v>
      </c>
      <c r="G1269">
        <v>2001</v>
      </c>
      <c r="H1269">
        <v>6.2</v>
      </c>
    </row>
    <row r="1270" spans="1:8" x14ac:dyDescent="0.25">
      <c r="A1270">
        <v>93</v>
      </c>
      <c r="B1270">
        <v>4835968</v>
      </c>
      <c r="C1270" t="s">
        <v>1258</v>
      </c>
      <c r="D1270" t="s">
        <v>1</v>
      </c>
      <c r="E1270" t="s">
        <v>5</v>
      </c>
      <c r="F1270">
        <v>40000000</v>
      </c>
      <c r="G1270">
        <v>2002</v>
      </c>
      <c r="H1270">
        <v>4.5</v>
      </c>
    </row>
    <row r="1271" spans="1:8" x14ac:dyDescent="0.25">
      <c r="A1271">
        <v>84</v>
      </c>
      <c r="B1271">
        <v>4777007</v>
      </c>
      <c r="C1271" t="s">
        <v>1259</v>
      </c>
      <c r="D1271" t="s">
        <v>1</v>
      </c>
      <c r="E1271" t="s">
        <v>244</v>
      </c>
      <c r="F1271">
        <v>40000000</v>
      </c>
      <c r="G1271">
        <v>2001</v>
      </c>
      <c r="H1271">
        <v>5.8</v>
      </c>
    </row>
    <row r="1272" spans="1:8" x14ac:dyDescent="0.25">
      <c r="A1272">
        <v>91</v>
      </c>
      <c r="B1272">
        <v>18438149</v>
      </c>
      <c r="C1272" t="s">
        <v>1261</v>
      </c>
      <c r="D1272" t="s">
        <v>1</v>
      </c>
      <c r="E1272" t="s">
        <v>2</v>
      </c>
      <c r="F1272">
        <v>40000000</v>
      </c>
      <c r="G1272">
        <v>2012</v>
      </c>
      <c r="H1272">
        <v>5.9</v>
      </c>
    </row>
    <row r="1273" spans="1:8" x14ac:dyDescent="0.25">
      <c r="A1273">
        <v>94</v>
      </c>
      <c r="B1273">
        <v>511920</v>
      </c>
      <c r="C1273" t="s">
        <v>1262</v>
      </c>
      <c r="D1273" t="s">
        <v>1</v>
      </c>
      <c r="E1273" t="s">
        <v>2</v>
      </c>
      <c r="F1273">
        <v>40000000</v>
      </c>
      <c r="G1273">
        <v>2008</v>
      </c>
      <c r="H1273">
        <v>4.4000000000000004</v>
      </c>
    </row>
    <row r="1274" spans="1:8" x14ac:dyDescent="0.25">
      <c r="A1274">
        <v>115</v>
      </c>
      <c r="B1274">
        <v>10640645</v>
      </c>
      <c r="C1274" t="s">
        <v>1263</v>
      </c>
      <c r="D1274" t="s">
        <v>1</v>
      </c>
      <c r="E1274" t="s">
        <v>2</v>
      </c>
      <c r="F1274">
        <v>40000000</v>
      </c>
      <c r="G1274">
        <v>2015</v>
      </c>
      <c r="H1274">
        <v>5.8</v>
      </c>
    </row>
    <row r="1275" spans="1:8" x14ac:dyDescent="0.25">
      <c r="A1275">
        <v>93</v>
      </c>
      <c r="B1275">
        <v>652526</v>
      </c>
      <c r="C1275" t="s">
        <v>1264</v>
      </c>
      <c r="D1275" t="s">
        <v>1</v>
      </c>
      <c r="E1275" t="s">
        <v>119</v>
      </c>
      <c r="F1275">
        <v>40000000</v>
      </c>
      <c r="G1275">
        <v>2006</v>
      </c>
      <c r="H1275">
        <v>5.0999999999999996</v>
      </c>
    </row>
    <row r="1276" spans="1:8" x14ac:dyDescent="0.25">
      <c r="A1276">
        <v>113</v>
      </c>
      <c r="B1276">
        <v>128978</v>
      </c>
      <c r="C1276" t="s">
        <v>1269</v>
      </c>
      <c r="D1276" t="s">
        <v>326</v>
      </c>
      <c r="E1276" t="s">
        <v>675</v>
      </c>
      <c r="F1276">
        <v>40000000</v>
      </c>
      <c r="G1276">
        <v>2007</v>
      </c>
      <c r="H1276">
        <v>7.1</v>
      </c>
    </row>
    <row r="1277" spans="1:8" x14ac:dyDescent="0.25">
      <c r="A1277">
        <v>119</v>
      </c>
      <c r="B1277">
        <v>25335935</v>
      </c>
      <c r="C1277" t="s">
        <v>1278</v>
      </c>
      <c r="D1277" t="s">
        <v>1</v>
      </c>
      <c r="E1277" t="s">
        <v>2</v>
      </c>
      <c r="F1277">
        <v>40000000</v>
      </c>
      <c r="G1277">
        <v>2005</v>
      </c>
      <c r="H1277">
        <v>8</v>
      </c>
    </row>
    <row r="1278" spans="1:8" x14ac:dyDescent="0.25">
      <c r="A1278">
        <v>113</v>
      </c>
      <c r="B1278">
        <v>29802761</v>
      </c>
      <c r="C1278" t="s">
        <v>1281</v>
      </c>
      <c r="D1278" t="s">
        <v>1</v>
      </c>
      <c r="E1278" t="s">
        <v>2</v>
      </c>
      <c r="F1278">
        <v>40000000</v>
      </c>
      <c r="G1278">
        <v>2013</v>
      </c>
      <c r="H1278">
        <v>6.4</v>
      </c>
    </row>
    <row r="1279" spans="1:8" x14ac:dyDescent="0.25">
      <c r="A1279">
        <v>130</v>
      </c>
      <c r="B1279">
        <v>9589875</v>
      </c>
      <c r="C1279" t="s">
        <v>1308</v>
      </c>
      <c r="D1279" t="s">
        <v>1</v>
      </c>
      <c r="E1279" t="s">
        <v>2</v>
      </c>
      <c r="F1279">
        <v>40000000</v>
      </c>
      <c r="G1279">
        <v>2008</v>
      </c>
      <c r="H1279">
        <v>7.3</v>
      </c>
    </row>
    <row r="1280" spans="1:8" x14ac:dyDescent="0.25">
      <c r="A1280">
        <v>110</v>
      </c>
      <c r="B1280">
        <v>41102171</v>
      </c>
      <c r="C1280" t="s">
        <v>1312</v>
      </c>
      <c r="D1280" t="s">
        <v>1</v>
      </c>
      <c r="E1280" t="s">
        <v>2</v>
      </c>
      <c r="F1280">
        <v>40000000</v>
      </c>
      <c r="G1280">
        <v>2012</v>
      </c>
      <c r="H1280">
        <v>5.7</v>
      </c>
    </row>
    <row r="1281" spans="1:8" x14ac:dyDescent="0.25">
      <c r="A1281">
        <v>109</v>
      </c>
      <c r="B1281">
        <v>37553932</v>
      </c>
      <c r="C1281" t="s">
        <v>1383</v>
      </c>
      <c r="D1281" t="s">
        <v>1</v>
      </c>
      <c r="E1281" t="s">
        <v>2</v>
      </c>
      <c r="F1281">
        <v>40000000</v>
      </c>
      <c r="G1281">
        <v>2011</v>
      </c>
      <c r="H1281">
        <v>6.7</v>
      </c>
    </row>
    <row r="1282" spans="1:8" x14ac:dyDescent="0.25">
      <c r="A1282">
        <v>138</v>
      </c>
      <c r="B1282">
        <v>141340178</v>
      </c>
      <c r="C1282" t="s">
        <v>1453</v>
      </c>
      <c r="D1282" t="s">
        <v>1</v>
      </c>
      <c r="E1282" t="s">
        <v>2</v>
      </c>
      <c r="F1282">
        <v>40000000</v>
      </c>
      <c r="G1282">
        <v>1992</v>
      </c>
      <c r="H1282">
        <v>7.6</v>
      </c>
    </row>
    <row r="1283" spans="1:8" x14ac:dyDescent="0.25">
      <c r="A1283">
        <v>77</v>
      </c>
      <c r="B1283">
        <v>53337608</v>
      </c>
      <c r="C1283" t="s">
        <v>1566</v>
      </c>
      <c r="D1283" t="s">
        <v>1</v>
      </c>
      <c r="E1283" t="s">
        <v>2</v>
      </c>
      <c r="F1283">
        <v>40000000</v>
      </c>
      <c r="G1283">
        <v>2005</v>
      </c>
      <c r="H1283">
        <v>7.4</v>
      </c>
    </row>
    <row r="1284" spans="1:8" x14ac:dyDescent="0.25">
      <c r="A1284">
        <v>98</v>
      </c>
      <c r="B1284">
        <v>16323969</v>
      </c>
      <c r="C1284" t="s">
        <v>1611</v>
      </c>
      <c r="D1284" t="s">
        <v>1</v>
      </c>
      <c r="E1284" t="s">
        <v>2</v>
      </c>
      <c r="F1284">
        <v>40000000</v>
      </c>
      <c r="G1284">
        <v>2004</v>
      </c>
      <c r="H1284">
        <v>5.5</v>
      </c>
    </row>
    <row r="1285" spans="1:8" x14ac:dyDescent="0.25">
      <c r="A1285">
        <v>123</v>
      </c>
      <c r="B1285">
        <v>7689458</v>
      </c>
      <c r="C1285" t="s">
        <v>1628</v>
      </c>
      <c r="D1285" t="s">
        <v>1</v>
      </c>
      <c r="E1285" t="s">
        <v>5</v>
      </c>
      <c r="F1285">
        <v>40000000</v>
      </c>
      <c r="G1285">
        <v>2009</v>
      </c>
      <c r="H1285">
        <v>6.8</v>
      </c>
    </row>
    <row r="1286" spans="1:8" x14ac:dyDescent="0.25">
      <c r="A1286">
        <v>110</v>
      </c>
      <c r="B1286">
        <v>5773519</v>
      </c>
      <c r="C1286" t="s">
        <v>1099</v>
      </c>
      <c r="D1286" t="s">
        <v>1</v>
      </c>
      <c r="E1286" t="s">
        <v>2</v>
      </c>
      <c r="F1286">
        <v>40000000</v>
      </c>
      <c r="G1286">
        <v>2015</v>
      </c>
      <c r="H1286">
        <v>6</v>
      </c>
    </row>
    <row r="1287" spans="1:8" x14ac:dyDescent="0.25">
      <c r="A1287">
        <v>89</v>
      </c>
      <c r="B1287">
        <v>20916309</v>
      </c>
      <c r="C1287" t="s">
        <v>2089</v>
      </c>
      <c r="D1287" t="s">
        <v>1</v>
      </c>
      <c r="E1287" t="s">
        <v>2</v>
      </c>
      <c r="F1287">
        <v>40000000</v>
      </c>
      <c r="G1287">
        <v>2009</v>
      </c>
      <c r="H1287">
        <v>4.9000000000000004</v>
      </c>
    </row>
    <row r="1288" spans="1:8" x14ac:dyDescent="0.25">
      <c r="A1288">
        <v>112</v>
      </c>
      <c r="B1288">
        <v>19151864</v>
      </c>
      <c r="C1288" t="s">
        <v>2093</v>
      </c>
      <c r="D1288" t="s">
        <v>1</v>
      </c>
      <c r="E1288" t="s">
        <v>2</v>
      </c>
      <c r="F1288">
        <v>40000000</v>
      </c>
      <c r="G1288">
        <v>2008</v>
      </c>
      <c r="H1288">
        <v>5.9</v>
      </c>
    </row>
    <row r="1289" spans="1:8" x14ac:dyDescent="0.25">
      <c r="A1289">
        <v>99</v>
      </c>
      <c r="B1289">
        <v>12181484</v>
      </c>
      <c r="C1289" t="s">
        <v>2119</v>
      </c>
      <c r="D1289" t="s">
        <v>1</v>
      </c>
      <c r="E1289" t="s">
        <v>2</v>
      </c>
      <c r="F1289">
        <v>40000000</v>
      </c>
      <c r="G1289">
        <v>2004</v>
      </c>
      <c r="H1289">
        <v>4.8</v>
      </c>
    </row>
    <row r="1290" spans="1:8" x14ac:dyDescent="0.25">
      <c r="A1290">
        <v>125</v>
      </c>
      <c r="B1290">
        <v>1027749</v>
      </c>
      <c r="C1290" t="s">
        <v>2172</v>
      </c>
      <c r="D1290" t="s">
        <v>1</v>
      </c>
      <c r="E1290" t="s">
        <v>55</v>
      </c>
      <c r="F1290">
        <v>40000000</v>
      </c>
      <c r="G1290">
        <v>2008</v>
      </c>
      <c r="H1290">
        <v>7.1</v>
      </c>
    </row>
    <row r="1291" spans="1:8" x14ac:dyDescent="0.25">
      <c r="A1291">
        <v>126</v>
      </c>
      <c r="B1291">
        <v>4563029</v>
      </c>
      <c r="C1291" t="s">
        <v>1272</v>
      </c>
      <c r="D1291" t="s">
        <v>1</v>
      </c>
      <c r="E1291" t="s">
        <v>1028</v>
      </c>
      <c r="F1291">
        <v>39200000</v>
      </c>
      <c r="G1291">
        <v>2013</v>
      </c>
      <c r="H1291">
        <v>7</v>
      </c>
    </row>
    <row r="1292" spans="1:8" x14ac:dyDescent="0.25">
      <c r="A1292">
        <v>107</v>
      </c>
      <c r="B1292">
        <v>63411478</v>
      </c>
      <c r="C1292" t="s">
        <v>1276</v>
      </c>
      <c r="D1292" t="s">
        <v>1</v>
      </c>
      <c r="E1292" t="s">
        <v>2</v>
      </c>
      <c r="F1292">
        <v>39000000</v>
      </c>
      <c r="G1292">
        <v>2009</v>
      </c>
      <c r="H1292">
        <v>7.1</v>
      </c>
    </row>
    <row r="1293" spans="1:8" x14ac:dyDescent="0.25">
      <c r="A1293">
        <v>87</v>
      </c>
      <c r="B1293">
        <v>35287788</v>
      </c>
      <c r="C1293" t="s">
        <v>1277</v>
      </c>
      <c r="D1293" t="s">
        <v>1</v>
      </c>
      <c r="E1293" t="s">
        <v>2</v>
      </c>
      <c r="F1293">
        <v>39000000</v>
      </c>
      <c r="G1293">
        <v>2012</v>
      </c>
      <c r="H1293">
        <v>7</v>
      </c>
    </row>
    <row r="1294" spans="1:8" x14ac:dyDescent="0.25">
      <c r="A1294">
        <v>110</v>
      </c>
      <c r="B1294">
        <v>5881504</v>
      </c>
      <c r="C1294" t="s">
        <v>1279</v>
      </c>
      <c r="D1294" t="s">
        <v>1</v>
      </c>
      <c r="E1294" t="s">
        <v>2</v>
      </c>
      <c r="F1294">
        <v>39000000</v>
      </c>
      <c r="G1294">
        <v>2004</v>
      </c>
      <c r="H1294">
        <v>5.3</v>
      </c>
    </row>
    <row r="1295" spans="1:8" x14ac:dyDescent="0.25">
      <c r="A1295">
        <v>125</v>
      </c>
      <c r="B1295">
        <v>60000000</v>
      </c>
      <c r="C1295" t="s">
        <v>1280</v>
      </c>
      <c r="D1295" t="s">
        <v>1</v>
      </c>
      <c r="E1295" t="s">
        <v>5</v>
      </c>
      <c r="F1295">
        <v>39000000</v>
      </c>
      <c r="G1295">
        <v>1983</v>
      </c>
      <c r="H1295">
        <v>4.9000000000000004</v>
      </c>
    </row>
    <row r="1296" spans="1:8" x14ac:dyDescent="0.25">
      <c r="A1296">
        <v>93</v>
      </c>
      <c r="B1296">
        <v>30400000</v>
      </c>
      <c r="C1296" t="s">
        <v>1285</v>
      </c>
      <c r="D1296" t="s">
        <v>1</v>
      </c>
      <c r="E1296" t="s">
        <v>2</v>
      </c>
      <c r="F1296">
        <v>39000000</v>
      </c>
      <c r="G1296">
        <v>1996</v>
      </c>
      <c r="H1296">
        <v>5.7</v>
      </c>
    </row>
    <row r="1297" spans="1:8" x14ac:dyDescent="0.25">
      <c r="A1297">
        <v>122</v>
      </c>
      <c r="B1297">
        <v>6594136</v>
      </c>
      <c r="C1297" t="s">
        <v>1288</v>
      </c>
      <c r="D1297" t="s">
        <v>326</v>
      </c>
      <c r="E1297" t="s">
        <v>675</v>
      </c>
      <c r="F1297">
        <v>38600000</v>
      </c>
      <c r="G1297">
        <v>2013</v>
      </c>
      <c r="H1297">
        <v>6.5</v>
      </c>
    </row>
    <row r="1298" spans="1:8" x14ac:dyDescent="0.25">
      <c r="A1298">
        <v>106</v>
      </c>
      <c r="B1298">
        <v>144512310</v>
      </c>
      <c r="C1298" t="s">
        <v>105</v>
      </c>
      <c r="D1298" t="s">
        <v>1</v>
      </c>
      <c r="E1298" t="s">
        <v>2</v>
      </c>
      <c r="F1298">
        <v>38000000</v>
      </c>
      <c r="G1298">
        <v>2001</v>
      </c>
      <c r="H1298">
        <v>6.7</v>
      </c>
    </row>
    <row r="1299" spans="1:8" x14ac:dyDescent="0.25">
      <c r="A1299">
        <v>106</v>
      </c>
      <c r="B1299">
        <v>144512310</v>
      </c>
      <c r="C1299" t="s">
        <v>105</v>
      </c>
      <c r="D1299" t="s">
        <v>1</v>
      </c>
      <c r="E1299" t="s">
        <v>2</v>
      </c>
      <c r="F1299">
        <v>38000000</v>
      </c>
      <c r="G1299">
        <v>2001</v>
      </c>
      <c r="H1299">
        <v>6.7</v>
      </c>
    </row>
    <row r="1300" spans="1:8" x14ac:dyDescent="0.25">
      <c r="A1300">
        <v>84</v>
      </c>
      <c r="B1300">
        <v>111760631</v>
      </c>
      <c r="C1300" t="s">
        <v>1142</v>
      </c>
      <c r="D1300" t="s">
        <v>1</v>
      </c>
      <c r="E1300" t="s">
        <v>2</v>
      </c>
      <c r="F1300">
        <v>38000000</v>
      </c>
      <c r="G1300">
        <v>2003</v>
      </c>
      <c r="H1300">
        <v>4.0999999999999996</v>
      </c>
    </row>
    <row r="1301" spans="1:8" x14ac:dyDescent="0.25">
      <c r="A1301">
        <v>140</v>
      </c>
      <c r="B1301">
        <v>35183792</v>
      </c>
      <c r="C1301" t="s">
        <v>1207</v>
      </c>
      <c r="D1301" t="s">
        <v>1</v>
      </c>
      <c r="E1301" t="s">
        <v>2</v>
      </c>
      <c r="F1301">
        <v>38000000</v>
      </c>
      <c r="G1301">
        <v>1991</v>
      </c>
      <c r="H1301">
        <v>7.2</v>
      </c>
    </row>
    <row r="1302" spans="1:8" x14ac:dyDescent="0.25">
      <c r="A1302">
        <v>106</v>
      </c>
      <c r="B1302">
        <v>144512310</v>
      </c>
      <c r="C1302" t="s">
        <v>105</v>
      </c>
      <c r="D1302" t="s">
        <v>1</v>
      </c>
      <c r="E1302" t="s">
        <v>2</v>
      </c>
      <c r="F1302">
        <v>38000000</v>
      </c>
      <c r="G1302">
        <v>2001</v>
      </c>
      <c r="H1302">
        <v>6.7</v>
      </c>
    </row>
    <row r="1303" spans="1:8" x14ac:dyDescent="0.25">
      <c r="A1303">
        <v>108</v>
      </c>
      <c r="B1303">
        <v>127214072</v>
      </c>
      <c r="C1303" t="s">
        <v>1283</v>
      </c>
      <c r="D1303" t="s">
        <v>1</v>
      </c>
      <c r="E1303" t="s">
        <v>2</v>
      </c>
      <c r="F1303">
        <v>38000000</v>
      </c>
      <c r="G1303">
        <v>2002</v>
      </c>
      <c r="H1303">
        <v>6.1</v>
      </c>
    </row>
    <row r="1304" spans="1:8" x14ac:dyDescent="0.25">
      <c r="A1304">
        <v>96</v>
      </c>
      <c r="B1304">
        <v>88915214</v>
      </c>
      <c r="C1304" t="s">
        <v>1284</v>
      </c>
      <c r="D1304" t="s">
        <v>1</v>
      </c>
      <c r="E1304" t="s">
        <v>2</v>
      </c>
      <c r="F1304">
        <v>38000000</v>
      </c>
      <c r="G1304">
        <v>2009</v>
      </c>
      <c r="H1304">
        <v>6.5</v>
      </c>
    </row>
    <row r="1305" spans="1:8" x14ac:dyDescent="0.25">
      <c r="A1305">
        <v>100</v>
      </c>
      <c r="B1305">
        <v>85570368</v>
      </c>
      <c r="C1305" t="s">
        <v>1286</v>
      </c>
      <c r="D1305" t="s">
        <v>1</v>
      </c>
      <c r="E1305" t="s">
        <v>2</v>
      </c>
      <c r="F1305">
        <v>38000000</v>
      </c>
      <c r="G1305">
        <v>2002</v>
      </c>
      <c r="H1305">
        <v>5.0999999999999996</v>
      </c>
    </row>
    <row r="1306" spans="1:8" x14ac:dyDescent="0.25">
      <c r="A1306">
        <v>120</v>
      </c>
      <c r="B1306">
        <v>58700247</v>
      </c>
      <c r="C1306" t="s">
        <v>1289</v>
      </c>
      <c r="D1306" t="s">
        <v>1</v>
      </c>
      <c r="E1306" t="s">
        <v>2</v>
      </c>
      <c r="F1306">
        <v>38000000</v>
      </c>
      <c r="G1306">
        <v>2011</v>
      </c>
      <c r="H1306">
        <v>6.9</v>
      </c>
    </row>
    <row r="1307" spans="1:8" x14ac:dyDescent="0.25">
      <c r="A1307">
        <v>146</v>
      </c>
      <c r="B1307">
        <v>50668906</v>
      </c>
      <c r="C1307" t="s">
        <v>1290</v>
      </c>
      <c r="D1307" t="s">
        <v>1</v>
      </c>
      <c r="E1307" t="s">
        <v>2</v>
      </c>
      <c r="F1307">
        <v>38000000</v>
      </c>
      <c r="G1307">
        <v>1999</v>
      </c>
      <c r="H1307">
        <v>7.6</v>
      </c>
    </row>
    <row r="1308" spans="1:8" x14ac:dyDescent="0.25">
      <c r="A1308">
        <v>115</v>
      </c>
      <c r="B1308">
        <v>39177215</v>
      </c>
      <c r="C1308" t="s">
        <v>1291</v>
      </c>
      <c r="D1308" t="s">
        <v>1</v>
      </c>
      <c r="E1308" t="s">
        <v>2</v>
      </c>
      <c r="F1308">
        <v>38000000</v>
      </c>
      <c r="G1308">
        <v>2002</v>
      </c>
      <c r="H1308">
        <v>5.6</v>
      </c>
    </row>
    <row r="1309" spans="1:8" x14ac:dyDescent="0.25">
      <c r="A1309">
        <v>102</v>
      </c>
      <c r="B1309">
        <v>24044532</v>
      </c>
      <c r="C1309" t="s">
        <v>1294</v>
      </c>
      <c r="D1309" t="s">
        <v>1</v>
      </c>
      <c r="E1309" t="s">
        <v>2</v>
      </c>
      <c r="F1309">
        <v>38000000</v>
      </c>
      <c r="G1309">
        <v>2001</v>
      </c>
      <c r="H1309">
        <v>5.6</v>
      </c>
    </row>
    <row r="1310" spans="1:8" x14ac:dyDescent="0.25">
      <c r="A1310">
        <v>98</v>
      </c>
      <c r="B1310">
        <v>22770864</v>
      </c>
      <c r="C1310" t="s">
        <v>1295</v>
      </c>
      <c r="D1310" t="s">
        <v>1</v>
      </c>
      <c r="E1310" t="s">
        <v>2</v>
      </c>
      <c r="F1310">
        <v>38000000</v>
      </c>
      <c r="G1310">
        <v>2001</v>
      </c>
      <c r="H1310">
        <v>5.5</v>
      </c>
    </row>
    <row r="1311" spans="1:8" x14ac:dyDescent="0.25">
      <c r="A1311">
        <v>133</v>
      </c>
      <c r="B1311">
        <v>18653746</v>
      </c>
      <c r="C1311" t="s">
        <v>1296</v>
      </c>
      <c r="D1311" t="s">
        <v>1</v>
      </c>
      <c r="E1311" t="s">
        <v>620</v>
      </c>
      <c r="F1311">
        <v>38000000</v>
      </c>
      <c r="G1311">
        <v>1999</v>
      </c>
      <c r="H1311">
        <v>6.7</v>
      </c>
    </row>
    <row r="1312" spans="1:8" x14ac:dyDescent="0.25">
      <c r="A1312">
        <v>118</v>
      </c>
      <c r="B1312">
        <v>17305211</v>
      </c>
      <c r="C1312" t="s">
        <v>1297</v>
      </c>
      <c r="D1312" t="s">
        <v>1</v>
      </c>
      <c r="E1312" t="s">
        <v>2</v>
      </c>
      <c r="F1312">
        <v>38000000</v>
      </c>
      <c r="G1312">
        <v>1996</v>
      </c>
      <c r="H1312">
        <v>6.1</v>
      </c>
    </row>
    <row r="1313" spans="1:8" x14ac:dyDescent="0.25">
      <c r="A1313">
        <v>129</v>
      </c>
      <c r="B1313">
        <v>10300000</v>
      </c>
      <c r="C1313" t="s">
        <v>1300</v>
      </c>
      <c r="D1313" t="s">
        <v>1</v>
      </c>
      <c r="E1313" t="s">
        <v>2</v>
      </c>
      <c r="F1313">
        <v>38000000</v>
      </c>
      <c r="G1313">
        <v>1996</v>
      </c>
      <c r="H1313">
        <v>6.6</v>
      </c>
    </row>
    <row r="1314" spans="1:8" x14ac:dyDescent="0.25">
      <c r="A1314">
        <v>127</v>
      </c>
      <c r="B1314">
        <v>41997790</v>
      </c>
      <c r="C1314" t="s">
        <v>1302</v>
      </c>
      <c r="D1314" t="s">
        <v>1</v>
      </c>
      <c r="E1314" t="s">
        <v>2</v>
      </c>
      <c r="F1314">
        <v>38000000</v>
      </c>
      <c r="G1314">
        <v>2013</v>
      </c>
      <c r="H1314">
        <v>6.4</v>
      </c>
    </row>
    <row r="1315" spans="1:8" x14ac:dyDescent="0.25">
      <c r="A1315">
        <v>110</v>
      </c>
      <c r="B1315">
        <v>623374</v>
      </c>
      <c r="C1315" t="s">
        <v>1304</v>
      </c>
      <c r="D1315" t="s">
        <v>1</v>
      </c>
      <c r="E1315" t="s">
        <v>2</v>
      </c>
      <c r="F1315">
        <v>38000000</v>
      </c>
      <c r="G1315">
        <v>2001</v>
      </c>
      <c r="H1315">
        <v>5.2</v>
      </c>
    </row>
    <row r="1316" spans="1:8" x14ac:dyDescent="0.25">
      <c r="A1316">
        <v>112</v>
      </c>
      <c r="B1316">
        <v>34912982</v>
      </c>
      <c r="C1316" t="s">
        <v>1309</v>
      </c>
      <c r="D1316" t="s">
        <v>1</v>
      </c>
      <c r="E1316" t="s">
        <v>2</v>
      </c>
      <c r="F1316">
        <v>38000000</v>
      </c>
      <c r="G1316">
        <v>2016</v>
      </c>
      <c r="H1316">
        <v>5.2</v>
      </c>
    </row>
    <row r="1317" spans="1:8" x14ac:dyDescent="0.25">
      <c r="A1317">
        <v>123</v>
      </c>
      <c r="B1317">
        <v>26903709</v>
      </c>
      <c r="C1317" t="s">
        <v>1315</v>
      </c>
      <c r="D1317" t="s">
        <v>1</v>
      </c>
      <c r="E1317" t="s">
        <v>5</v>
      </c>
      <c r="F1317">
        <v>38000000</v>
      </c>
      <c r="G1317">
        <v>2013</v>
      </c>
      <c r="H1317">
        <v>8.1</v>
      </c>
    </row>
    <row r="1318" spans="1:8" x14ac:dyDescent="0.25">
      <c r="A1318">
        <v>110</v>
      </c>
      <c r="B1318">
        <v>46813366</v>
      </c>
      <c r="C1318" t="s">
        <v>1318</v>
      </c>
      <c r="D1318" t="s">
        <v>1</v>
      </c>
      <c r="E1318" t="s">
        <v>2</v>
      </c>
      <c r="F1318">
        <v>38000000</v>
      </c>
      <c r="G1318">
        <v>2016</v>
      </c>
      <c r="H1318">
        <v>6.1</v>
      </c>
    </row>
    <row r="1319" spans="1:8" x14ac:dyDescent="0.25">
      <c r="A1319">
        <v>110</v>
      </c>
      <c r="B1319">
        <v>171031347</v>
      </c>
      <c r="C1319" t="s">
        <v>1349</v>
      </c>
      <c r="D1319" t="s">
        <v>1</v>
      </c>
      <c r="E1319" t="s">
        <v>2</v>
      </c>
      <c r="F1319">
        <v>38000000</v>
      </c>
      <c r="G1319">
        <v>2010</v>
      </c>
      <c r="H1319">
        <v>7.7</v>
      </c>
    </row>
    <row r="1320" spans="1:8" x14ac:dyDescent="0.25">
      <c r="A1320">
        <v>102</v>
      </c>
      <c r="B1320">
        <v>7659747</v>
      </c>
      <c r="C1320" t="s">
        <v>1429</v>
      </c>
      <c r="D1320" t="s">
        <v>1</v>
      </c>
      <c r="E1320" t="s">
        <v>2</v>
      </c>
      <c r="F1320">
        <v>38000000</v>
      </c>
      <c r="G1320">
        <v>2003</v>
      </c>
      <c r="H1320">
        <v>5.0999999999999996</v>
      </c>
    </row>
    <row r="1321" spans="1:8" x14ac:dyDescent="0.25">
      <c r="A1321">
        <v>124</v>
      </c>
      <c r="B1321">
        <v>8406264</v>
      </c>
      <c r="C1321" t="s">
        <v>1464</v>
      </c>
      <c r="D1321" t="s">
        <v>1</v>
      </c>
      <c r="E1321" t="s">
        <v>2</v>
      </c>
      <c r="F1321">
        <v>38000000</v>
      </c>
      <c r="G1321">
        <v>1999</v>
      </c>
      <c r="H1321">
        <v>6</v>
      </c>
    </row>
    <row r="1322" spans="1:8" x14ac:dyDescent="0.25">
      <c r="A1322">
        <v>99</v>
      </c>
      <c r="B1322">
        <v>113502246</v>
      </c>
      <c r="C1322" t="s">
        <v>1522</v>
      </c>
      <c r="D1322" t="s">
        <v>1</v>
      </c>
      <c r="E1322" t="s">
        <v>2</v>
      </c>
      <c r="F1322">
        <v>38000000</v>
      </c>
      <c r="G1322">
        <v>1991</v>
      </c>
      <c r="H1322">
        <v>6.8</v>
      </c>
    </row>
    <row r="1323" spans="1:8" x14ac:dyDescent="0.25">
      <c r="A1323">
        <v>113</v>
      </c>
      <c r="B1323">
        <v>40137776</v>
      </c>
      <c r="C1323" t="s">
        <v>1574</v>
      </c>
      <c r="D1323" t="s">
        <v>1</v>
      </c>
      <c r="E1323" t="s">
        <v>2</v>
      </c>
      <c r="F1323">
        <v>38000000</v>
      </c>
      <c r="G1323">
        <v>2006</v>
      </c>
      <c r="H1323">
        <v>7.6</v>
      </c>
    </row>
    <row r="1324" spans="1:8" x14ac:dyDescent="0.25">
      <c r="A1324">
        <v>118</v>
      </c>
      <c r="B1324">
        <v>6482195</v>
      </c>
      <c r="C1324" t="s">
        <v>1303</v>
      </c>
      <c r="D1324" t="s">
        <v>1</v>
      </c>
      <c r="E1324" t="s">
        <v>2</v>
      </c>
      <c r="F1324">
        <v>37000000</v>
      </c>
      <c r="G1324">
        <v>1997</v>
      </c>
      <c r="H1324">
        <v>6.4</v>
      </c>
    </row>
    <row r="1325" spans="1:8" x14ac:dyDescent="0.25">
      <c r="A1325">
        <v>150</v>
      </c>
      <c r="B1325">
        <v>92173235</v>
      </c>
      <c r="C1325" t="s">
        <v>1311</v>
      </c>
      <c r="D1325" t="s">
        <v>1</v>
      </c>
      <c r="E1325" t="s">
        <v>2</v>
      </c>
      <c r="F1325">
        <v>37000000</v>
      </c>
      <c r="G1325">
        <v>2010</v>
      </c>
      <c r="H1325">
        <v>7.6</v>
      </c>
    </row>
    <row r="1326" spans="1:8" x14ac:dyDescent="0.25">
      <c r="A1326">
        <v>96</v>
      </c>
      <c r="B1326">
        <v>60338891</v>
      </c>
      <c r="C1326" t="s">
        <v>1313</v>
      </c>
      <c r="D1326" t="s">
        <v>1</v>
      </c>
      <c r="E1326" t="s">
        <v>2</v>
      </c>
      <c r="F1326">
        <v>37000000</v>
      </c>
      <c r="G1326">
        <v>2008</v>
      </c>
      <c r="H1326">
        <v>7</v>
      </c>
    </row>
    <row r="1327" spans="1:8" x14ac:dyDescent="0.25">
      <c r="A1327">
        <v>96</v>
      </c>
      <c r="B1327">
        <v>48006503</v>
      </c>
      <c r="C1327" t="s">
        <v>1314</v>
      </c>
      <c r="D1327" t="s">
        <v>1</v>
      </c>
      <c r="E1327" t="s">
        <v>2</v>
      </c>
      <c r="F1327">
        <v>37000000</v>
      </c>
      <c r="G1327">
        <v>2008</v>
      </c>
      <c r="H1327">
        <v>6</v>
      </c>
    </row>
    <row r="1328" spans="1:8" x14ac:dyDescent="0.25">
      <c r="A1328">
        <v>188</v>
      </c>
      <c r="B1328">
        <v>22450975</v>
      </c>
      <c r="C1328" t="s">
        <v>1316</v>
      </c>
      <c r="D1328" t="s">
        <v>1</v>
      </c>
      <c r="E1328" t="s">
        <v>2</v>
      </c>
      <c r="F1328">
        <v>37000000</v>
      </c>
      <c r="G1328">
        <v>1999</v>
      </c>
      <c r="H1328">
        <v>8</v>
      </c>
    </row>
    <row r="1329" spans="1:8" x14ac:dyDescent="0.25">
      <c r="A1329">
        <v>107</v>
      </c>
      <c r="B1329">
        <v>44867349</v>
      </c>
      <c r="C1329" t="s">
        <v>1317</v>
      </c>
      <c r="D1329" t="s">
        <v>1</v>
      </c>
      <c r="E1329" t="s">
        <v>2</v>
      </c>
      <c r="F1329">
        <v>37000000</v>
      </c>
      <c r="G1329">
        <v>2010</v>
      </c>
      <c r="H1329">
        <v>5.6</v>
      </c>
    </row>
    <row r="1330" spans="1:8" x14ac:dyDescent="0.25">
      <c r="A1330">
        <v>113</v>
      </c>
      <c r="B1330">
        <v>72279690</v>
      </c>
      <c r="C1330" t="s">
        <v>1319</v>
      </c>
      <c r="D1330" t="s">
        <v>1</v>
      </c>
      <c r="E1330" t="s">
        <v>2</v>
      </c>
      <c r="F1330">
        <v>37000000</v>
      </c>
      <c r="G1330">
        <v>2011</v>
      </c>
      <c r="H1330">
        <v>6.9</v>
      </c>
    </row>
    <row r="1331" spans="1:8" x14ac:dyDescent="0.25">
      <c r="A1331">
        <v>122</v>
      </c>
      <c r="B1331">
        <v>191449475</v>
      </c>
      <c r="C1331" t="s">
        <v>1320</v>
      </c>
      <c r="D1331" t="s">
        <v>1</v>
      </c>
      <c r="E1331" t="s">
        <v>2</v>
      </c>
      <c r="F1331">
        <v>37000000</v>
      </c>
      <c r="G1331">
        <v>2008</v>
      </c>
      <c r="H1331">
        <v>5.2</v>
      </c>
    </row>
    <row r="1332" spans="1:8" x14ac:dyDescent="0.25">
      <c r="A1332">
        <v>118</v>
      </c>
      <c r="B1332">
        <v>150368971</v>
      </c>
      <c r="C1332" t="s">
        <v>1323</v>
      </c>
      <c r="D1332" t="s">
        <v>1</v>
      </c>
      <c r="E1332" t="s">
        <v>2</v>
      </c>
      <c r="F1332">
        <v>37000000</v>
      </c>
      <c r="G1332">
        <v>2013</v>
      </c>
      <c r="H1332">
        <v>7</v>
      </c>
    </row>
    <row r="1333" spans="1:8" x14ac:dyDescent="0.25">
      <c r="A1333">
        <v>105</v>
      </c>
      <c r="B1333">
        <v>20991497</v>
      </c>
      <c r="C1333" t="s">
        <v>1331</v>
      </c>
      <c r="D1333" t="s">
        <v>1</v>
      </c>
      <c r="E1333" t="s">
        <v>2</v>
      </c>
      <c r="F1333">
        <v>37000000</v>
      </c>
      <c r="G1333">
        <v>2015</v>
      </c>
      <c r="H1333">
        <v>5.4</v>
      </c>
    </row>
    <row r="1334" spans="1:8" x14ac:dyDescent="0.25">
      <c r="A1334">
        <v>114</v>
      </c>
      <c r="B1334">
        <v>33037754</v>
      </c>
      <c r="C1334" t="s">
        <v>1334</v>
      </c>
      <c r="D1334" t="s">
        <v>1</v>
      </c>
      <c r="E1334" t="s">
        <v>2</v>
      </c>
      <c r="F1334">
        <v>37000000</v>
      </c>
      <c r="G1334">
        <v>2011</v>
      </c>
      <c r="H1334">
        <v>6</v>
      </c>
    </row>
    <row r="1335" spans="1:8" x14ac:dyDescent="0.25">
      <c r="A1335">
        <v>81</v>
      </c>
      <c r="B1335">
        <v>30105968</v>
      </c>
      <c r="C1335" t="s">
        <v>1337</v>
      </c>
      <c r="D1335" t="s">
        <v>1</v>
      </c>
      <c r="E1335" t="s">
        <v>2</v>
      </c>
      <c r="F1335">
        <v>37000000</v>
      </c>
      <c r="G1335">
        <v>2008</v>
      </c>
      <c r="H1335">
        <v>4.5</v>
      </c>
    </row>
    <row r="1336" spans="1:8" x14ac:dyDescent="0.25">
      <c r="A1336">
        <v>111</v>
      </c>
      <c r="B1336">
        <v>108244774</v>
      </c>
      <c r="C1336" t="s">
        <v>1524</v>
      </c>
      <c r="D1336" t="s">
        <v>1</v>
      </c>
      <c r="E1336" t="s">
        <v>2</v>
      </c>
      <c r="F1336">
        <v>37000000</v>
      </c>
      <c r="G1336">
        <v>2001</v>
      </c>
      <c r="H1336">
        <v>6.2</v>
      </c>
    </row>
    <row r="1337" spans="1:8" x14ac:dyDescent="0.25">
      <c r="A1337">
        <v>98</v>
      </c>
      <c r="B1337">
        <v>56044241</v>
      </c>
      <c r="C1337" t="s">
        <v>1552</v>
      </c>
      <c r="D1337" t="s">
        <v>1</v>
      </c>
      <c r="E1337" t="s">
        <v>2</v>
      </c>
      <c r="F1337">
        <v>37000000</v>
      </c>
      <c r="G1337">
        <v>2004</v>
      </c>
      <c r="H1337">
        <v>6.1</v>
      </c>
    </row>
    <row r="1338" spans="1:8" x14ac:dyDescent="0.25">
      <c r="A1338">
        <v>109</v>
      </c>
      <c r="B1338">
        <v>69148997</v>
      </c>
      <c r="C1338" t="s">
        <v>2031</v>
      </c>
      <c r="D1338" t="s">
        <v>1</v>
      </c>
      <c r="E1338" t="s">
        <v>2</v>
      </c>
      <c r="F1338">
        <v>37000000</v>
      </c>
      <c r="G1338">
        <v>2004</v>
      </c>
      <c r="H1338">
        <v>5.4</v>
      </c>
    </row>
    <row r="1339" spans="1:8" x14ac:dyDescent="0.25">
      <c r="A1339">
        <v>122</v>
      </c>
      <c r="B1339">
        <v>191449475</v>
      </c>
      <c r="C1339" t="s">
        <v>1320</v>
      </c>
      <c r="D1339" t="s">
        <v>1</v>
      </c>
      <c r="E1339" t="s">
        <v>2</v>
      </c>
      <c r="F1339">
        <v>37000000</v>
      </c>
      <c r="G1339">
        <v>2008</v>
      </c>
      <c r="H1339">
        <v>5.2</v>
      </c>
    </row>
    <row r="1340" spans="1:8" x14ac:dyDescent="0.25">
      <c r="A1340">
        <v>105</v>
      </c>
      <c r="B1340">
        <v>20991497</v>
      </c>
      <c r="C1340" t="s">
        <v>1331</v>
      </c>
      <c r="D1340" t="s">
        <v>1</v>
      </c>
      <c r="E1340" t="s">
        <v>2</v>
      </c>
      <c r="F1340">
        <v>37000000</v>
      </c>
      <c r="G1340">
        <v>2015</v>
      </c>
      <c r="H1340">
        <v>5.4</v>
      </c>
    </row>
    <row r="1341" spans="1:8" x14ac:dyDescent="0.25">
      <c r="A1341">
        <v>111</v>
      </c>
      <c r="B1341">
        <v>45045037</v>
      </c>
      <c r="C1341" t="s">
        <v>622</v>
      </c>
      <c r="D1341" t="s">
        <v>1</v>
      </c>
      <c r="E1341" t="s">
        <v>2</v>
      </c>
      <c r="F1341">
        <v>36000000</v>
      </c>
      <c r="G1341">
        <v>2011</v>
      </c>
      <c r="H1341">
        <v>5.9</v>
      </c>
    </row>
    <row r="1342" spans="1:8" x14ac:dyDescent="0.25">
      <c r="A1342">
        <v>155</v>
      </c>
      <c r="B1342">
        <v>44175394</v>
      </c>
      <c r="C1342" t="s">
        <v>1198</v>
      </c>
      <c r="D1342" t="s">
        <v>1</v>
      </c>
      <c r="E1342" t="s">
        <v>2</v>
      </c>
      <c r="F1342">
        <v>36000000</v>
      </c>
      <c r="G1342">
        <v>1997</v>
      </c>
      <c r="H1342">
        <v>7.2</v>
      </c>
    </row>
    <row r="1343" spans="1:8" x14ac:dyDescent="0.25">
      <c r="A1343">
        <v>119</v>
      </c>
      <c r="B1343">
        <v>7000000</v>
      </c>
      <c r="C1343" t="s">
        <v>1254</v>
      </c>
      <c r="D1343" t="s">
        <v>1</v>
      </c>
      <c r="E1343" t="s">
        <v>5</v>
      </c>
      <c r="F1343">
        <v>36000000</v>
      </c>
      <c r="G1343">
        <v>1980</v>
      </c>
      <c r="H1343">
        <v>4.7</v>
      </c>
    </row>
    <row r="1344" spans="1:8" x14ac:dyDescent="0.25">
      <c r="A1344">
        <v>116</v>
      </c>
      <c r="B1344">
        <v>71026631</v>
      </c>
      <c r="C1344" t="s">
        <v>1321</v>
      </c>
      <c r="D1344" t="s">
        <v>1</v>
      </c>
      <c r="E1344" t="s">
        <v>2</v>
      </c>
      <c r="F1344">
        <v>36000000</v>
      </c>
      <c r="G1344">
        <v>2002</v>
      </c>
      <c r="H1344">
        <v>7</v>
      </c>
    </row>
    <row r="1345" spans="1:8" x14ac:dyDescent="0.25">
      <c r="A1345">
        <v>93</v>
      </c>
      <c r="B1345">
        <v>50129186</v>
      </c>
      <c r="C1345" t="s">
        <v>1325</v>
      </c>
      <c r="D1345" t="s">
        <v>1</v>
      </c>
      <c r="E1345" t="s">
        <v>2</v>
      </c>
      <c r="F1345">
        <v>36000000</v>
      </c>
      <c r="G1345">
        <v>1997</v>
      </c>
      <c r="H1345">
        <v>6.9</v>
      </c>
    </row>
    <row r="1346" spans="1:8" x14ac:dyDescent="0.25">
      <c r="A1346">
        <v>121</v>
      </c>
      <c r="B1346">
        <v>55500000</v>
      </c>
      <c r="C1346" t="s">
        <v>1326</v>
      </c>
      <c r="D1346" t="s">
        <v>1</v>
      </c>
      <c r="E1346" t="s">
        <v>5</v>
      </c>
      <c r="F1346">
        <v>36000000</v>
      </c>
      <c r="G1346">
        <v>1983</v>
      </c>
      <c r="H1346">
        <v>6.2</v>
      </c>
    </row>
    <row r="1347" spans="1:8" x14ac:dyDescent="0.25">
      <c r="A1347">
        <v>101</v>
      </c>
      <c r="B1347">
        <v>50213619</v>
      </c>
      <c r="C1347" t="s">
        <v>1327</v>
      </c>
      <c r="D1347" t="s">
        <v>1</v>
      </c>
      <c r="E1347" t="s">
        <v>2</v>
      </c>
      <c r="F1347">
        <v>36000000</v>
      </c>
      <c r="G1347">
        <v>2010</v>
      </c>
      <c r="H1347">
        <v>6.4</v>
      </c>
    </row>
    <row r="1348" spans="1:8" x14ac:dyDescent="0.25">
      <c r="A1348">
        <v>107</v>
      </c>
      <c r="B1348">
        <v>42019483</v>
      </c>
      <c r="C1348" t="s">
        <v>1328</v>
      </c>
      <c r="D1348" t="s">
        <v>1</v>
      </c>
      <c r="E1348" t="s">
        <v>2</v>
      </c>
      <c r="F1348">
        <v>36000000</v>
      </c>
      <c r="G1348">
        <v>2014</v>
      </c>
      <c r="H1348">
        <v>6.4</v>
      </c>
    </row>
    <row r="1349" spans="1:8" x14ac:dyDescent="0.25">
      <c r="A1349">
        <v>109</v>
      </c>
      <c r="B1349">
        <v>26183197</v>
      </c>
      <c r="C1349" t="s">
        <v>1330</v>
      </c>
      <c r="D1349" t="s">
        <v>1</v>
      </c>
      <c r="E1349" t="s">
        <v>2</v>
      </c>
      <c r="F1349">
        <v>36000000</v>
      </c>
      <c r="G1349">
        <v>2003</v>
      </c>
      <c r="H1349">
        <v>6.1</v>
      </c>
    </row>
    <row r="1350" spans="1:8" x14ac:dyDescent="0.25">
      <c r="A1350">
        <v>130</v>
      </c>
      <c r="B1350">
        <v>13052741</v>
      </c>
      <c r="C1350" t="s">
        <v>1332</v>
      </c>
      <c r="D1350" t="s">
        <v>1</v>
      </c>
      <c r="E1350" t="s">
        <v>2</v>
      </c>
      <c r="F1350">
        <v>36000000</v>
      </c>
      <c r="G1350">
        <v>1996</v>
      </c>
      <c r="H1350">
        <v>6.7</v>
      </c>
    </row>
    <row r="1351" spans="1:8" x14ac:dyDescent="0.25">
      <c r="A1351">
        <v>127</v>
      </c>
      <c r="B1351">
        <v>14378353</v>
      </c>
      <c r="C1351" t="s">
        <v>1333</v>
      </c>
      <c r="D1351" t="s">
        <v>1</v>
      </c>
      <c r="E1351" t="s">
        <v>2</v>
      </c>
      <c r="F1351">
        <v>36000000</v>
      </c>
      <c r="G1351">
        <v>1999</v>
      </c>
      <c r="H1351">
        <v>6.8</v>
      </c>
    </row>
    <row r="1352" spans="1:8" x14ac:dyDescent="0.25">
      <c r="A1352">
        <v>106</v>
      </c>
      <c r="B1352">
        <v>12339633</v>
      </c>
      <c r="C1352" t="s">
        <v>1335</v>
      </c>
      <c r="D1352" t="s">
        <v>1</v>
      </c>
      <c r="E1352" t="s">
        <v>2</v>
      </c>
      <c r="F1352">
        <v>36000000</v>
      </c>
      <c r="G1352">
        <v>1997</v>
      </c>
      <c r="H1352">
        <v>7.8</v>
      </c>
    </row>
    <row r="1353" spans="1:8" x14ac:dyDescent="0.25">
      <c r="A1353">
        <v>95</v>
      </c>
      <c r="B1353">
        <v>2954405</v>
      </c>
      <c r="C1353" t="s">
        <v>1336</v>
      </c>
      <c r="D1353" t="s">
        <v>1</v>
      </c>
      <c r="E1353" t="s">
        <v>2</v>
      </c>
      <c r="F1353">
        <v>36000000</v>
      </c>
      <c r="G1353">
        <v>2000</v>
      </c>
      <c r="H1353">
        <v>5.3</v>
      </c>
    </row>
    <row r="1354" spans="1:8" x14ac:dyDescent="0.25">
      <c r="A1354">
        <v>105</v>
      </c>
      <c r="B1354">
        <v>2126511</v>
      </c>
      <c r="C1354" t="s">
        <v>1340</v>
      </c>
      <c r="D1354" t="s">
        <v>1341</v>
      </c>
      <c r="E1354" t="s">
        <v>675</v>
      </c>
      <c r="F1354">
        <v>36000000</v>
      </c>
      <c r="G1354">
        <v>2015</v>
      </c>
      <c r="H1354">
        <v>7.2</v>
      </c>
    </row>
    <row r="1355" spans="1:8" x14ac:dyDescent="0.25">
      <c r="A1355">
        <v>102</v>
      </c>
      <c r="B1355">
        <v>1068392</v>
      </c>
      <c r="C1355" t="s">
        <v>1344</v>
      </c>
      <c r="D1355" t="s">
        <v>1</v>
      </c>
      <c r="E1355" t="s">
        <v>620</v>
      </c>
      <c r="F1355">
        <v>36000000</v>
      </c>
      <c r="G1355">
        <v>2011</v>
      </c>
      <c r="H1355">
        <v>5.9</v>
      </c>
    </row>
    <row r="1356" spans="1:8" x14ac:dyDescent="0.25">
      <c r="A1356">
        <v>95</v>
      </c>
      <c r="B1356">
        <v>37788228</v>
      </c>
      <c r="C1356" t="s">
        <v>1338</v>
      </c>
      <c r="D1356" t="s">
        <v>1</v>
      </c>
      <c r="E1356" t="s">
        <v>2</v>
      </c>
      <c r="F1356">
        <v>35200000</v>
      </c>
      <c r="G1356">
        <v>2003</v>
      </c>
      <c r="H1356">
        <v>5.4</v>
      </c>
    </row>
    <row r="1357" spans="1:8" x14ac:dyDescent="0.25">
      <c r="A1357">
        <v>95</v>
      </c>
      <c r="B1357">
        <v>13401683</v>
      </c>
      <c r="C1357" t="s">
        <v>423</v>
      </c>
      <c r="D1357" t="s">
        <v>1</v>
      </c>
      <c r="E1357" t="s">
        <v>5</v>
      </c>
      <c r="F1357">
        <v>35000000</v>
      </c>
      <c r="G1357">
        <v>2012</v>
      </c>
      <c r="H1357">
        <v>7.1</v>
      </c>
    </row>
    <row r="1358" spans="1:8" x14ac:dyDescent="0.25">
      <c r="A1358">
        <v>100</v>
      </c>
      <c r="B1358">
        <v>73023275</v>
      </c>
      <c r="C1358" t="s">
        <v>526</v>
      </c>
      <c r="D1358" t="s">
        <v>1</v>
      </c>
      <c r="E1358" t="s">
        <v>2</v>
      </c>
      <c r="F1358">
        <v>35000000</v>
      </c>
      <c r="G1358">
        <v>2009</v>
      </c>
      <c r="H1358">
        <v>5.4</v>
      </c>
    </row>
    <row r="1359" spans="1:8" x14ac:dyDescent="0.25">
      <c r="A1359">
        <v>116</v>
      </c>
      <c r="B1359">
        <v>25093607</v>
      </c>
      <c r="C1359" t="s">
        <v>603</v>
      </c>
      <c r="D1359" t="s">
        <v>1</v>
      </c>
      <c r="E1359" t="s">
        <v>5</v>
      </c>
      <c r="F1359">
        <v>35000000</v>
      </c>
      <c r="G1359">
        <v>2011</v>
      </c>
      <c r="H1359">
        <v>6.5</v>
      </c>
    </row>
    <row r="1360" spans="1:8" x14ac:dyDescent="0.25">
      <c r="A1360">
        <v>102</v>
      </c>
      <c r="B1360">
        <v>5932060</v>
      </c>
      <c r="C1360" t="s">
        <v>628</v>
      </c>
      <c r="D1360" t="s">
        <v>1</v>
      </c>
      <c r="E1360" t="s">
        <v>5</v>
      </c>
      <c r="F1360">
        <v>35000000</v>
      </c>
      <c r="G1360">
        <v>2007</v>
      </c>
      <c r="H1360">
        <v>5.4</v>
      </c>
    </row>
    <row r="1361" spans="1:8" x14ac:dyDescent="0.25">
      <c r="A1361">
        <v>127</v>
      </c>
      <c r="B1361">
        <v>4426297</v>
      </c>
      <c r="C1361" t="s">
        <v>782</v>
      </c>
      <c r="D1361" t="s">
        <v>1</v>
      </c>
      <c r="E1361" t="s">
        <v>2</v>
      </c>
      <c r="F1361">
        <v>35000000</v>
      </c>
      <c r="G1361">
        <v>2003</v>
      </c>
      <c r="H1361">
        <v>6.5</v>
      </c>
    </row>
    <row r="1362" spans="1:8" x14ac:dyDescent="0.25">
      <c r="A1362">
        <v>80</v>
      </c>
      <c r="B1362">
        <v>75367693</v>
      </c>
      <c r="C1362" t="s">
        <v>917</v>
      </c>
      <c r="D1362" t="s">
        <v>1</v>
      </c>
      <c r="E1362" t="s">
        <v>2</v>
      </c>
      <c r="F1362">
        <v>35000000</v>
      </c>
      <c r="G1362">
        <v>2004</v>
      </c>
      <c r="H1362">
        <v>5</v>
      </c>
    </row>
    <row r="1363" spans="1:8" x14ac:dyDescent="0.25">
      <c r="A1363">
        <v>122</v>
      </c>
      <c r="B1363">
        <v>31598308</v>
      </c>
      <c r="C1363" t="s">
        <v>1052</v>
      </c>
      <c r="D1363" t="s">
        <v>1</v>
      </c>
      <c r="E1363" t="s">
        <v>2</v>
      </c>
      <c r="F1363">
        <v>35000000</v>
      </c>
      <c r="G1363">
        <v>2001</v>
      </c>
      <c r="H1363">
        <v>6.8</v>
      </c>
    </row>
    <row r="1364" spans="1:8" x14ac:dyDescent="0.25">
      <c r="A1364">
        <v>87</v>
      </c>
      <c r="B1364">
        <v>27972410</v>
      </c>
      <c r="C1364" t="s">
        <v>1066</v>
      </c>
      <c r="D1364" t="s">
        <v>1</v>
      </c>
      <c r="E1364" t="s">
        <v>5</v>
      </c>
      <c r="F1364">
        <v>35000000</v>
      </c>
      <c r="G1364">
        <v>2003</v>
      </c>
      <c r="H1364">
        <v>6.1</v>
      </c>
    </row>
    <row r="1365" spans="1:8" x14ac:dyDescent="0.25">
      <c r="A1365">
        <v>119</v>
      </c>
      <c r="B1365">
        <v>22877808</v>
      </c>
      <c r="C1365" t="s">
        <v>1070</v>
      </c>
      <c r="D1365" t="s">
        <v>1</v>
      </c>
      <c r="E1365" t="s">
        <v>2</v>
      </c>
      <c r="F1365">
        <v>35000000</v>
      </c>
      <c r="G1365">
        <v>2008</v>
      </c>
      <c r="H1365">
        <v>7.3</v>
      </c>
    </row>
    <row r="1366" spans="1:8" x14ac:dyDescent="0.25">
      <c r="A1366">
        <v>95</v>
      </c>
      <c r="B1366">
        <v>13401683</v>
      </c>
      <c r="C1366" t="s">
        <v>423</v>
      </c>
      <c r="D1366" t="s">
        <v>1</v>
      </c>
      <c r="E1366" t="s">
        <v>5</v>
      </c>
      <c r="F1366">
        <v>35000000</v>
      </c>
      <c r="G1366">
        <v>2012</v>
      </c>
      <c r="H1366">
        <v>7.1</v>
      </c>
    </row>
    <row r="1367" spans="1:8" x14ac:dyDescent="0.25">
      <c r="A1367">
        <v>109</v>
      </c>
      <c r="B1367">
        <v>86208010</v>
      </c>
      <c r="C1367" t="s">
        <v>1158</v>
      </c>
      <c r="D1367" t="s">
        <v>1</v>
      </c>
      <c r="E1367" t="s">
        <v>2</v>
      </c>
      <c r="F1367">
        <v>35000000</v>
      </c>
      <c r="G1367">
        <v>2014</v>
      </c>
      <c r="H1367">
        <v>5.7</v>
      </c>
    </row>
    <row r="1368" spans="1:8" x14ac:dyDescent="0.25">
      <c r="A1368">
        <v>121</v>
      </c>
      <c r="B1368">
        <v>75274748</v>
      </c>
      <c r="C1368" t="s">
        <v>1160</v>
      </c>
      <c r="D1368" t="s">
        <v>1</v>
      </c>
      <c r="E1368" t="s">
        <v>2</v>
      </c>
      <c r="F1368">
        <v>35000000</v>
      </c>
      <c r="G1368">
        <v>2015</v>
      </c>
      <c r="H1368">
        <v>7.2</v>
      </c>
    </row>
    <row r="1369" spans="1:8" x14ac:dyDescent="0.25">
      <c r="A1369">
        <v>131</v>
      </c>
      <c r="B1369">
        <v>54228104</v>
      </c>
      <c r="C1369" t="s">
        <v>1179</v>
      </c>
      <c r="D1369" t="s">
        <v>1</v>
      </c>
      <c r="E1369" t="s">
        <v>5</v>
      </c>
      <c r="F1369">
        <v>35000000</v>
      </c>
      <c r="G1369">
        <v>2002</v>
      </c>
      <c r="H1369">
        <v>7.7</v>
      </c>
    </row>
    <row r="1370" spans="1:8" x14ac:dyDescent="0.25">
      <c r="A1370">
        <v>115</v>
      </c>
      <c r="B1370">
        <v>26814957</v>
      </c>
      <c r="C1370" t="s">
        <v>1226</v>
      </c>
      <c r="D1370" t="s">
        <v>1</v>
      </c>
      <c r="E1370" t="s">
        <v>5</v>
      </c>
      <c r="F1370">
        <v>35000000</v>
      </c>
      <c r="G1370">
        <v>2008</v>
      </c>
      <c r="H1370">
        <v>6.7</v>
      </c>
    </row>
    <row r="1371" spans="1:8" x14ac:dyDescent="0.25">
      <c r="A1371">
        <v>118</v>
      </c>
      <c r="B1371">
        <v>75668868</v>
      </c>
      <c r="C1371" t="s">
        <v>1287</v>
      </c>
      <c r="D1371" t="s">
        <v>1</v>
      </c>
      <c r="E1371" t="s">
        <v>2</v>
      </c>
      <c r="F1371">
        <v>35000000</v>
      </c>
      <c r="G1371">
        <v>1994</v>
      </c>
      <c r="H1371">
        <v>6.6</v>
      </c>
    </row>
    <row r="1372" spans="1:8" x14ac:dyDescent="0.25">
      <c r="A1372">
        <v>123</v>
      </c>
      <c r="B1372">
        <v>40334024</v>
      </c>
      <c r="C1372" t="s">
        <v>1292</v>
      </c>
      <c r="D1372" t="s">
        <v>1</v>
      </c>
      <c r="E1372" t="s">
        <v>2</v>
      </c>
      <c r="F1372">
        <v>35000000</v>
      </c>
      <c r="G1372">
        <v>2001</v>
      </c>
      <c r="H1372">
        <v>6.2</v>
      </c>
    </row>
    <row r="1373" spans="1:8" x14ac:dyDescent="0.25">
      <c r="A1373">
        <v>133</v>
      </c>
      <c r="B1373">
        <v>109712885</v>
      </c>
      <c r="C1373" t="s">
        <v>1310</v>
      </c>
      <c r="D1373" t="s">
        <v>1</v>
      </c>
      <c r="E1373" t="s">
        <v>2</v>
      </c>
      <c r="F1373">
        <v>35000000</v>
      </c>
      <c r="G1373">
        <v>2015</v>
      </c>
      <c r="H1373">
        <v>7.7</v>
      </c>
    </row>
    <row r="1374" spans="1:8" x14ac:dyDescent="0.25">
      <c r="A1374">
        <v>108</v>
      </c>
      <c r="B1374">
        <v>277313371</v>
      </c>
      <c r="C1374" t="s">
        <v>1339</v>
      </c>
      <c r="D1374" t="s">
        <v>1</v>
      </c>
      <c r="E1374" t="s">
        <v>2</v>
      </c>
      <c r="F1374">
        <v>35000000</v>
      </c>
      <c r="G1374">
        <v>2009</v>
      </c>
      <c r="H1374">
        <v>7.8</v>
      </c>
    </row>
    <row r="1375" spans="1:8" x14ac:dyDescent="0.25">
      <c r="A1375">
        <v>126</v>
      </c>
      <c r="B1375">
        <v>251188924</v>
      </c>
      <c r="C1375" t="s">
        <v>1343</v>
      </c>
      <c r="D1375" t="s">
        <v>1</v>
      </c>
      <c r="E1375" t="s">
        <v>2</v>
      </c>
      <c r="F1375">
        <v>35000000</v>
      </c>
      <c r="G1375">
        <v>1989</v>
      </c>
      <c r="H1375">
        <v>7.6</v>
      </c>
    </row>
    <row r="1376" spans="1:8" x14ac:dyDescent="0.25">
      <c r="A1376">
        <v>121</v>
      </c>
      <c r="B1376">
        <v>144731527</v>
      </c>
      <c r="C1376" t="s">
        <v>1345</v>
      </c>
      <c r="D1376" t="s">
        <v>1</v>
      </c>
      <c r="E1376" t="s">
        <v>2</v>
      </c>
      <c r="F1376">
        <v>35000000</v>
      </c>
      <c r="G1376">
        <v>1992</v>
      </c>
      <c r="H1376">
        <v>6.7</v>
      </c>
    </row>
    <row r="1377" spans="1:8" x14ac:dyDescent="0.25">
      <c r="A1377">
        <v>88</v>
      </c>
      <c r="B1377">
        <v>112692062</v>
      </c>
      <c r="C1377" t="s">
        <v>1347</v>
      </c>
      <c r="D1377" t="s">
        <v>1</v>
      </c>
      <c r="E1377" t="s">
        <v>2</v>
      </c>
      <c r="F1377">
        <v>35000000</v>
      </c>
      <c r="G1377">
        <v>2001</v>
      </c>
      <c r="H1377">
        <v>5.4</v>
      </c>
    </row>
    <row r="1378" spans="1:8" x14ac:dyDescent="0.25">
      <c r="A1378">
        <v>106</v>
      </c>
      <c r="B1378">
        <v>117528646</v>
      </c>
      <c r="C1378" t="s">
        <v>1348</v>
      </c>
      <c r="D1378" t="s">
        <v>1</v>
      </c>
      <c r="E1378" t="s">
        <v>2</v>
      </c>
      <c r="F1378">
        <v>35000000</v>
      </c>
      <c r="G1378">
        <v>2011</v>
      </c>
      <c r="H1378">
        <v>6.9</v>
      </c>
    </row>
    <row r="1379" spans="1:8" x14ac:dyDescent="0.25">
      <c r="A1379">
        <v>109</v>
      </c>
      <c r="B1379">
        <v>124732962</v>
      </c>
      <c r="C1379" t="s">
        <v>1350</v>
      </c>
      <c r="D1379" t="s">
        <v>1</v>
      </c>
      <c r="E1379" t="s">
        <v>2</v>
      </c>
      <c r="F1379">
        <v>35000000</v>
      </c>
      <c r="G1379">
        <v>2006</v>
      </c>
      <c r="H1379">
        <v>6.8</v>
      </c>
    </row>
    <row r="1380" spans="1:8" x14ac:dyDescent="0.25">
      <c r="A1380">
        <v>143</v>
      </c>
      <c r="B1380">
        <v>82300000</v>
      </c>
      <c r="C1380" t="s">
        <v>1351</v>
      </c>
      <c r="D1380" t="s">
        <v>1</v>
      </c>
      <c r="E1380" t="s">
        <v>2</v>
      </c>
      <c r="F1380">
        <v>35000000</v>
      </c>
      <c r="G1380">
        <v>1979</v>
      </c>
      <c r="H1380">
        <v>6.4</v>
      </c>
    </row>
    <row r="1381" spans="1:8" x14ac:dyDescent="0.25">
      <c r="A1381">
        <v>120</v>
      </c>
      <c r="B1381">
        <v>134455175</v>
      </c>
      <c r="C1381" t="s">
        <v>1352</v>
      </c>
      <c r="D1381" t="s">
        <v>1</v>
      </c>
      <c r="E1381" t="s">
        <v>2</v>
      </c>
      <c r="F1381">
        <v>35000000</v>
      </c>
      <c r="G1381">
        <v>2013</v>
      </c>
      <c r="H1381">
        <v>5.7</v>
      </c>
    </row>
    <row r="1382" spans="1:8" x14ac:dyDescent="0.25">
      <c r="A1382">
        <v>128</v>
      </c>
      <c r="B1382">
        <v>79100000</v>
      </c>
      <c r="C1382" t="s">
        <v>1353</v>
      </c>
      <c r="D1382" t="s">
        <v>1</v>
      </c>
      <c r="E1382" t="s">
        <v>2</v>
      </c>
      <c r="F1382">
        <v>35000000</v>
      </c>
      <c r="G1382">
        <v>1991</v>
      </c>
      <c r="H1382">
        <v>7.3</v>
      </c>
    </row>
    <row r="1383" spans="1:8" x14ac:dyDescent="0.25">
      <c r="A1383">
        <v>123</v>
      </c>
      <c r="B1383">
        <v>81159365</v>
      </c>
      <c r="C1383" t="s">
        <v>1354</v>
      </c>
      <c r="D1383" t="s">
        <v>1</v>
      </c>
      <c r="E1383" t="s">
        <v>2</v>
      </c>
      <c r="F1383">
        <v>35000000</v>
      </c>
      <c r="G1383">
        <v>2008</v>
      </c>
      <c r="H1383">
        <v>6.8</v>
      </c>
    </row>
    <row r="1384" spans="1:8" x14ac:dyDescent="0.25">
      <c r="A1384">
        <v>129</v>
      </c>
      <c r="B1384">
        <v>110008260</v>
      </c>
      <c r="C1384" t="s">
        <v>1355</v>
      </c>
      <c r="D1384" t="s">
        <v>1</v>
      </c>
      <c r="E1384" t="s">
        <v>103</v>
      </c>
      <c r="F1384">
        <v>35000000</v>
      </c>
      <c r="G1384">
        <v>2015</v>
      </c>
      <c r="H1384">
        <v>6.3</v>
      </c>
    </row>
    <row r="1385" spans="1:8" x14ac:dyDescent="0.25">
      <c r="A1385">
        <v>105</v>
      </c>
      <c r="B1385">
        <v>67962333</v>
      </c>
      <c r="C1385" t="s">
        <v>1356</v>
      </c>
      <c r="D1385" t="s">
        <v>1</v>
      </c>
      <c r="E1385" t="s">
        <v>2</v>
      </c>
      <c r="F1385">
        <v>35000000</v>
      </c>
      <c r="G1385">
        <v>2005</v>
      </c>
      <c r="H1385">
        <v>5.9</v>
      </c>
    </row>
    <row r="1386" spans="1:8" x14ac:dyDescent="0.25">
      <c r="A1386">
        <v>138</v>
      </c>
      <c r="B1386">
        <v>64604977</v>
      </c>
      <c r="C1386" t="s">
        <v>1358</v>
      </c>
      <c r="D1386" t="s">
        <v>1</v>
      </c>
      <c r="E1386" t="s">
        <v>2</v>
      </c>
      <c r="F1386">
        <v>35000000</v>
      </c>
      <c r="G1386">
        <v>1997</v>
      </c>
      <c r="H1386">
        <v>8.3000000000000007</v>
      </c>
    </row>
    <row r="1387" spans="1:8" x14ac:dyDescent="0.25">
      <c r="A1387">
        <v>100</v>
      </c>
      <c r="B1387">
        <v>63939454</v>
      </c>
      <c r="C1387" t="s">
        <v>1359</v>
      </c>
      <c r="D1387" t="s">
        <v>1</v>
      </c>
      <c r="E1387" t="s">
        <v>2</v>
      </c>
      <c r="F1387">
        <v>35000000</v>
      </c>
      <c r="G1387">
        <v>2005</v>
      </c>
      <c r="H1387">
        <v>6.2</v>
      </c>
    </row>
    <row r="1388" spans="1:8" x14ac:dyDescent="0.25">
      <c r="A1388">
        <v>90</v>
      </c>
      <c r="B1388">
        <v>63826569</v>
      </c>
      <c r="C1388" t="s">
        <v>1360</v>
      </c>
      <c r="D1388" t="s">
        <v>1</v>
      </c>
      <c r="E1388" t="s">
        <v>2</v>
      </c>
      <c r="F1388">
        <v>35000000</v>
      </c>
      <c r="G1388">
        <v>1997</v>
      </c>
      <c r="H1388">
        <v>6.3</v>
      </c>
    </row>
    <row r="1389" spans="1:8" x14ac:dyDescent="0.25">
      <c r="A1389">
        <v>108</v>
      </c>
      <c r="B1389">
        <v>60054449</v>
      </c>
      <c r="C1389" t="s">
        <v>1361</v>
      </c>
      <c r="D1389" t="s">
        <v>1</v>
      </c>
      <c r="E1389" t="s">
        <v>2</v>
      </c>
      <c r="F1389">
        <v>35000000</v>
      </c>
      <c r="G1389">
        <v>1995</v>
      </c>
      <c r="H1389">
        <v>5.8</v>
      </c>
    </row>
    <row r="1390" spans="1:8" x14ac:dyDescent="0.25">
      <c r="A1390">
        <v>132</v>
      </c>
      <c r="B1390">
        <v>56876365</v>
      </c>
      <c r="C1390" t="s">
        <v>1364</v>
      </c>
      <c r="D1390" t="s">
        <v>1</v>
      </c>
      <c r="E1390" t="s">
        <v>2</v>
      </c>
      <c r="F1390">
        <v>35000000</v>
      </c>
      <c r="G1390">
        <v>1998</v>
      </c>
      <c r="H1390">
        <v>6.4</v>
      </c>
    </row>
    <row r="1391" spans="1:8" x14ac:dyDescent="0.25">
      <c r="A1391">
        <v>123</v>
      </c>
      <c r="B1391">
        <v>59699513</v>
      </c>
      <c r="C1391" t="s">
        <v>1365</v>
      </c>
      <c r="D1391" t="s">
        <v>1</v>
      </c>
      <c r="E1391" t="s">
        <v>2</v>
      </c>
      <c r="F1391">
        <v>35000000</v>
      </c>
      <c r="G1391">
        <v>2010</v>
      </c>
      <c r="H1391">
        <v>7.2</v>
      </c>
    </row>
    <row r="1392" spans="1:8" x14ac:dyDescent="0.25">
      <c r="A1392">
        <v>109</v>
      </c>
      <c r="B1392">
        <v>52277485</v>
      </c>
      <c r="C1392" t="s">
        <v>1367</v>
      </c>
      <c r="D1392" t="s">
        <v>1</v>
      </c>
      <c r="E1392" t="s">
        <v>2</v>
      </c>
      <c r="F1392">
        <v>35000000</v>
      </c>
      <c r="G1392">
        <v>2003</v>
      </c>
      <c r="H1392">
        <v>6.9</v>
      </c>
    </row>
    <row r="1393" spans="1:8" x14ac:dyDescent="0.25">
      <c r="A1393">
        <v>109</v>
      </c>
      <c r="B1393">
        <v>55802754</v>
      </c>
      <c r="C1393" t="s">
        <v>1368</v>
      </c>
      <c r="D1393" t="s">
        <v>1</v>
      </c>
      <c r="E1393" t="s">
        <v>2</v>
      </c>
      <c r="F1393">
        <v>35000000</v>
      </c>
      <c r="G1393">
        <v>2011</v>
      </c>
      <c r="H1393">
        <v>6.6</v>
      </c>
    </row>
    <row r="1394" spans="1:8" x14ac:dyDescent="0.25">
      <c r="A1394">
        <v>92</v>
      </c>
      <c r="B1394">
        <v>55291815</v>
      </c>
      <c r="C1394" t="s">
        <v>1369</v>
      </c>
      <c r="D1394" t="s">
        <v>1</v>
      </c>
      <c r="E1394" t="s">
        <v>2</v>
      </c>
      <c r="F1394">
        <v>35000000</v>
      </c>
      <c r="G1394">
        <v>2016</v>
      </c>
      <c r="H1394">
        <v>6</v>
      </c>
    </row>
    <row r="1395" spans="1:8" x14ac:dyDescent="0.25">
      <c r="A1395">
        <v>125</v>
      </c>
      <c r="B1395">
        <v>83299761</v>
      </c>
      <c r="C1395" t="s">
        <v>1370</v>
      </c>
      <c r="D1395" t="s">
        <v>1</v>
      </c>
      <c r="E1395" t="s">
        <v>2</v>
      </c>
      <c r="F1395">
        <v>35000000</v>
      </c>
      <c r="G1395">
        <v>2013</v>
      </c>
      <c r="H1395">
        <v>7.5</v>
      </c>
    </row>
    <row r="1396" spans="1:8" x14ac:dyDescent="0.25">
      <c r="A1396">
        <v>134</v>
      </c>
      <c r="B1396">
        <v>67523385</v>
      </c>
      <c r="C1396" t="s">
        <v>1372</v>
      </c>
      <c r="D1396" t="s">
        <v>1</v>
      </c>
      <c r="E1396" t="s">
        <v>2</v>
      </c>
      <c r="F1396">
        <v>35000000</v>
      </c>
      <c r="G1396">
        <v>2012</v>
      </c>
      <c r="H1396">
        <v>6.2</v>
      </c>
    </row>
    <row r="1397" spans="1:8" x14ac:dyDescent="0.25">
      <c r="A1397">
        <v>88</v>
      </c>
      <c r="B1397">
        <v>49474048</v>
      </c>
      <c r="C1397" t="s">
        <v>1373</v>
      </c>
      <c r="D1397" t="s">
        <v>1</v>
      </c>
      <c r="E1397" t="s">
        <v>2</v>
      </c>
      <c r="F1397">
        <v>35000000</v>
      </c>
      <c r="G1397">
        <v>2009</v>
      </c>
      <c r="H1397">
        <v>5.4</v>
      </c>
    </row>
    <row r="1398" spans="1:8" x14ac:dyDescent="0.25">
      <c r="A1398">
        <v>92</v>
      </c>
      <c r="B1398">
        <v>45802315</v>
      </c>
      <c r="C1398" t="s">
        <v>1374</v>
      </c>
      <c r="D1398" t="s">
        <v>1</v>
      </c>
      <c r="E1398" t="s">
        <v>2</v>
      </c>
      <c r="F1398">
        <v>35000000</v>
      </c>
      <c r="G1398">
        <v>2009</v>
      </c>
      <c r="H1398">
        <v>6.6</v>
      </c>
    </row>
    <row r="1399" spans="1:8" x14ac:dyDescent="0.25">
      <c r="A1399">
        <v>91</v>
      </c>
      <c r="B1399">
        <v>43792641</v>
      </c>
      <c r="C1399" t="s">
        <v>1375</v>
      </c>
      <c r="D1399" t="s">
        <v>1</v>
      </c>
      <c r="E1399" t="s">
        <v>2</v>
      </c>
      <c r="F1399">
        <v>35000000</v>
      </c>
      <c r="G1399">
        <v>2007</v>
      </c>
      <c r="H1399">
        <v>5.3</v>
      </c>
    </row>
    <row r="1400" spans="1:8" x14ac:dyDescent="0.25">
      <c r="A1400">
        <v>147</v>
      </c>
      <c r="B1400">
        <v>41954997</v>
      </c>
      <c r="C1400" t="s">
        <v>1378</v>
      </c>
      <c r="D1400" t="s">
        <v>1</v>
      </c>
      <c r="E1400" t="s">
        <v>2</v>
      </c>
      <c r="F1400">
        <v>35000000</v>
      </c>
      <c r="G1400">
        <v>1997</v>
      </c>
      <c r="H1400">
        <v>7.8</v>
      </c>
    </row>
    <row r="1401" spans="1:8" x14ac:dyDescent="0.25">
      <c r="A1401">
        <v>104</v>
      </c>
      <c r="B1401">
        <v>39692139</v>
      </c>
      <c r="C1401" t="s">
        <v>1381</v>
      </c>
      <c r="D1401" t="s">
        <v>1</v>
      </c>
      <c r="E1401" t="s">
        <v>2</v>
      </c>
      <c r="F1401">
        <v>35000000</v>
      </c>
      <c r="G1401">
        <v>2004</v>
      </c>
      <c r="H1401">
        <v>6.2</v>
      </c>
    </row>
    <row r="1402" spans="1:8" x14ac:dyDescent="0.25">
      <c r="A1402">
        <v>103</v>
      </c>
      <c r="B1402">
        <v>40687294</v>
      </c>
      <c r="C1402" t="s">
        <v>1382</v>
      </c>
      <c r="D1402" t="s">
        <v>1</v>
      </c>
      <c r="E1402" t="s">
        <v>38</v>
      </c>
      <c r="F1402">
        <v>35000000</v>
      </c>
      <c r="G1402">
        <v>2008</v>
      </c>
      <c r="H1402">
        <v>5.4</v>
      </c>
    </row>
    <row r="1403" spans="1:8" x14ac:dyDescent="0.25">
      <c r="A1403">
        <v>104</v>
      </c>
      <c r="B1403">
        <v>37481242</v>
      </c>
      <c r="C1403" t="s">
        <v>1384</v>
      </c>
      <c r="D1403" t="s">
        <v>1</v>
      </c>
      <c r="E1403" t="s">
        <v>2</v>
      </c>
      <c r="F1403">
        <v>35000000</v>
      </c>
      <c r="G1403">
        <v>2010</v>
      </c>
      <c r="H1403">
        <v>5.3</v>
      </c>
    </row>
    <row r="1404" spans="1:8" x14ac:dyDescent="0.25">
      <c r="A1404">
        <v>112</v>
      </c>
      <c r="B1404">
        <v>39026186</v>
      </c>
      <c r="C1404" t="s">
        <v>1385</v>
      </c>
      <c r="D1404" t="s">
        <v>1</v>
      </c>
      <c r="E1404" t="s">
        <v>2</v>
      </c>
      <c r="F1404">
        <v>35000000</v>
      </c>
      <c r="G1404">
        <v>2011</v>
      </c>
      <c r="H1404">
        <v>5.9</v>
      </c>
    </row>
    <row r="1405" spans="1:8" x14ac:dyDescent="0.25">
      <c r="A1405">
        <v>102</v>
      </c>
      <c r="B1405">
        <v>33423521</v>
      </c>
      <c r="C1405" t="s">
        <v>1387</v>
      </c>
      <c r="D1405" t="s">
        <v>1</v>
      </c>
      <c r="E1405" t="s">
        <v>103</v>
      </c>
      <c r="F1405">
        <v>35000000</v>
      </c>
      <c r="G1405">
        <v>1994</v>
      </c>
      <c r="H1405">
        <v>3.8</v>
      </c>
    </row>
    <row r="1406" spans="1:8" x14ac:dyDescent="0.25">
      <c r="A1406">
        <v>150</v>
      </c>
      <c r="B1406">
        <v>32519322</v>
      </c>
      <c r="C1406" t="s">
        <v>1388</v>
      </c>
      <c r="D1406" t="s">
        <v>1</v>
      </c>
      <c r="E1406" t="s">
        <v>244</v>
      </c>
      <c r="F1406">
        <v>35000000</v>
      </c>
      <c r="G1406">
        <v>2002</v>
      </c>
      <c r="H1406">
        <v>8.5</v>
      </c>
    </row>
    <row r="1407" spans="1:8" x14ac:dyDescent="0.25">
      <c r="A1407">
        <v>122</v>
      </c>
      <c r="B1407">
        <v>31598308</v>
      </c>
      <c r="C1407" t="s">
        <v>1052</v>
      </c>
      <c r="D1407" t="s">
        <v>1</v>
      </c>
      <c r="E1407" t="s">
        <v>2</v>
      </c>
      <c r="F1407">
        <v>35000000</v>
      </c>
      <c r="G1407">
        <v>2001</v>
      </c>
      <c r="H1407">
        <v>6.8</v>
      </c>
    </row>
    <row r="1408" spans="1:8" x14ac:dyDescent="0.25">
      <c r="A1408">
        <v>137</v>
      </c>
      <c r="B1408">
        <v>37304950</v>
      </c>
      <c r="C1408" t="s">
        <v>1392</v>
      </c>
      <c r="D1408" t="s">
        <v>1</v>
      </c>
      <c r="E1408" t="s">
        <v>2</v>
      </c>
      <c r="F1408">
        <v>35000000</v>
      </c>
      <c r="G1408">
        <v>2011</v>
      </c>
      <c r="H1408">
        <v>6.6</v>
      </c>
    </row>
    <row r="1409" spans="1:8" x14ac:dyDescent="0.25">
      <c r="A1409">
        <v>112</v>
      </c>
      <c r="B1409">
        <v>30691439</v>
      </c>
      <c r="C1409" t="s">
        <v>1393</v>
      </c>
      <c r="D1409" t="s">
        <v>1</v>
      </c>
      <c r="E1409" t="s">
        <v>2</v>
      </c>
      <c r="F1409">
        <v>35000000</v>
      </c>
      <c r="G1409">
        <v>2008</v>
      </c>
      <c r="H1409">
        <v>6.2</v>
      </c>
    </row>
    <row r="1410" spans="1:8" x14ac:dyDescent="0.25">
      <c r="A1410">
        <v>101</v>
      </c>
      <c r="B1410">
        <v>30307804</v>
      </c>
      <c r="C1410" t="s">
        <v>1394</v>
      </c>
      <c r="D1410" t="s">
        <v>1</v>
      </c>
      <c r="E1410" t="s">
        <v>2</v>
      </c>
      <c r="F1410">
        <v>35000000</v>
      </c>
      <c r="G1410">
        <v>2002</v>
      </c>
      <c r="H1410">
        <v>5.2</v>
      </c>
    </row>
    <row r="1411" spans="1:8" x14ac:dyDescent="0.25">
      <c r="A1411">
        <v>103</v>
      </c>
      <c r="B1411">
        <v>30669413</v>
      </c>
      <c r="C1411" t="s">
        <v>1395</v>
      </c>
      <c r="D1411" t="s">
        <v>1</v>
      </c>
      <c r="E1411" t="s">
        <v>2</v>
      </c>
      <c r="F1411">
        <v>35000000</v>
      </c>
      <c r="G1411">
        <v>1990</v>
      </c>
      <c r="H1411">
        <v>6.2</v>
      </c>
    </row>
    <row r="1412" spans="1:8" x14ac:dyDescent="0.25">
      <c r="A1412">
        <v>101</v>
      </c>
      <c r="B1412">
        <v>28687835</v>
      </c>
      <c r="C1412" t="s">
        <v>1396</v>
      </c>
      <c r="D1412" t="s">
        <v>1</v>
      </c>
      <c r="E1412" t="s">
        <v>2</v>
      </c>
      <c r="F1412">
        <v>35000000</v>
      </c>
      <c r="G1412">
        <v>2008</v>
      </c>
      <c r="H1412">
        <v>6.2</v>
      </c>
    </row>
    <row r="1413" spans="1:8" x14ac:dyDescent="0.25">
      <c r="A1413">
        <v>112</v>
      </c>
      <c r="B1413">
        <v>26494611</v>
      </c>
      <c r="C1413" t="s">
        <v>1397</v>
      </c>
      <c r="D1413" t="s">
        <v>1</v>
      </c>
      <c r="E1413" t="s">
        <v>2</v>
      </c>
      <c r="F1413">
        <v>35000000</v>
      </c>
      <c r="G1413">
        <v>1999</v>
      </c>
      <c r="H1413">
        <v>6.6</v>
      </c>
    </row>
    <row r="1414" spans="1:8" x14ac:dyDescent="0.25">
      <c r="A1414">
        <v>102</v>
      </c>
      <c r="B1414">
        <v>25266129</v>
      </c>
      <c r="C1414" t="s">
        <v>1398</v>
      </c>
      <c r="D1414" t="s">
        <v>1</v>
      </c>
      <c r="E1414" t="s">
        <v>2</v>
      </c>
      <c r="F1414">
        <v>35000000</v>
      </c>
      <c r="G1414">
        <v>2004</v>
      </c>
      <c r="H1414">
        <v>6.2</v>
      </c>
    </row>
    <row r="1415" spans="1:8" x14ac:dyDescent="0.25">
      <c r="A1415">
        <v>101</v>
      </c>
      <c r="B1415">
        <v>25863915</v>
      </c>
      <c r="C1415" t="s">
        <v>1399</v>
      </c>
      <c r="D1415" t="s">
        <v>1</v>
      </c>
      <c r="E1415" t="s">
        <v>2</v>
      </c>
      <c r="F1415">
        <v>35000000</v>
      </c>
      <c r="G1415">
        <v>2012</v>
      </c>
      <c r="H1415">
        <v>5.0999999999999996</v>
      </c>
    </row>
    <row r="1416" spans="1:8" x14ac:dyDescent="0.25">
      <c r="A1416">
        <v>109</v>
      </c>
      <c r="B1416">
        <v>28995450</v>
      </c>
      <c r="C1416" t="s">
        <v>1401</v>
      </c>
      <c r="D1416" t="s">
        <v>1</v>
      </c>
      <c r="E1416" t="s">
        <v>5</v>
      </c>
      <c r="F1416">
        <v>35000000</v>
      </c>
      <c r="G1416">
        <v>2010</v>
      </c>
      <c r="H1416">
        <v>6.1</v>
      </c>
    </row>
    <row r="1417" spans="1:8" x14ac:dyDescent="0.25">
      <c r="A1417">
        <v>140</v>
      </c>
      <c r="B1417">
        <v>24276500</v>
      </c>
      <c r="C1417" t="s">
        <v>1402</v>
      </c>
      <c r="D1417" t="s">
        <v>1</v>
      </c>
      <c r="E1417" t="s">
        <v>2</v>
      </c>
      <c r="F1417">
        <v>35000000</v>
      </c>
      <c r="G1417">
        <v>1992</v>
      </c>
      <c r="H1417">
        <v>6.6</v>
      </c>
    </row>
    <row r="1418" spans="1:8" x14ac:dyDescent="0.25">
      <c r="A1418">
        <v>96</v>
      </c>
      <c r="B1418">
        <v>22913677</v>
      </c>
      <c r="C1418" t="s">
        <v>1404</v>
      </c>
      <c r="D1418" t="s">
        <v>1</v>
      </c>
      <c r="E1418" t="s">
        <v>2</v>
      </c>
      <c r="F1418">
        <v>35000000</v>
      </c>
      <c r="G1418">
        <v>2004</v>
      </c>
      <c r="H1418">
        <v>6.3</v>
      </c>
    </row>
    <row r="1419" spans="1:8" x14ac:dyDescent="0.25">
      <c r="A1419">
        <v>123</v>
      </c>
      <c r="B1419">
        <v>34531832</v>
      </c>
      <c r="C1419" t="s">
        <v>1405</v>
      </c>
      <c r="D1419" t="s">
        <v>1</v>
      </c>
      <c r="E1419" t="s">
        <v>5</v>
      </c>
      <c r="F1419">
        <v>35000000</v>
      </c>
      <c r="G1419">
        <v>2015</v>
      </c>
      <c r="H1419">
        <v>7.1</v>
      </c>
    </row>
    <row r="1420" spans="1:8" x14ac:dyDescent="0.25">
      <c r="A1420">
        <v>106</v>
      </c>
      <c r="B1420">
        <v>28064226</v>
      </c>
      <c r="C1420" t="s">
        <v>1406</v>
      </c>
      <c r="D1420" t="s">
        <v>1</v>
      </c>
      <c r="E1420" t="s">
        <v>2</v>
      </c>
      <c r="F1420">
        <v>35000000</v>
      </c>
      <c r="G1420">
        <v>2011</v>
      </c>
      <c r="H1420">
        <v>5</v>
      </c>
    </row>
    <row r="1421" spans="1:8" x14ac:dyDescent="0.25">
      <c r="A1421">
        <v>76</v>
      </c>
      <c r="B1421">
        <v>19447478</v>
      </c>
      <c r="C1421" t="s">
        <v>1407</v>
      </c>
      <c r="D1421" t="s">
        <v>1</v>
      </c>
      <c r="E1421" t="s">
        <v>5</v>
      </c>
      <c r="F1421">
        <v>35000000</v>
      </c>
      <c r="G1421">
        <v>2005</v>
      </c>
      <c r="H1421">
        <v>5.6</v>
      </c>
    </row>
    <row r="1422" spans="1:8" x14ac:dyDescent="0.25">
      <c r="A1422">
        <v>82</v>
      </c>
      <c r="B1422">
        <v>25871834</v>
      </c>
      <c r="C1422" t="s">
        <v>1409</v>
      </c>
      <c r="D1422" t="s">
        <v>1</v>
      </c>
      <c r="E1422" t="s">
        <v>2</v>
      </c>
      <c r="F1422">
        <v>35000000</v>
      </c>
      <c r="G1422">
        <v>2008</v>
      </c>
      <c r="H1422">
        <v>4.5</v>
      </c>
    </row>
    <row r="1423" spans="1:8" x14ac:dyDescent="0.25">
      <c r="A1423">
        <v>109</v>
      </c>
      <c r="B1423">
        <v>19692608</v>
      </c>
      <c r="C1423" t="s">
        <v>1410</v>
      </c>
      <c r="D1423" t="s">
        <v>1</v>
      </c>
      <c r="E1423" t="s">
        <v>2</v>
      </c>
      <c r="F1423">
        <v>35000000</v>
      </c>
      <c r="G1423">
        <v>2013</v>
      </c>
      <c r="H1423">
        <v>6.2</v>
      </c>
    </row>
    <row r="1424" spans="1:8" x14ac:dyDescent="0.25">
      <c r="A1424">
        <v>99</v>
      </c>
      <c r="B1424">
        <v>19294901</v>
      </c>
      <c r="C1424" t="s">
        <v>1411</v>
      </c>
      <c r="D1424" t="s">
        <v>1</v>
      </c>
      <c r="E1424" t="s">
        <v>2</v>
      </c>
      <c r="F1424">
        <v>35000000</v>
      </c>
      <c r="G1424">
        <v>2005</v>
      </c>
      <c r="H1424">
        <v>5</v>
      </c>
    </row>
    <row r="1425" spans="1:8" x14ac:dyDescent="0.25">
      <c r="A1425">
        <v>91</v>
      </c>
      <c r="B1425">
        <v>20275446</v>
      </c>
      <c r="C1425" t="s">
        <v>1412</v>
      </c>
      <c r="D1425" t="s">
        <v>1</v>
      </c>
      <c r="E1425" t="s">
        <v>2</v>
      </c>
      <c r="F1425">
        <v>35000000</v>
      </c>
      <c r="G1425">
        <v>2012</v>
      </c>
      <c r="H1425">
        <v>6.5</v>
      </c>
    </row>
    <row r="1426" spans="1:8" x14ac:dyDescent="0.25">
      <c r="A1426">
        <v>87</v>
      </c>
      <c r="B1426">
        <v>34507079</v>
      </c>
      <c r="C1426" t="s">
        <v>1413</v>
      </c>
      <c r="D1426" t="s">
        <v>1</v>
      </c>
      <c r="E1426" t="s">
        <v>2</v>
      </c>
      <c r="F1426">
        <v>35000000</v>
      </c>
      <c r="G1426">
        <v>2015</v>
      </c>
      <c r="H1426">
        <v>5.0999999999999996</v>
      </c>
    </row>
    <row r="1427" spans="1:8" x14ac:dyDescent="0.25">
      <c r="A1427">
        <v>125</v>
      </c>
      <c r="B1427">
        <v>18306166</v>
      </c>
      <c r="C1427" t="s">
        <v>1414</v>
      </c>
      <c r="D1427" t="s">
        <v>1</v>
      </c>
      <c r="E1427" t="s">
        <v>5</v>
      </c>
      <c r="F1427">
        <v>35000000</v>
      </c>
      <c r="G1427">
        <v>2002</v>
      </c>
      <c r="H1427">
        <v>6.5</v>
      </c>
    </row>
    <row r="1428" spans="1:8" x14ac:dyDescent="0.25">
      <c r="A1428">
        <v>118</v>
      </c>
      <c r="B1428">
        <v>17609982</v>
      </c>
      <c r="C1428" t="s">
        <v>1415</v>
      </c>
      <c r="D1428" t="s">
        <v>1</v>
      </c>
      <c r="E1428" t="s">
        <v>2</v>
      </c>
      <c r="F1428">
        <v>35000000</v>
      </c>
      <c r="G1428">
        <v>2013</v>
      </c>
      <c r="H1428">
        <v>6.2</v>
      </c>
    </row>
    <row r="1429" spans="1:8" x14ac:dyDescent="0.25">
      <c r="A1429">
        <v>92</v>
      </c>
      <c r="B1429">
        <v>17596256</v>
      </c>
      <c r="C1429" t="s">
        <v>1417</v>
      </c>
      <c r="D1429" t="s">
        <v>1</v>
      </c>
      <c r="E1429" t="s">
        <v>2</v>
      </c>
      <c r="F1429">
        <v>35000000</v>
      </c>
      <c r="G1429">
        <v>2010</v>
      </c>
      <c r="H1429">
        <v>3.8</v>
      </c>
    </row>
    <row r="1430" spans="1:8" x14ac:dyDescent="0.25">
      <c r="A1430">
        <v>92</v>
      </c>
      <c r="B1430">
        <v>14998070</v>
      </c>
      <c r="C1430" t="s">
        <v>1418</v>
      </c>
      <c r="D1430" t="s">
        <v>1</v>
      </c>
      <c r="E1430" t="s">
        <v>2</v>
      </c>
      <c r="F1430">
        <v>35000000</v>
      </c>
      <c r="G1430">
        <v>2007</v>
      </c>
      <c r="H1430">
        <v>6.2</v>
      </c>
    </row>
    <row r="1431" spans="1:8" x14ac:dyDescent="0.25">
      <c r="A1431">
        <v>115</v>
      </c>
      <c r="B1431">
        <v>14587732</v>
      </c>
      <c r="C1431" t="s">
        <v>1419</v>
      </c>
      <c r="D1431" t="s">
        <v>1</v>
      </c>
      <c r="E1431" t="s">
        <v>2</v>
      </c>
      <c r="F1431">
        <v>35000000</v>
      </c>
      <c r="G1431">
        <v>1991</v>
      </c>
      <c r="H1431">
        <v>5.7</v>
      </c>
    </row>
    <row r="1432" spans="1:8" x14ac:dyDescent="0.25">
      <c r="A1432">
        <v>120</v>
      </c>
      <c r="B1432">
        <v>18317151</v>
      </c>
      <c r="C1432" t="s">
        <v>1420</v>
      </c>
      <c r="D1432" t="s">
        <v>1</v>
      </c>
      <c r="E1432" t="s">
        <v>2</v>
      </c>
      <c r="F1432">
        <v>35000000</v>
      </c>
      <c r="G1432">
        <v>2007</v>
      </c>
      <c r="H1432">
        <v>6.7</v>
      </c>
    </row>
    <row r="1433" spans="1:8" x14ac:dyDescent="0.25">
      <c r="A1433">
        <v>111</v>
      </c>
      <c r="B1433">
        <v>11405825</v>
      </c>
      <c r="C1433" t="s">
        <v>1421</v>
      </c>
      <c r="D1433" t="s">
        <v>1</v>
      </c>
      <c r="E1433" t="s">
        <v>2</v>
      </c>
      <c r="F1433">
        <v>35000000</v>
      </c>
      <c r="G1433">
        <v>2001</v>
      </c>
      <c r="H1433">
        <v>6.8</v>
      </c>
    </row>
    <row r="1434" spans="1:8" x14ac:dyDescent="0.25">
      <c r="A1434">
        <v>94</v>
      </c>
      <c r="B1434">
        <v>13264986</v>
      </c>
      <c r="C1434" t="s">
        <v>1422</v>
      </c>
      <c r="D1434" t="s">
        <v>1</v>
      </c>
      <c r="E1434" t="s">
        <v>2</v>
      </c>
      <c r="F1434">
        <v>35000000</v>
      </c>
      <c r="G1434">
        <v>2001</v>
      </c>
      <c r="H1434">
        <v>6</v>
      </c>
    </row>
    <row r="1435" spans="1:8" x14ac:dyDescent="0.25">
      <c r="A1435">
        <v>100</v>
      </c>
      <c r="B1435">
        <v>10991381</v>
      </c>
      <c r="C1435" t="s">
        <v>1423</v>
      </c>
      <c r="D1435" t="s">
        <v>1</v>
      </c>
      <c r="E1435" t="s">
        <v>5</v>
      </c>
      <c r="F1435">
        <v>35000000</v>
      </c>
      <c r="G1435">
        <v>2009</v>
      </c>
      <c r="H1435">
        <v>7.3</v>
      </c>
    </row>
    <row r="1436" spans="1:8" x14ac:dyDescent="0.25">
      <c r="A1436">
        <v>101</v>
      </c>
      <c r="B1436">
        <v>10268846</v>
      </c>
      <c r="C1436" t="s">
        <v>1424</v>
      </c>
      <c r="D1436" t="s">
        <v>1</v>
      </c>
      <c r="E1436" t="s">
        <v>2</v>
      </c>
      <c r="F1436">
        <v>35000000</v>
      </c>
      <c r="G1436">
        <v>2009</v>
      </c>
      <c r="H1436">
        <v>5.5</v>
      </c>
    </row>
    <row r="1437" spans="1:8" x14ac:dyDescent="0.25">
      <c r="A1437">
        <v>91</v>
      </c>
      <c r="B1437">
        <v>10076136</v>
      </c>
      <c r="C1437" t="s">
        <v>1426</v>
      </c>
      <c r="D1437" t="s">
        <v>1</v>
      </c>
      <c r="E1437" t="s">
        <v>1427</v>
      </c>
      <c r="F1437">
        <v>35000000</v>
      </c>
      <c r="G1437">
        <v>1998</v>
      </c>
      <c r="H1437">
        <v>4.8</v>
      </c>
    </row>
    <row r="1438" spans="1:8" x14ac:dyDescent="0.25">
      <c r="A1438">
        <v>109</v>
      </c>
      <c r="B1438">
        <v>10499968</v>
      </c>
      <c r="C1438" t="s">
        <v>1428</v>
      </c>
      <c r="D1438" t="s">
        <v>1</v>
      </c>
      <c r="E1438" t="s">
        <v>2</v>
      </c>
      <c r="F1438">
        <v>35000000</v>
      </c>
      <c r="G1438">
        <v>2014</v>
      </c>
      <c r="H1438">
        <v>5.7</v>
      </c>
    </row>
    <row r="1439" spans="1:8" x14ac:dyDescent="0.25">
      <c r="A1439">
        <v>103</v>
      </c>
      <c r="B1439">
        <v>7948159</v>
      </c>
      <c r="C1439" t="s">
        <v>1430</v>
      </c>
      <c r="D1439" t="s">
        <v>1</v>
      </c>
      <c r="E1439" t="s">
        <v>2</v>
      </c>
      <c r="F1439">
        <v>35000000</v>
      </c>
      <c r="G1439">
        <v>2008</v>
      </c>
      <c r="H1439">
        <v>6</v>
      </c>
    </row>
    <row r="1440" spans="1:8" x14ac:dyDescent="0.25">
      <c r="A1440">
        <v>83</v>
      </c>
      <c r="B1440">
        <v>11631245</v>
      </c>
      <c r="C1440" t="s">
        <v>1431</v>
      </c>
      <c r="D1440" t="s">
        <v>1</v>
      </c>
      <c r="E1440" t="s">
        <v>2</v>
      </c>
      <c r="F1440">
        <v>35000000</v>
      </c>
      <c r="G1440">
        <v>2006</v>
      </c>
      <c r="H1440">
        <v>4.2</v>
      </c>
    </row>
    <row r="1441" spans="1:8" x14ac:dyDescent="0.25">
      <c r="A1441">
        <v>123</v>
      </c>
      <c r="B1441">
        <v>10137502</v>
      </c>
      <c r="C1441" t="s">
        <v>1432</v>
      </c>
      <c r="D1441" t="s">
        <v>1</v>
      </c>
      <c r="E1441" t="s">
        <v>2</v>
      </c>
      <c r="F1441">
        <v>35000000</v>
      </c>
      <c r="G1441">
        <v>2015</v>
      </c>
      <c r="H1441">
        <v>7.4</v>
      </c>
    </row>
    <row r="1442" spans="1:8" x14ac:dyDescent="0.25">
      <c r="A1442">
        <v>101</v>
      </c>
      <c r="B1442">
        <v>6448817</v>
      </c>
      <c r="C1442" t="s">
        <v>1433</v>
      </c>
      <c r="D1442" t="s">
        <v>1</v>
      </c>
      <c r="E1442" t="s">
        <v>2</v>
      </c>
      <c r="F1442">
        <v>35000000</v>
      </c>
      <c r="G1442">
        <v>1997</v>
      </c>
      <c r="H1442">
        <v>4.5999999999999996</v>
      </c>
    </row>
    <row r="1443" spans="1:8" x14ac:dyDescent="0.25">
      <c r="A1443">
        <v>117</v>
      </c>
      <c r="B1443">
        <v>7458269</v>
      </c>
      <c r="C1443" t="s">
        <v>1434</v>
      </c>
      <c r="D1443" t="s">
        <v>1</v>
      </c>
      <c r="E1443" t="s">
        <v>2</v>
      </c>
      <c r="F1443">
        <v>35000000</v>
      </c>
      <c r="G1443">
        <v>2006</v>
      </c>
      <c r="H1443">
        <v>6.9</v>
      </c>
    </row>
    <row r="1444" spans="1:8" x14ac:dyDescent="0.25">
      <c r="A1444">
        <v>114</v>
      </c>
      <c r="B1444">
        <v>4651977</v>
      </c>
      <c r="C1444" t="s">
        <v>1435</v>
      </c>
      <c r="D1444" t="s">
        <v>1</v>
      </c>
      <c r="E1444" t="s">
        <v>2</v>
      </c>
      <c r="F1444">
        <v>35000000</v>
      </c>
      <c r="G1444">
        <v>1992</v>
      </c>
      <c r="H1444">
        <v>6.9</v>
      </c>
    </row>
    <row r="1445" spans="1:8" x14ac:dyDescent="0.25">
      <c r="A1445">
        <v>330</v>
      </c>
      <c r="B1445">
        <v>4496583</v>
      </c>
      <c r="C1445" t="s">
        <v>1436</v>
      </c>
      <c r="D1445" t="s">
        <v>1</v>
      </c>
      <c r="E1445" t="s">
        <v>2</v>
      </c>
      <c r="F1445">
        <v>35000000</v>
      </c>
      <c r="G1445">
        <v>1993</v>
      </c>
      <c r="H1445">
        <v>8</v>
      </c>
    </row>
    <row r="1446" spans="1:8" x14ac:dyDescent="0.25">
      <c r="A1446">
        <v>121</v>
      </c>
      <c r="B1446">
        <v>2221994</v>
      </c>
      <c r="C1446" t="s">
        <v>1437</v>
      </c>
      <c r="D1446" t="s">
        <v>1</v>
      </c>
      <c r="E1446" t="s">
        <v>1438</v>
      </c>
      <c r="F1446">
        <v>35000000</v>
      </c>
      <c r="G1446">
        <v>1997</v>
      </c>
      <c r="H1446">
        <v>6.4</v>
      </c>
    </row>
    <row r="1447" spans="1:8" x14ac:dyDescent="0.25">
      <c r="A1447">
        <v>114</v>
      </c>
      <c r="B1447">
        <v>6592103</v>
      </c>
      <c r="C1447" t="s">
        <v>1439</v>
      </c>
      <c r="D1447" t="s">
        <v>1</v>
      </c>
      <c r="E1447" t="s">
        <v>244</v>
      </c>
      <c r="F1447">
        <v>35000000</v>
      </c>
      <c r="G1447">
        <v>2002</v>
      </c>
      <c r="H1447">
        <v>6.3</v>
      </c>
    </row>
    <row r="1448" spans="1:8" x14ac:dyDescent="0.25">
      <c r="A1448">
        <v>148</v>
      </c>
      <c r="B1448">
        <v>630779</v>
      </c>
      <c r="C1448" t="s">
        <v>1440</v>
      </c>
      <c r="D1448" t="s">
        <v>1</v>
      </c>
      <c r="E1448" t="s">
        <v>2</v>
      </c>
      <c r="F1448">
        <v>35000000</v>
      </c>
      <c r="G1448">
        <v>1999</v>
      </c>
      <c r="H1448">
        <v>6.8</v>
      </c>
    </row>
    <row r="1449" spans="1:8" x14ac:dyDescent="0.25">
      <c r="A1449">
        <v>91</v>
      </c>
      <c r="B1449">
        <v>10214013</v>
      </c>
      <c r="C1449" t="s">
        <v>1442</v>
      </c>
      <c r="D1449" t="s">
        <v>1</v>
      </c>
      <c r="E1449" t="s">
        <v>2</v>
      </c>
      <c r="F1449">
        <v>35000000</v>
      </c>
      <c r="G1449">
        <v>2015</v>
      </c>
      <c r="H1449">
        <v>5.4</v>
      </c>
    </row>
    <row r="1450" spans="1:8" x14ac:dyDescent="0.25">
      <c r="A1450">
        <v>96</v>
      </c>
      <c r="B1450">
        <v>10139254</v>
      </c>
      <c r="C1450" t="s">
        <v>1444</v>
      </c>
      <c r="D1450" t="s">
        <v>1</v>
      </c>
      <c r="E1450" t="s">
        <v>2</v>
      </c>
      <c r="F1450">
        <v>35000000</v>
      </c>
      <c r="G1450">
        <v>2006</v>
      </c>
      <c r="H1450">
        <v>7.3</v>
      </c>
    </row>
    <row r="1451" spans="1:8" x14ac:dyDescent="0.25">
      <c r="A1451">
        <v>96</v>
      </c>
      <c r="B1451">
        <v>183125</v>
      </c>
      <c r="C1451" t="s">
        <v>1446</v>
      </c>
      <c r="D1451" t="s">
        <v>1</v>
      </c>
      <c r="E1451" t="s">
        <v>2</v>
      </c>
      <c r="F1451">
        <v>35000000</v>
      </c>
      <c r="G1451">
        <v>2012</v>
      </c>
      <c r="H1451">
        <v>5.5</v>
      </c>
    </row>
    <row r="1452" spans="1:8" x14ac:dyDescent="0.25">
      <c r="A1452">
        <v>105</v>
      </c>
      <c r="B1452">
        <v>13101142</v>
      </c>
      <c r="C1452" t="s">
        <v>1451</v>
      </c>
      <c r="D1452" t="s">
        <v>1</v>
      </c>
      <c r="E1452" t="s">
        <v>2</v>
      </c>
      <c r="F1452">
        <v>35000000</v>
      </c>
      <c r="G1452">
        <v>2012</v>
      </c>
      <c r="H1452">
        <v>5.7</v>
      </c>
    </row>
    <row r="1453" spans="1:8" x14ac:dyDescent="0.25">
      <c r="A1453">
        <v>141</v>
      </c>
      <c r="B1453">
        <v>8324748</v>
      </c>
      <c r="C1453" t="s">
        <v>1452</v>
      </c>
      <c r="D1453" t="s">
        <v>1</v>
      </c>
      <c r="E1453" t="s">
        <v>5</v>
      </c>
      <c r="F1453">
        <v>35000000</v>
      </c>
      <c r="G1453">
        <v>2013</v>
      </c>
      <c r="H1453">
        <v>7.1</v>
      </c>
    </row>
    <row r="1454" spans="1:8" x14ac:dyDescent="0.25">
      <c r="A1454">
        <v>99</v>
      </c>
      <c r="B1454">
        <v>81150692</v>
      </c>
      <c r="C1454" t="s">
        <v>1470</v>
      </c>
      <c r="D1454" t="s">
        <v>1</v>
      </c>
      <c r="E1454" t="s">
        <v>38</v>
      </c>
      <c r="F1454">
        <v>35000000</v>
      </c>
      <c r="G1454">
        <v>2002</v>
      </c>
      <c r="H1454">
        <v>5.0999999999999996</v>
      </c>
    </row>
    <row r="1455" spans="1:8" x14ac:dyDescent="0.25">
      <c r="A1455">
        <v>89</v>
      </c>
      <c r="B1455">
        <v>21784432</v>
      </c>
      <c r="C1455" t="s">
        <v>1478</v>
      </c>
      <c r="D1455" t="s">
        <v>1</v>
      </c>
      <c r="E1455" t="s">
        <v>2</v>
      </c>
      <c r="F1455">
        <v>35000000</v>
      </c>
      <c r="G1455">
        <v>2013</v>
      </c>
      <c r="H1455">
        <v>5.6</v>
      </c>
    </row>
    <row r="1456" spans="1:8" x14ac:dyDescent="0.25">
      <c r="A1456">
        <v>107</v>
      </c>
      <c r="B1456">
        <v>10956379</v>
      </c>
      <c r="C1456" t="s">
        <v>1492</v>
      </c>
      <c r="D1456" t="s">
        <v>1</v>
      </c>
      <c r="E1456" t="s">
        <v>1028</v>
      </c>
      <c r="F1456">
        <v>35000000</v>
      </c>
      <c r="G1456">
        <v>2007</v>
      </c>
      <c r="H1456">
        <v>3.6</v>
      </c>
    </row>
    <row r="1457" spans="1:8" x14ac:dyDescent="0.25">
      <c r="A1457">
        <v>98</v>
      </c>
      <c r="B1457">
        <v>66359959</v>
      </c>
      <c r="C1457" t="s">
        <v>1541</v>
      </c>
      <c r="D1457" t="s">
        <v>1</v>
      </c>
      <c r="E1457" t="s">
        <v>2</v>
      </c>
      <c r="F1457">
        <v>35000000</v>
      </c>
      <c r="G1457">
        <v>2013</v>
      </c>
      <c r="H1457">
        <v>6.9</v>
      </c>
    </row>
    <row r="1458" spans="1:8" x14ac:dyDescent="0.25">
      <c r="A1458">
        <v>105</v>
      </c>
      <c r="B1458">
        <v>20422207</v>
      </c>
      <c r="C1458" t="s">
        <v>1599</v>
      </c>
      <c r="D1458" t="s">
        <v>1</v>
      </c>
      <c r="E1458" t="s">
        <v>2</v>
      </c>
      <c r="F1458">
        <v>35000000</v>
      </c>
      <c r="G1458">
        <v>2004</v>
      </c>
      <c r="H1458">
        <v>5.2</v>
      </c>
    </row>
    <row r="1459" spans="1:8" x14ac:dyDescent="0.25">
      <c r="A1459">
        <v>133</v>
      </c>
      <c r="B1459">
        <v>21129348</v>
      </c>
      <c r="C1459" t="s">
        <v>1602</v>
      </c>
      <c r="D1459" t="s">
        <v>1</v>
      </c>
      <c r="E1459" t="s">
        <v>2</v>
      </c>
      <c r="F1459">
        <v>35000000</v>
      </c>
      <c r="G1459">
        <v>2010</v>
      </c>
      <c r="H1459">
        <v>7.4</v>
      </c>
    </row>
    <row r="1460" spans="1:8" x14ac:dyDescent="0.25">
      <c r="A1460">
        <v>126</v>
      </c>
      <c r="B1460">
        <v>18324242</v>
      </c>
      <c r="C1460" t="s">
        <v>1610</v>
      </c>
      <c r="D1460" t="s">
        <v>1</v>
      </c>
      <c r="E1460" t="s">
        <v>2</v>
      </c>
      <c r="F1460">
        <v>35000000</v>
      </c>
      <c r="G1460">
        <v>2005</v>
      </c>
      <c r="H1460">
        <v>7.3</v>
      </c>
    </row>
    <row r="1461" spans="1:8" x14ac:dyDescent="0.25">
      <c r="A1461">
        <v>110</v>
      </c>
      <c r="B1461">
        <v>16295774</v>
      </c>
      <c r="C1461" t="s">
        <v>1613</v>
      </c>
      <c r="D1461" t="s">
        <v>1</v>
      </c>
      <c r="E1461" t="s">
        <v>2</v>
      </c>
      <c r="F1461">
        <v>35000000</v>
      </c>
      <c r="G1461">
        <v>1986</v>
      </c>
      <c r="H1461">
        <v>4.5999999999999996</v>
      </c>
    </row>
    <row r="1462" spans="1:8" x14ac:dyDescent="0.25">
      <c r="A1462">
        <v>122</v>
      </c>
      <c r="B1462">
        <v>18593156</v>
      </c>
      <c r="C1462" t="s">
        <v>1649</v>
      </c>
      <c r="D1462" t="s">
        <v>1</v>
      </c>
      <c r="E1462" t="s">
        <v>2</v>
      </c>
      <c r="F1462">
        <v>35000000</v>
      </c>
      <c r="G1462">
        <v>2008</v>
      </c>
      <c r="H1462">
        <v>7.7</v>
      </c>
    </row>
    <row r="1463" spans="1:8" x14ac:dyDescent="0.25">
      <c r="A1463">
        <v>103</v>
      </c>
      <c r="B1463">
        <v>60400856</v>
      </c>
      <c r="C1463" t="s">
        <v>1669</v>
      </c>
      <c r="D1463" t="s">
        <v>1</v>
      </c>
      <c r="E1463" t="s">
        <v>119</v>
      </c>
      <c r="F1463">
        <v>35000000</v>
      </c>
      <c r="G1463">
        <v>2001</v>
      </c>
      <c r="H1463">
        <v>5.2</v>
      </c>
    </row>
    <row r="1464" spans="1:8" x14ac:dyDescent="0.25">
      <c r="A1464">
        <v>114</v>
      </c>
      <c r="B1464">
        <v>42168445</v>
      </c>
      <c r="C1464" t="s">
        <v>1705</v>
      </c>
      <c r="D1464" t="s">
        <v>1</v>
      </c>
      <c r="E1464" t="s">
        <v>2</v>
      </c>
      <c r="F1464">
        <v>35000000</v>
      </c>
      <c r="G1464">
        <v>2008</v>
      </c>
      <c r="H1464">
        <v>5.3</v>
      </c>
    </row>
    <row r="1465" spans="1:8" x14ac:dyDescent="0.25">
      <c r="A1465">
        <v>135</v>
      </c>
      <c r="B1465">
        <v>70960517</v>
      </c>
      <c r="C1465" t="s">
        <v>1956</v>
      </c>
      <c r="D1465" t="s">
        <v>1</v>
      </c>
      <c r="E1465" t="s">
        <v>2</v>
      </c>
      <c r="F1465">
        <v>35000000</v>
      </c>
      <c r="G1465">
        <v>1995</v>
      </c>
      <c r="H1465">
        <v>7.5</v>
      </c>
    </row>
    <row r="1466" spans="1:8" x14ac:dyDescent="0.25">
      <c r="A1466">
        <v>114</v>
      </c>
      <c r="B1466">
        <v>69700000</v>
      </c>
      <c r="C1466" t="s">
        <v>2013</v>
      </c>
      <c r="D1466" t="s">
        <v>1</v>
      </c>
      <c r="E1466" t="s">
        <v>2</v>
      </c>
      <c r="F1466">
        <v>35000000</v>
      </c>
      <c r="G1466">
        <v>1982</v>
      </c>
      <c r="H1466">
        <v>5.8</v>
      </c>
    </row>
    <row r="1467" spans="1:8" x14ac:dyDescent="0.25">
      <c r="A1467">
        <v>108</v>
      </c>
      <c r="B1467">
        <v>81257845</v>
      </c>
      <c r="C1467" t="s">
        <v>2029</v>
      </c>
      <c r="D1467" t="s">
        <v>1</v>
      </c>
      <c r="E1467" t="s">
        <v>2</v>
      </c>
      <c r="F1467">
        <v>35000000</v>
      </c>
      <c r="G1467">
        <v>2003</v>
      </c>
      <c r="H1467">
        <v>7.1</v>
      </c>
    </row>
    <row r="1468" spans="1:8" x14ac:dyDescent="0.25">
      <c r="A1468">
        <v>91</v>
      </c>
      <c r="B1468">
        <v>30079316</v>
      </c>
      <c r="C1468" t="s">
        <v>2068</v>
      </c>
      <c r="D1468" t="s">
        <v>1</v>
      </c>
      <c r="E1468" t="s">
        <v>2</v>
      </c>
      <c r="F1468">
        <v>35000000</v>
      </c>
      <c r="G1468">
        <v>2002</v>
      </c>
      <c r="H1468">
        <v>5.5</v>
      </c>
    </row>
    <row r="1469" spans="1:8" x14ac:dyDescent="0.25">
      <c r="A1469">
        <v>88</v>
      </c>
      <c r="B1469">
        <v>16988996</v>
      </c>
      <c r="C1469" t="s">
        <v>2106</v>
      </c>
      <c r="D1469" t="s">
        <v>1</v>
      </c>
      <c r="E1469" t="s">
        <v>2</v>
      </c>
      <c r="F1469">
        <v>35000000</v>
      </c>
      <c r="G1469">
        <v>2002</v>
      </c>
      <c r="H1469">
        <v>4</v>
      </c>
    </row>
    <row r="1470" spans="1:8" x14ac:dyDescent="0.25">
      <c r="A1470">
        <v>94</v>
      </c>
      <c r="B1470">
        <v>33357476</v>
      </c>
      <c r="C1470" t="s">
        <v>2345</v>
      </c>
      <c r="D1470" t="s">
        <v>1</v>
      </c>
      <c r="E1470" t="s">
        <v>2</v>
      </c>
      <c r="F1470">
        <v>35000000</v>
      </c>
      <c r="G1470">
        <v>2001</v>
      </c>
      <c r="H1470">
        <v>5.4</v>
      </c>
    </row>
    <row r="1471" spans="1:8" x14ac:dyDescent="0.25">
      <c r="A1471">
        <v>110</v>
      </c>
      <c r="B1471">
        <v>49413</v>
      </c>
      <c r="C1471" t="s">
        <v>3296</v>
      </c>
      <c r="D1471" t="s">
        <v>1341</v>
      </c>
      <c r="E1471" t="s">
        <v>675</v>
      </c>
      <c r="F1471">
        <v>35000000</v>
      </c>
      <c r="G1471">
        <v>2006</v>
      </c>
      <c r="H1471">
        <v>7.3</v>
      </c>
    </row>
    <row r="1472" spans="1:8" x14ac:dyDescent="0.25">
      <c r="A1472">
        <v>101</v>
      </c>
      <c r="B1472">
        <v>80276912</v>
      </c>
      <c r="C1472" t="s">
        <v>3751</v>
      </c>
      <c r="D1472" t="s">
        <v>1</v>
      </c>
      <c r="E1472" t="s">
        <v>2</v>
      </c>
      <c r="F1472">
        <v>35000000</v>
      </c>
      <c r="G1472">
        <v>2008</v>
      </c>
      <c r="H1472">
        <v>6.1</v>
      </c>
    </row>
    <row r="1473" spans="1:8" x14ac:dyDescent="0.25">
      <c r="A1473">
        <v>109</v>
      </c>
      <c r="B1473">
        <v>10499968</v>
      </c>
      <c r="C1473" t="s">
        <v>1428</v>
      </c>
      <c r="D1473" t="s">
        <v>1</v>
      </c>
      <c r="E1473" t="s">
        <v>2</v>
      </c>
      <c r="F1473">
        <v>35000000</v>
      </c>
      <c r="G1473">
        <v>2014</v>
      </c>
      <c r="H1473">
        <v>5.7</v>
      </c>
    </row>
    <row r="1474" spans="1:8" x14ac:dyDescent="0.25">
      <c r="A1474">
        <v>93</v>
      </c>
      <c r="B1474">
        <v>163479795</v>
      </c>
      <c r="C1474" t="s">
        <v>1512</v>
      </c>
      <c r="D1474" t="s">
        <v>1</v>
      </c>
      <c r="E1474" t="s">
        <v>2</v>
      </c>
      <c r="F1474">
        <v>34200000</v>
      </c>
      <c r="G1474">
        <v>1999</v>
      </c>
      <c r="H1474">
        <v>6.4</v>
      </c>
    </row>
    <row r="1475" spans="1:8" x14ac:dyDescent="0.25">
      <c r="A1475">
        <v>123</v>
      </c>
      <c r="B1475">
        <v>66808615</v>
      </c>
      <c r="C1475" t="s">
        <v>1170</v>
      </c>
      <c r="D1475" t="s">
        <v>1</v>
      </c>
      <c r="E1475" t="s">
        <v>2</v>
      </c>
      <c r="F1475">
        <v>34000000</v>
      </c>
      <c r="G1475">
        <v>2001</v>
      </c>
      <c r="H1475">
        <v>6.1</v>
      </c>
    </row>
    <row r="1476" spans="1:8" x14ac:dyDescent="0.25">
      <c r="A1476">
        <v>124</v>
      </c>
      <c r="B1476">
        <v>23360779</v>
      </c>
      <c r="C1476" t="s">
        <v>1329</v>
      </c>
      <c r="D1476" t="s">
        <v>1</v>
      </c>
      <c r="E1476" t="s">
        <v>2</v>
      </c>
      <c r="F1476">
        <v>34000000</v>
      </c>
      <c r="G1476">
        <v>2000</v>
      </c>
      <c r="H1476">
        <v>5.7</v>
      </c>
    </row>
    <row r="1477" spans="1:8" x14ac:dyDescent="0.25">
      <c r="A1477">
        <v>87</v>
      </c>
      <c r="B1477">
        <v>54132596</v>
      </c>
      <c r="C1477" t="s">
        <v>1366</v>
      </c>
      <c r="D1477" t="s">
        <v>1</v>
      </c>
      <c r="E1477" t="s">
        <v>675</v>
      </c>
      <c r="F1477">
        <v>34000000</v>
      </c>
      <c r="G1477">
        <v>2007</v>
      </c>
      <c r="H1477">
        <v>6.3</v>
      </c>
    </row>
    <row r="1478" spans="1:8" x14ac:dyDescent="0.25">
      <c r="A1478">
        <v>113</v>
      </c>
      <c r="B1478">
        <v>102413606</v>
      </c>
      <c r="C1478" t="s">
        <v>1441</v>
      </c>
      <c r="D1478" t="s">
        <v>1</v>
      </c>
      <c r="E1478" t="s">
        <v>2</v>
      </c>
      <c r="F1478">
        <v>34000000</v>
      </c>
      <c r="G1478">
        <v>2014</v>
      </c>
      <c r="H1478">
        <v>6.8</v>
      </c>
    </row>
    <row r="1479" spans="1:8" x14ac:dyDescent="0.25">
      <c r="A1479">
        <v>102</v>
      </c>
      <c r="B1479">
        <v>11227940</v>
      </c>
      <c r="C1479" t="s">
        <v>1445</v>
      </c>
      <c r="D1479" t="s">
        <v>1</v>
      </c>
      <c r="E1479" t="s">
        <v>2</v>
      </c>
      <c r="F1479">
        <v>34000000</v>
      </c>
      <c r="G1479">
        <v>1999</v>
      </c>
      <c r="H1479">
        <v>5.2</v>
      </c>
    </row>
    <row r="1480" spans="1:8" x14ac:dyDescent="0.25">
      <c r="A1480">
        <v>101</v>
      </c>
      <c r="B1480">
        <v>15081783</v>
      </c>
      <c r="C1480" t="s">
        <v>1447</v>
      </c>
      <c r="D1480" t="s">
        <v>102</v>
      </c>
      <c r="E1480" t="s">
        <v>103</v>
      </c>
      <c r="F1480">
        <v>34000000</v>
      </c>
      <c r="G1480">
        <v>2008</v>
      </c>
      <c r="H1480">
        <v>7.7</v>
      </c>
    </row>
    <row r="1481" spans="1:8" x14ac:dyDescent="0.25">
      <c r="A1481">
        <v>128</v>
      </c>
      <c r="B1481">
        <v>37432299</v>
      </c>
      <c r="C1481" t="s">
        <v>1448</v>
      </c>
      <c r="D1481" t="s">
        <v>1</v>
      </c>
      <c r="E1481" t="s">
        <v>2</v>
      </c>
      <c r="F1481">
        <v>34000000</v>
      </c>
      <c r="G1481">
        <v>2015</v>
      </c>
      <c r="H1481">
        <v>7.1</v>
      </c>
    </row>
    <row r="1482" spans="1:8" x14ac:dyDescent="0.25">
      <c r="A1482">
        <v>109</v>
      </c>
      <c r="B1482">
        <v>10654581</v>
      </c>
      <c r="C1482" t="s">
        <v>1449</v>
      </c>
      <c r="D1482" t="s">
        <v>1</v>
      </c>
      <c r="E1482" t="s">
        <v>2</v>
      </c>
      <c r="F1482">
        <v>34000000</v>
      </c>
      <c r="G1482">
        <v>1999</v>
      </c>
      <c r="H1482">
        <v>5.3</v>
      </c>
    </row>
    <row r="1483" spans="1:8" x14ac:dyDescent="0.25">
      <c r="A1483">
        <v>114</v>
      </c>
      <c r="B1483">
        <v>6543194</v>
      </c>
      <c r="C1483" t="s">
        <v>1450</v>
      </c>
      <c r="D1483" t="s">
        <v>1</v>
      </c>
      <c r="E1483" t="s">
        <v>2</v>
      </c>
      <c r="F1483">
        <v>34000000</v>
      </c>
      <c r="G1483">
        <v>2000</v>
      </c>
      <c r="H1483">
        <v>5.6</v>
      </c>
    </row>
    <row r="1484" spans="1:8" x14ac:dyDescent="0.25">
      <c r="A1484">
        <v>85</v>
      </c>
      <c r="B1484">
        <v>4091</v>
      </c>
      <c r="C1484" t="s">
        <v>1456</v>
      </c>
      <c r="D1484" t="s">
        <v>1</v>
      </c>
      <c r="E1484" t="s">
        <v>88</v>
      </c>
      <c r="F1484">
        <v>34000000</v>
      </c>
      <c r="G1484">
        <v>2013</v>
      </c>
      <c r="H1484">
        <v>6.3</v>
      </c>
    </row>
    <row r="1485" spans="1:8" x14ac:dyDescent="0.25">
      <c r="A1485">
        <v>126</v>
      </c>
      <c r="B1485">
        <v>62700000</v>
      </c>
      <c r="C1485" t="s">
        <v>1504</v>
      </c>
      <c r="D1485" t="s">
        <v>1</v>
      </c>
      <c r="E1485" t="s">
        <v>5</v>
      </c>
      <c r="F1485">
        <v>34000000</v>
      </c>
      <c r="G1485">
        <v>1979</v>
      </c>
      <c r="H1485">
        <v>6.3</v>
      </c>
    </row>
    <row r="1486" spans="1:8" x14ac:dyDescent="0.25">
      <c r="A1486">
        <v>108</v>
      </c>
      <c r="B1486">
        <v>19693891</v>
      </c>
      <c r="C1486" t="s">
        <v>2308</v>
      </c>
      <c r="D1486" t="s">
        <v>1</v>
      </c>
      <c r="E1486" t="s">
        <v>2</v>
      </c>
      <c r="F1486">
        <v>34000000</v>
      </c>
      <c r="G1486">
        <v>2001</v>
      </c>
      <c r="H1486">
        <v>4.9000000000000004</v>
      </c>
    </row>
    <row r="1487" spans="1:8" x14ac:dyDescent="0.25">
      <c r="A1487">
        <v>109</v>
      </c>
      <c r="B1487">
        <v>10654581</v>
      </c>
      <c r="C1487" t="s">
        <v>1449</v>
      </c>
      <c r="D1487" t="s">
        <v>1</v>
      </c>
      <c r="E1487" t="s">
        <v>2</v>
      </c>
      <c r="F1487">
        <v>34000000</v>
      </c>
      <c r="G1487">
        <v>1999</v>
      </c>
      <c r="H1487">
        <v>5.3</v>
      </c>
    </row>
    <row r="1488" spans="1:8" x14ac:dyDescent="0.25">
      <c r="A1488">
        <v>108</v>
      </c>
      <c r="B1488">
        <v>10326062</v>
      </c>
      <c r="C1488" t="s">
        <v>1256</v>
      </c>
      <c r="D1488" t="s">
        <v>1</v>
      </c>
      <c r="E1488" t="s">
        <v>119</v>
      </c>
      <c r="F1488">
        <v>33000000</v>
      </c>
      <c r="G1488">
        <v>2009</v>
      </c>
      <c r="H1488">
        <v>6.8</v>
      </c>
    </row>
    <row r="1489" spans="1:8" x14ac:dyDescent="0.25">
      <c r="A1489">
        <v>95</v>
      </c>
      <c r="B1489">
        <v>205399422</v>
      </c>
      <c r="C1489" t="s">
        <v>1342</v>
      </c>
      <c r="D1489" t="s">
        <v>1</v>
      </c>
      <c r="E1489" t="s">
        <v>2</v>
      </c>
      <c r="F1489">
        <v>33000000</v>
      </c>
      <c r="G1489">
        <v>1999</v>
      </c>
      <c r="H1489">
        <v>6.6</v>
      </c>
    </row>
    <row r="1490" spans="1:8" x14ac:dyDescent="0.25">
      <c r="A1490">
        <v>109</v>
      </c>
      <c r="B1490">
        <v>61280963</v>
      </c>
      <c r="C1490" t="s">
        <v>1363</v>
      </c>
      <c r="D1490" t="s">
        <v>1</v>
      </c>
      <c r="E1490" t="s">
        <v>2</v>
      </c>
      <c r="F1490">
        <v>33000000</v>
      </c>
      <c r="G1490">
        <v>2000</v>
      </c>
      <c r="H1490">
        <v>6.3</v>
      </c>
    </row>
    <row r="1491" spans="1:8" x14ac:dyDescent="0.25">
      <c r="A1491">
        <v>202</v>
      </c>
      <c r="B1491">
        <v>48169908</v>
      </c>
      <c r="C1491" t="s">
        <v>1371</v>
      </c>
      <c r="D1491" t="s">
        <v>1</v>
      </c>
      <c r="E1491" t="s">
        <v>2</v>
      </c>
      <c r="F1491">
        <v>33000000</v>
      </c>
      <c r="G1491">
        <v>1992</v>
      </c>
      <c r="H1491">
        <v>7.7</v>
      </c>
    </row>
    <row r="1492" spans="1:8" x14ac:dyDescent="0.25">
      <c r="A1492">
        <v>75</v>
      </c>
      <c r="B1492">
        <v>57651794</v>
      </c>
      <c r="C1492" t="s">
        <v>1376</v>
      </c>
      <c r="D1492" t="s">
        <v>1</v>
      </c>
      <c r="E1492" t="s">
        <v>2</v>
      </c>
      <c r="F1492">
        <v>33000000</v>
      </c>
      <c r="G1492">
        <v>2006</v>
      </c>
      <c r="H1492">
        <v>5.6</v>
      </c>
    </row>
    <row r="1493" spans="1:8" x14ac:dyDescent="0.25">
      <c r="A1493">
        <v>100</v>
      </c>
      <c r="B1493">
        <v>39532308</v>
      </c>
      <c r="C1493" t="s">
        <v>1379</v>
      </c>
      <c r="D1493" t="s">
        <v>1</v>
      </c>
      <c r="E1493" t="s">
        <v>5</v>
      </c>
      <c r="F1493">
        <v>33000000</v>
      </c>
      <c r="G1493">
        <v>2002</v>
      </c>
      <c r="H1493">
        <v>6.7</v>
      </c>
    </row>
    <row r="1494" spans="1:8" x14ac:dyDescent="0.25">
      <c r="A1494">
        <v>101</v>
      </c>
      <c r="B1494">
        <v>51758599</v>
      </c>
      <c r="C1494" t="s">
        <v>1454</v>
      </c>
      <c r="D1494" t="s">
        <v>1</v>
      </c>
      <c r="E1494" t="s">
        <v>2</v>
      </c>
      <c r="F1494">
        <v>33000000</v>
      </c>
      <c r="G1494">
        <v>2001</v>
      </c>
      <c r="H1494">
        <v>5.5</v>
      </c>
    </row>
    <row r="1495" spans="1:8" x14ac:dyDescent="0.25">
      <c r="A1495">
        <v>99</v>
      </c>
      <c r="B1495">
        <v>35057332</v>
      </c>
      <c r="C1495" t="s">
        <v>1458</v>
      </c>
      <c r="D1495" t="s">
        <v>1</v>
      </c>
      <c r="E1495" t="s">
        <v>2</v>
      </c>
      <c r="F1495">
        <v>33000000</v>
      </c>
      <c r="G1495">
        <v>2012</v>
      </c>
      <c r="H1495">
        <v>6.5</v>
      </c>
    </row>
    <row r="1496" spans="1:8" x14ac:dyDescent="0.25">
      <c r="A1496">
        <v>105</v>
      </c>
      <c r="B1496">
        <v>34014398</v>
      </c>
      <c r="C1496" t="s">
        <v>1459</v>
      </c>
      <c r="D1496" t="s">
        <v>1</v>
      </c>
      <c r="E1496" t="s">
        <v>119</v>
      </c>
      <c r="F1496">
        <v>33000000</v>
      </c>
      <c r="G1496">
        <v>2006</v>
      </c>
      <c r="H1496">
        <v>5.6</v>
      </c>
    </row>
    <row r="1497" spans="1:8" x14ac:dyDescent="0.25">
      <c r="A1497">
        <v>97</v>
      </c>
      <c r="B1497">
        <v>28927720</v>
      </c>
      <c r="C1497" t="s">
        <v>1460</v>
      </c>
      <c r="D1497" t="s">
        <v>1</v>
      </c>
      <c r="E1497" t="s">
        <v>2</v>
      </c>
      <c r="F1497">
        <v>33000000</v>
      </c>
      <c r="G1497">
        <v>2000</v>
      </c>
      <c r="H1497">
        <v>5.3</v>
      </c>
    </row>
    <row r="1498" spans="1:8" x14ac:dyDescent="0.25">
      <c r="A1498">
        <v>140</v>
      </c>
      <c r="B1498">
        <v>33682273</v>
      </c>
      <c r="C1498" t="s">
        <v>1461</v>
      </c>
      <c r="D1498" t="s">
        <v>1</v>
      </c>
      <c r="E1498" t="s">
        <v>2</v>
      </c>
      <c r="F1498">
        <v>33000000</v>
      </c>
      <c r="G1498">
        <v>2004</v>
      </c>
      <c r="H1498">
        <v>6.5</v>
      </c>
    </row>
    <row r="1499" spans="1:8" x14ac:dyDescent="0.25">
      <c r="A1499">
        <v>97</v>
      </c>
      <c r="B1499">
        <v>173381405</v>
      </c>
      <c r="C1499" t="s">
        <v>1468</v>
      </c>
      <c r="D1499" t="s">
        <v>1</v>
      </c>
      <c r="E1499" t="s">
        <v>2</v>
      </c>
      <c r="F1499">
        <v>33000000</v>
      </c>
      <c r="G1499">
        <v>2003</v>
      </c>
      <c r="H1499">
        <v>6.9</v>
      </c>
    </row>
    <row r="1500" spans="1:8" x14ac:dyDescent="0.25">
      <c r="A1500">
        <v>105</v>
      </c>
      <c r="B1500">
        <v>99462</v>
      </c>
      <c r="C1500" t="s">
        <v>1483</v>
      </c>
      <c r="D1500" t="s">
        <v>1</v>
      </c>
      <c r="E1500" t="s">
        <v>244</v>
      </c>
      <c r="F1500">
        <v>33000000</v>
      </c>
      <c r="G1500">
        <v>2013</v>
      </c>
      <c r="H1500">
        <v>7.1</v>
      </c>
    </row>
    <row r="1501" spans="1:8" x14ac:dyDescent="0.25">
      <c r="A1501">
        <v>127</v>
      </c>
      <c r="B1501">
        <v>100125340</v>
      </c>
      <c r="C1501" t="s">
        <v>1526</v>
      </c>
      <c r="D1501" t="s">
        <v>1</v>
      </c>
      <c r="E1501" t="s">
        <v>2</v>
      </c>
      <c r="F1501">
        <v>33000000</v>
      </c>
      <c r="G1501">
        <v>1995</v>
      </c>
      <c r="H1501">
        <v>8.6</v>
      </c>
    </row>
    <row r="1502" spans="1:8" x14ac:dyDescent="0.25">
      <c r="A1502">
        <v>116</v>
      </c>
      <c r="B1502">
        <v>148085755</v>
      </c>
      <c r="C1502" t="s">
        <v>1768</v>
      </c>
      <c r="D1502" t="s">
        <v>1</v>
      </c>
      <c r="E1502" t="s">
        <v>2</v>
      </c>
      <c r="F1502">
        <v>33000000</v>
      </c>
      <c r="G1502">
        <v>2008</v>
      </c>
      <c r="H1502">
        <v>8.1999999999999993</v>
      </c>
    </row>
    <row r="1503" spans="1:8" x14ac:dyDescent="0.25">
      <c r="A1503">
        <v>105</v>
      </c>
      <c r="B1503">
        <v>34014398</v>
      </c>
      <c r="C1503" t="s">
        <v>1459</v>
      </c>
      <c r="D1503" t="s">
        <v>1</v>
      </c>
      <c r="E1503" t="s">
        <v>119</v>
      </c>
      <c r="F1503">
        <v>33000000</v>
      </c>
      <c r="G1503">
        <v>2006</v>
      </c>
      <c r="H1503">
        <v>5.6</v>
      </c>
    </row>
    <row r="1504" spans="1:8" x14ac:dyDescent="0.25">
      <c r="A1504">
        <v>105</v>
      </c>
      <c r="B1504">
        <v>132541238</v>
      </c>
      <c r="C1504" t="s">
        <v>2020</v>
      </c>
      <c r="D1504" t="s">
        <v>1</v>
      </c>
      <c r="E1504" t="s">
        <v>2</v>
      </c>
      <c r="F1504">
        <v>33000000</v>
      </c>
      <c r="G1504">
        <v>2003</v>
      </c>
      <c r="H1504">
        <v>5.5</v>
      </c>
    </row>
    <row r="1505" spans="1:8" x14ac:dyDescent="0.25">
      <c r="A1505">
        <v>83</v>
      </c>
      <c r="B1505">
        <v>8326035</v>
      </c>
      <c r="C1505" t="s">
        <v>2141</v>
      </c>
      <c r="D1505" t="s">
        <v>1</v>
      </c>
      <c r="E1505" t="s">
        <v>119</v>
      </c>
      <c r="F1505">
        <v>33000000</v>
      </c>
      <c r="G1505">
        <v>2005</v>
      </c>
      <c r="H1505">
        <v>5.5</v>
      </c>
    </row>
    <row r="1506" spans="1:8" x14ac:dyDescent="0.25">
      <c r="A1506">
        <v>134</v>
      </c>
      <c r="B1506">
        <v>309125409</v>
      </c>
      <c r="C1506" t="s">
        <v>1465</v>
      </c>
      <c r="D1506" t="s">
        <v>1</v>
      </c>
      <c r="E1506" t="s">
        <v>2</v>
      </c>
      <c r="F1506">
        <v>32500000</v>
      </c>
      <c r="G1506">
        <v>1983</v>
      </c>
      <c r="H1506">
        <v>8.4</v>
      </c>
    </row>
    <row r="1507" spans="1:8" x14ac:dyDescent="0.25">
      <c r="A1507">
        <v>131</v>
      </c>
      <c r="B1507">
        <v>169076745</v>
      </c>
      <c r="C1507" t="s">
        <v>1473</v>
      </c>
      <c r="D1507" t="s">
        <v>1</v>
      </c>
      <c r="E1507" t="s">
        <v>2</v>
      </c>
      <c r="F1507">
        <v>32500000</v>
      </c>
      <c r="G1507">
        <v>2011</v>
      </c>
      <c r="H1507">
        <v>6.8</v>
      </c>
    </row>
    <row r="1508" spans="1:8" x14ac:dyDescent="0.25">
      <c r="A1508">
        <v>119</v>
      </c>
      <c r="B1508">
        <v>35228696</v>
      </c>
      <c r="C1508" t="s">
        <v>1117</v>
      </c>
      <c r="D1508" t="s">
        <v>1</v>
      </c>
      <c r="E1508" t="s">
        <v>2</v>
      </c>
      <c r="F1508">
        <v>32000000</v>
      </c>
      <c r="G1508">
        <v>2002</v>
      </c>
      <c r="H1508">
        <v>6.5</v>
      </c>
    </row>
    <row r="1509" spans="1:8" x14ac:dyDescent="0.25">
      <c r="A1509">
        <v>133</v>
      </c>
      <c r="B1509">
        <v>34667015</v>
      </c>
      <c r="C1509" t="s">
        <v>1119</v>
      </c>
      <c r="D1509" t="s">
        <v>1</v>
      </c>
      <c r="E1509" t="s">
        <v>5</v>
      </c>
      <c r="F1509">
        <v>32000000</v>
      </c>
      <c r="G1509">
        <v>1989</v>
      </c>
      <c r="H1509">
        <v>6.6</v>
      </c>
    </row>
    <row r="1510" spans="1:8" x14ac:dyDescent="0.25">
      <c r="A1510">
        <v>144</v>
      </c>
      <c r="B1510">
        <v>16377274</v>
      </c>
      <c r="C1510" t="s">
        <v>1306</v>
      </c>
      <c r="D1510" t="s">
        <v>1</v>
      </c>
      <c r="E1510" t="s">
        <v>2</v>
      </c>
      <c r="F1510">
        <v>32000000</v>
      </c>
      <c r="G1510">
        <v>2012</v>
      </c>
      <c r="H1510">
        <v>7.1</v>
      </c>
    </row>
    <row r="1511" spans="1:8" x14ac:dyDescent="0.25">
      <c r="A1511">
        <v>139</v>
      </c>
      <c r="B1511">
        <v>13303319</v>
      </c>
      <c r="C1511" t="s">
        <v>1425</v>
      </c>
      <c r="D1511" t="s">
        <v>1</v>
      </c>
      <c r="E1511" t="s">
        <v>2</v>
      </c>
      <c r="F1511">
        <v>32000000</v>
      </c>
      <c r="G1511">
        <v>2011</v>
      </c>
      <c r="H1511">
        <v>6.7</v>
      </c>
    </row>
    <row r="1512" spans="1:8" x14ac:dyDescent="0.25">
      <c r="A1512">
        <v>124</v>
      </c>
      <c r="B1512">
        <v>34180954</v>
      </c>
      <c r="C1512" t="s">
        <v>1467</v>
      </c>
      <c r="D1512" t="s">
        <v>1</v>
      </c>
      <c r="E1512" t="s">
        <v>2</v>
      </c>
      <c r="F1512">
        <v>32000000</v>
      </c>
      <c r="G1512">
        <v>2008</v>
      </c>
      <c r="H1512">
        <v>7.6</v>
      </c>
    </row>
    <row r="1513" spans="1:8" x14ac:dyDescent="0.25">
      <c r="A1513">
        <v>123</v>
      </c>
      <c r="B1513">
        <v>104632573</v>
      </c>
      <c r="C1513" t="s">
        <v>1469</v>
      </c>
      <c r="D1513" t="s">
        <v>1</v>
      </c>
      <c r="E1513" t="s">
        <v>2</v>
      </c>
      <c r="F1513">
        <v>32000000</v>
      </c>
      <c r="G1513">
        <v>1996</v>
      </c>
      <c r="H1513">
        <v>6.4</v>
      </c>
    </row>
    <row r="1514" spans="1:8" x14ac:dyDescent="0.25">
      <c r="A1514">
        <v>101</v>
      </c>
      <c r="B1514">
        <v>60328558</v>
      </c>
      <c r="C1514" t="s">
        <v>1471</v>
      </c>
      <c r="D1514" t="s">
        <v>1</v>
      </c>
      <c r="E1514" t="s">
        <v>2</v>
      </c>
      <c r="F1514">
        <v>32000000</v>
      </c>
      <c r="G1514">
        <v>1988</v>
      </c>
      <c r="H1514">
        <v>7</v>
      </c>
    </row>
    <row r="1515" spans="1:8" x14ac:dyDescent="0.25">
      <c r="A1515">
        <v>92</v>
      </c>
      <c r="B1515">
        <v>80197993</v>
      </c>
      <c r="C1515" t="s">
        <v>1472</v>
      </c>
      <c r="D1515" t="s">
        <v>1</v>
      </c>
      <c r="E1515" t="s">
        <v>119</v>
      </c>
      <c r="F1515">
        <v>32000000</v>
      </c>
      <c r="G1515">
        <v>2006</v>
      </c>
      <c r="H1515">
        <v>5.7</v>
      </c>
    </row>
    <row r="1516" spans="1:8" x14ac:dyDescent="0.25">
      <c r="A1516">
        <v>107</v>
      </c>
      <c r="B1516">
        <v>101470202</v>
      </c>
      <c r="C1516" t="s">
        <v>1474</v>
      </c>
      <c r="D1516" t="s">
        <v>1</v>
      </c>
      <c r="E1516" t="s">
        <v>2</v>
      </c>
      <c r="F1516">
        <v>32000000</v>
      </c>
      <c r="G1516">
        <v>2013</v>
      </c>
      <c r="H1516">
        <v>6.7</v>
      </c>
    </row>
    <row r="1517" spans="1:8" x14ac:dyDescent="0.25">
      <c r="A1517">
        <v>129</v>
      </c>
      <c r="B1517">
        <v>48814909</v>
      </c>
      <c r="C1517" t="s">
        <v>1476</v>
      </c>
      <c r="D1517" t="s">
        <v>1</v>
      </c>
      <c r="E1517" t="s">
        <v>2</v>
      </c>
      <c r="F1517">
        <v>32000000</v>
      </c>
      <c r="G1517">
        <v>2000</v>
      </c>
      <c r="H1517">
        <v>7.2</v>
      </c>
    </row>
    <row r="1518" spans="1:8" x14ac:dyDescent="0.25">
      <c r="A1518">
        <v>113</v>
      </c>
      <c r="B1518">
        <v>37911876</v>
      </c>
      <c r="C1518" t="s">
        <v>1479</v>
      </c>
      <c r="D1518" t="s">
        <v>1</v>
      </c>
      <c r="E1518" t="s">
        <v>2</v>
      </c>
      <c r="F1518">
        <v>32000000</v>
      </c>
      <c r="G1518">
        <v>2011</v>
      </c>
      <c r="H1518">
        <v>4.4000000000000004</v>
      </c>
    </row>
    <row r="1519" spans="1:8" x14ac:dyDescent="0.25">
      <c r="A1519">
        <v>93</v>
      </c>
      <c r="B1519">
        <v>54696902</v>
      </c>
      <c r="C1519" t="s">
        <v>1480</v>
      </c>
      <c r="D1519" t="s">
        <v>1</v>
      </c>
      <c r="E1519" t="s">
        <v>2</v>
      </c>
      <c r="F1519">
        <v>32000000</v>
      </c>
      <c r="G1519">
        <v>2011</v>
      </c>
      <c r="H1519">
        <v>7.5</v>
      </c>
    </row>
    <row r="1520" spans="1:8" x14ac:dyDescent="0.25">
      <c r="A1520">
        <v>120</v>
      </c>
      <c r="B1520">
        <v>36733909</v>
      </c>
      <c r="C1520" t="s">
        <v>1481</v>
      </c>
      <c r="D1520" t="s">
        <v>1</v>
      </c>
      <c r="E1520" t="s">
        <v>2</v>
      </c>
      <c r="F1520">
        <v>32000000</v>
      </c>
      <c r="G1520">
        <v>1993</v>
      </c>
      <c r="H1520">
        <v>7.1</v>
      </c>
    </row>
    <row r="1521" spans="1:8" x14ac:dyDescent="0.25">
      <c r="A1521">
        <v>98</v>
      </c>
      <c r="B1521">
        <v>35063732</v>
      </c>
      <c r="C1521" t="s">
        <v>1482</v>
      </c>
      <c r="D1521" t="s">
        <v>1</v>
      </c>
      <c r="E1521" t="s">
        <v>2</v>
      </c>
      <c r="F1521">
        <v>32000000</v>
      </c>
      <c r="G1521">
        <v>2007</v>
      </c>
      <c r="H1521">
        <v>6.4</v>
      </c>
    </row>
    <row r="1522" spans="1:8" x14ac:dyDescent="0.25">
      <c r="A1522">
        <v>98</v>
      </c>
      <c r="B1522">
        <v>32701088</v>
      </c>
      <c r="C1522" t="s">
        <v>1484</v>
      </c>
      <c r="D1522" t="s">
        <v>1</v>
      </c>
      <c r="E1522" t="s">
        <v>2</v>
      </c>
      <c r="F1522">
        <v>32000000</v>
      </c>
      <c r="G1522">
        <v>2005</v>
      </c>
      <c r="H1522">
        <v>6.9</v>
      </c>
    </row>
    <row r="1523" spans="1:8" x14ac:dyDescent="0.25">
      <c r="A1523">
        <v>96</v>
      </c>
      <c r="B1523">
        <v>31493782</v>
      </c>
      <c r="C1523" t="s">
        <v>1485</v>
      </c>
      <c r="D1523" t="s">
        <v>1</v>
      </c>
      <c r="E1523" t="s">
        <v>2</v>
      </c>
      <c r="F1523">
        <v>32000000</v>
      </c>
      <c r="G1523">
        <v>2005</v>
      </c>
      <c r="H1523">
        <v>7.5</v>
      </c>
    </row>
    <row r="1524" spans="1:8" x14ac:dyDescent="0.25">
      <c r="A1524">
        <v>87</v>
      </c>
      <c r="B1524">
        <v>43095600</v>
      </c>
      <c r="C1524" t="s">
        <v>1486</v>
      </c>
      <c r="D1524" t="s">
        <v>1</v>
      </c>
      <c r="E1524" t="s">
        <v>244</v>
      </c>
      <c r="F1524">
        <v>32000000</v>
      </c>
      <c r="G1524">
        <v>2005</v>
      </c>
      <c r="H1524">
        <v>6.3</v>
      </c>
    </row>
    <row r="1525" spans="1:8" x14ac:dyDescent="0.25">
      <c r="A1525">
        <v>107</v>
      </c>
      <c r="B1525">
        <v>18636537</v>
      </c>
      <c r="C1525" t="s">
        <v>1487</v>
      </c>
      <c r="D1525" t="s">
        <v>1</v>
      </c>
      <c r="E1525" t="s">
        <v>103</v>
      </c>
      <c r="F1525">
        <v>32000000</v>
      </c>
      <c r="G1525">
        <v>1995</v>
      </c>
      <c r="H1525">
        <v>6.4</v>
      </c>
    </row>
    <row r="1526" spans="1:8" x14ac:dyDescent="0.25">
      <c r="A1526">
        <v>119</v>
      </c>
      <c r="B1526">
        <v>13763130</v>
      </c>
      <c r="C1526" t="s">
        <v>1491</v>
      </c>
      <c r="D1526" t="s">
        <v>1</v>
      </c>
      <c r="E1526" t="s">
        <v>2</v>
      </c>
      <c r="F1526">
        <v>32000000</v>
      </c>
      <c r="G1526">
        <v>2010</v>
      </c>
      <c r="H1526">
        <v>6.3</v>
      </c>
    </row>
    <row r="1527" spans="1:8" x14ac:dyDescent="0.25">
      <c r="A1527">
        <v>75</v>
      </c>
      <c r="B1527">
        <v>3562749</v>
      </c>
      <c r="C1527" t="s">
        <v>1495</v>
      </c>
      <c r="D1527" t="s">
        <v>1</v>
      </c>
      <c r="E1527" t="s">
        <v>2</v>
      </c>
      <c r="F1527">
        <v>32000000</v>
      </c>
      <c r="G1527">
        <v>1997</v>
      </c>
      <c r="H1527">
        <v>6.9</v>
      </c>
    </row>
    <row r="1528" spans="1:8" x14ac:dyDescent="0.25">
      <c r="A1528">
        <v>132</v>
      </c>
      <c r="B1528">
        <v>2899970</v>
      </c>
      <c r="C1528" t="s">
        <v>1496</v>
      </c>
      <c r="D1528" t="s">
        <v>1</v>
      </c>
      <c r="E1528" t="s">
        <v>2</v>
      </c>
      <c r="F1528">
        <v>32000000</v>
      </c>
      <c r="G1528">
        <v>1999</v>
      </c>
      <c r="H1528">
        <v>6.9</v>
      </c>
    </row>
    <row r="1529" spans="1:8" x14ac:dyDescent="0.25">
      <c r="A1529">
        <v>105</v>
      </c>
      <c r="B1529">
        <v>1304837</v>
      </c>
      <c r="C1529" t="s">
        <v>1497</v>
      </c>
      <c r="D1529" t="s">
        <v>1</v>
      </c>
      <c r="E1529" t="s">
        <v>2</v>
      </c>
      <c r="F1529">
        <v>32000000</v>
      </c>
      <c r="G1529">
        <v>2006</v>
      </c>
      <c r="H1529">
        <v>6.1</v>
      </c>
    </row>
    <row r="1530" spans="1:8" x14ac:dyDescent="0.25">
      <c r="A1530">
        <v>102</v>
      </c>
      <c r="B1530">
        <v>17797316</v>
      </c>
      <c r="C1530" t="s">
        <v>1499</v>
      </c>
      <c r="D1530" t="s">
        <v>1</v>
      </c>
      <c r="E1530" t="s">
        <v>2</v>
      </c>
      <c r="F1530">
        <v>32000000</v>
      </c>
      <c r="G1530">
        <v>2010</v>
      </c>
      <c r="H1530">
        <v>6.3</v>
      </c>
    </row>
    <row r="1531" spans="1:8" x14ac:dyDescent="0.25">
      <c r="A1531">
        <v>113</v>
      </c>
      <c r="B1531">
        <v>39568996</v>
      </c>
      <c r="C1531" t="s">
        <v>1575</v>
      </c>
      <c r="D1531" t="s">
        <v>1</v>
      </c>
      <c r="E1531" t="s">
        <v>2</v>
      </c>
      <c r="F1531">
        <v>32000000</v>
      </c>
      <c r="G1531">
        <v>2007</v>
      </c>
      <c r="H1531">
        <v>6.6</v>
      </c>
    </row>
    <row r="1532" spans="1:8" x14ac:dyDescent="0.25">
      <c r="A1532">
        <v>95</v>
      </c>
      <c r="B1532">
        <v>82301521</v>
      </c>
      <c r="C1532" t="s">
        <v>2027</v>
      </c>
      <c r="D1532" t="s">
        <v>1</v>
      </c>
      <c r="E1532" t="s">
        <v>2</v>
      </c>
      <c r="F1532">
        <v>32000000</v>
      </c>
      <c r="G1532">
        <v>2005</v>
      </c>
      <c r="H1532">
        <v>4.5999999999999996</v>
      </c>
    </row>
    <row r="1533" spans="1:8" x14ac:dyDescent="0.25">
      <c r="A1533">
        <v>289</v>
      </c>
      <c r="B1533">
        <v>78800000</v>
      </c>
      <c r="C1533" t="s">
        <v>1498</v>
      </c>
      <c r="D1533" t="s">
        <v>1</v>
      </c>
      <c r="E1533" t="s">
        <v>2</v>
      </c>
      <c r="F1533">
        <v>31500000</v>
      </c>
      <c r="G1533">
        <v>1979</v>
      </c>
      <c r="H1533">
        <v>8.5</v>
      </c>
    </row>
    <row r="1534" spans="1:8" x14ac:dyDescent="0.25">
      <c r="A1534">
        <v>113</v>
      </c>
      <c r="B1534">
        <v>14268533</v>
      </c>
      <c r="C1534" t="s">
        <v>1501</v>
      </c>
      <c r="D1534" t="s">
        <v>1</v>
      </c>
      <c r="E1534" t="s">
        <v>5</v>
      </c>
      <c r="F1534">
        <v>31500000</v>
      </c>
      <c r="G1534">
        <v>2016</v>
      </c>
      <c r="H1534">
        <v>6.3</v>
      </c>
    </row>
    <row r="1535" spans="1:8" x14ac:dyDescent="0.25">
      <c r="A1535">
        <v>251</v>
      </c>
      <c r="B1535">
        <v>57750000</v>
      </c>
      <c r="C1535" t="s">
        <v>1113</v>
      </c>
      <c r="D1535" t="s">
        <v>1</v>
      </c>
      <c r="E1535" t="s">
        <v>5</v>
      </c>
      <c r="F1535">
        <v>31115000</v>
      </c>
      <c r="G1535">
        <v>1963</v>
      </c>
      <c r="H1535">
        <v>7</v>
      </c>
    </row>
    <row r="1536" spans="1:8" x14ac:dyDescent="0.25">
      <c r="A1536">
        <v>80</v>
      </c>
      <c r="B1536">
        <v>84961</v>
      </c>
      <c r="C1536" t="s">
        <v>1124</v>
      </c>
      <c r="D1536" t="s">
        <v>326</v>
      </c>
      <c r="E1536" t="s">
        <v>142</v>
      </c>
      <c r="F1536">
        <v>31000000</v>
      </c>
      <c r="G1536">
        <v>2002</v>
      </c>
      <c r="H1536">
        <v>7.9</v>
      </c>
    </row>
    <row r="1537" spans="1:8" x14ac:dyDescent="0.25">
      <c r="A1537">
        <v>98</v>
      </c>
      <c r="B1537">
        <v>16831505</v>
      </c>
      <c r="C1537" t="s">
        <v>1416</v>
      </c>
      <c r="D1537" t="s">
        <v>1</v>
      </c>
      <c r="E1537" t="s">
        <v>5</v>
      </c>
      <c r="F1537">
        <v>31000000</v>
      </c>
      <c r="G1537">
        <v>2004</v>
      </c>
      <c r="H1537">
        <v>6.3</v>
      </c>
    </row>
    <row r="1538" spans="1:8" x14ac:dyDescent="0.25">
      <c r="A1538">
        <v>161</v>
      </c>
      <c r="B1538">
        <v>87100000</v>
      </c>
      <c r="C1538" t="s">
        <v>1502</v>
      </c>
      <c r="D1538" t="s">
        <v>1</v>
      </c>
      <c r="E1538" t="s">
        <v>2</v>
      </c>
      <c r="F1538">
        <v>31000000</v>
      </c>
      <c r="G1538">
        <v>1985</v>
      </c>
      <c r="H1538">
        <v>7.2</v>
      </c>
    </row>
    <row r="1539" spans="1:8" x14ac:dyDescent="0.25">
      <c r="A1539">
        <v>138</v>
      </c>
      <c r="B1539">
        <v>93749203</v>
      </c>
      <c r="C1539" t="s">
        <v>1503</v>
      </c>
      <c r="D1539" t="s">
        <v>1</v>
      </c>
      <c r="E1539" t="s">
        <v>2</v>
      </c>
      <c r="F1539">
        <v>31000000</v>
      </c>
      <c r="G1539">
        <v>2012</v>
      </c>
      <c r="H1539">
        <v>7.3</v>
      </c>
    </row>
    <row r="1540" spans="1:8" x14ac:dyDescent="0.25">
      <c r="A1540">
        <v>101</v>
      </c>
      <c r="B1540">
        <v>24185781</v>
      </c>
      <c r="C1540" t="s">
        <v>1506</v>
      </c>
      <c r="D1540" t="s">
        <v>1</v>
      </c>
      <c r="E1540" t="s">
        <v>2</v>
      </c>
      <c r="F1540">
        <v>31000000</v>
      </c>
      <c r="G1540">
        <v>2001</v>
      </c>
      <c r="H1540">
        <v>6.9</v>
      </c>
    </row>
    <row r="1541" spans="1:8" x14ac:dyDescent="0.25">
      <c r="A1541">
        <v>103</v>
      </c>
      <c r="B1541">
        <v>53133888</v>
      </c>
      <c r="C1541" t="s">
        <v>1507</v>
      </c>
      <c r="D1541" t="s">
        <v>1</v>
      </c>
      <c r="E1541" t="s">
        <v>2</v>
      </c>
      <c r="F1541">
        <v>31000000</v>
      </c>
      <c r="G1541">
        <v>1990</v>
      </c>
      <c r="H1541">
        <v>6.3</v>
      </c>
    </row>
    <row r="1542" spans="1:8" x14ac:dyDescent="0.25">
      <c r="A1542">
        <v>118</v>
      </c>
      <c r="B1542">
        <v>44983704</v>
      </c>
      <c r="C1542" t="s">
        <v>1508</v>
      </c>
      <c r="D1542" t="s">
        <v>1</v>
      </c>
      <c r="E1542" t="s">
        <v>2</v>
      </c>
      <c r="F1542">
        <v>31000000</v>
      </c>
      <c r="G1542">
        <v>2000</v>
      </c>
      <c r="H1542">
        <v>7.3</v>
      </c>
    </row>
    <row r="1543" spans="1:8" x14ac:dyDescent="0.25">
      <c r="A1543">
        <v>99</v>
      </c>
      <c r="B1543">
        <v>58879132</v>
      </c>
      <c r="C1543" t="s">
        <v>1509</v>
      </c>
      <c r="D1543" t="s">
        <v>1</v>
      </c>
      <c r="E1543" t="s">
        <v>2</v>
      </c>
      <c r="F1543">
        <v>31000000</v>
      </c>
      <c r="G1543">
        <v>2015</v>
      </c>
      <c r="H1543">
        <v>6.1</v>
      </c>
    </row>
    <row r="1544" spans="1:8" x14ac:dyDescent="0.25">
      <c r="A1544">
        <v>106</v>
      </c>
      <c r="B1544">
        <v>11854694</v>
      </c>
      <c r="C1544" t="s">
        <v>1517</v>
      </c>
      <c r="D1544" t="s">
        <v>1</v>
      </c>
      <c r="E1544" t="s">
        <v>2</v>
      </c>
      <c r="F1544">
        <v>31000000</v>
      </c>
      <c r="G1544">
        <v>2010</v>
      </c>
      <c r="H1544">
        <v>6.5</v>
      </c>
    </row>
    <row r="1545" spans="1:8" x14ac:dyDescent="0.25">
      <c r="A1545">
        <v>115</v>
      </c>
      <c r="B1545">
        <v>2840417</v>
      </c>
      <c r="C1545" t="s">
        <v>2014</v>
      </c>
      <c r="D1545" t="s">
        <v>1</v>
      </c>
      <c r="E1545" t="s">
        <v>38</v>
      </c>
      <c r="F1545">
        <v>31000000</v>
      </c>
      <c r="G1545">
        <v>1999</v>
      </c>
      <c r="H1545">
        <v>6.8</v>
      </c>
    </row>
    <row r="1546" spans="1:8" x14ac:dyDescent="0.25">
      <c r="A1546">
        <v>80</v>
      </c>
      <c r="B1546">
        <v>84961</v>
      </c>
      <c r="C1546" t="s">
        <v>1124</v>
      </c>
      <c r="D1546" t="s">
        <v>326</v>
      </c>
      <c r="E1546" t="s">
        <v>142</v>
      </c>
      <c r="F1546">
        <v>31000000</v>
      </c>
      <c r="G1546">
        <v>2002</v>
      </c>
      <c r="H1546">
        <v>7.9</v>
      </c>
    </row>
    <row r="1547" spans="1:8" x14ac:dyDescent="0.25">
      <c r="A1547">
        <v>100</v>
      </c>
      <c r="B1547">
        <v>1196752</v>
      </c>
      <c r="C1547" t="s">
        <v>3194</v>
      </c>
      <c r="D1547" t="s">
        <v>3195</v>
      </c>
      <c r="E1547" t="s">
        <v>2380</v>
      </c>
      <c r="F1547">
        <v>30300000</v>
      </c>
      <c r="G1547">
        <v>2011</v>
      </c>
      <c r="H1547">
        <v>7.6</v>
      </c>
    </row>
    <row r="1548" spans="1:8" x14ac:dyDescent="0.25">
      <c r="A1548">
        <v>105</v>
      </c>
      <c r="B1548">
        <v>72077000</v>
      </c>
      <c r="C1548" t="s">
        <v>1510</v>
      </c>
      <c r="D1548" t="s">
        <v>1</v>
      </c>
      <c r="E1548" t="s">
        <v>2</v>
      </c>
      <c r="F1548">
        <v>30250000</v>
      </c>
      <c r="G1548">
        <v>1995</v>
      </c>
      <c r="H1548">
        <v>6.9</v>
      </c>
    </row>
    <row r="1549" spans="1:8" x14ac:dyDescent="0.25">
      <c r="A1549">
        <v>103</v>
      </c>
      <c r="B1549">
        <v>25472967</v>
      </c>
      <c r="C1549" t="s">
        <v>776</v>
      </c>
      <c r="D1549" t="s">
        <v>1</v>
      </c>
      <c r="E1549" t="s">
        <v>2</v>
      </c>
      <c r="F1549">
        <v>30000000</v>
      </c>
      <c r="G1549">
        <v>2005</v>
      </c>
      <c r="H1549">
        <v>5.6</v>
      </c>
    </row>
    <row r="1550" spans="1:8" x14ac:dyDescent="0.25">
      <c r="A1550">
        <v>111</v>
      </c>
      <c r="B1550">
        <v>70098138</v>
      </c>
      <c r="C1550" t="s">
        <v>824</v>
      </c>
      <c r="D1550" t="s">
        <v>1</v>
      </c>
      <c r="E1550" t="s">
        <v>2</v>
      </c>
      <c r="F1550">
        <v>30000000</v>
      </c>
      <c r="G1550">
        <v>2003</v>
      </c>
      <c r="H1550">
        <v>8.1</v>
      </c>
    </row>
    <row r="1551" spans="1:8" x14ac:dyDescent="0.25">
      <c r="A1551">
        <v>137</v>
      </c>
      <c r="B1551">
        <v>66207920</v>
      </c>
      <c r="C1551" t="s">
        <v>826</v>
      </c>
      <c r="D1551" t="s">
        <v>1</v>
      </c>
      <c r="E1551" t="s">
        <v>2</v>
      </c>
      <c r="F1551">
        <v>30000000</v>
      </c>
      <c r="G1551">
        <v>2004</v>
      </c>
      <c r="H1551">
        <v>8</v>
      </c>
    </row>
    <row r="1552" spans="1:8" x14ac:dyDescent="0.25">
      <c r="A1552">
        <v>136</v>
      </c>
      <c r="B1552">
        <v>67253092</v>
      </c>
      <c r="C1552" t="s">
        <v>1046</v>
      </c>
      <c r="D1552" t="s">
        <v>1</v>
      </c>
      <c r="E1552" t="s">
        <v>2</v>
      </c>
      <c r="F1552">
        <v>30000000</v>
      </c>
      <c r="G1552">
        <v>2005</v>
      </c>
      <c r="H1552">
        <v>7.2</v>
      </c>
    </row>
    <row r="1553" spans="1:8" x14ac:dyDescent="0.25">
      <c r="A1553">
        <v>113</v>
      </c>
      <c r="B1553">
        <v>61094903</v>
      </c>
      <c r="C1553" t="s">
        <v>1181</v>
      </c>
      <c r="D1553" t="s">
        <v>1</v>
      </c>
      <c r="E1553" t="s">
        <v>5</v>
      </c>
      <c r="F1553">
        <v>30000000</v>
      </c>
      <c r="G1553">
        <v>2011</v>
      </c>
      <c r="H1553">
        <v>6.9</v>
      </c>
    </row>
    <row r="1554" spans="1:8" x14ac:dyDescent="0.25">
      <c r="A1554">
        <v>130</v>
      </c>
      <c r="B1554">
        <v>51185897</v>
      </c>
      <c r="C1554" t="s">
        <v>1187</v>
      </c>
      <c r="D1554" t="s">
        <v>1</v>
      </c>
      <c r="E1554" t="s">
        <v>5</v>
      </c>
      <c r="F1554">
        <v>30000000</v>
      </c>
      <c r="G1554">
        <v>1987</v>
      </c>
      <c r="H1554">
        <v>6.7</v>
      </c>
    </row>
    <row r="1555" spans="1:8" x14ac:dyDescent="0.25">
      <c r="A1555">
        <v>104</v>
      </c>
      <c r="B1555">
        <v>42071069</v>
      </c>
      <c r="C1555" t="s">
        <v>1213</v>
      </c>
      <c r="D1555" t="s">
        <v>1</v>
      </c>
      <c r="E1555" t="s">
        <v>2</v>
      </c>
      <c r="F1555">
        <v>30000000</v>
      </c>
      <c r="G1555">
        <v>2005</v>
      </c>
      <c r="H1555">
        <v>6.2</v>
      </c>
    </row>
    <row r="1556" spans="1:8" x14ac:dyDescent="0.25">
      <c r="A1556">
        <v>91</v>
      </c>
      <c r="B1556">
        <v>14018364</v>
      </c>
      <c r="C1556" t="s">
        <v>1247</v>
      </c>
      <c r="D1556" t="s">
        <v>1</v>
      </c>
      <c r="E1556" t="s">
        <v>2</v>
      </c>
      <c r="F1556">
        <v>30000000</v>
      </c>
      <c r="G1556">
        <v>2004</v>
      </c>
      <c r="H1556">
        <v>4.8</v>
      </c>
    </row>
    <row r="1557" spans="1:8" x14ac:dyDescent="0.25">
      <c r="A1557">
        <v>111</v>
      </c>
      <c r="B1557">
        <v>2869369</v>
      </c>
      <c r="C1557" t="s">
        <v>1268</v>
      </c>
      <c r="D1557" t="s">
        <v>1</v>
      </c>
      <c r="E1557" t="s">
        <v>5</v>
      </c>
      <c r="F1557">
        <v>30000000</v>
      </c>
      <c r="G1557">
        <v>1994</v>
      </c>
      <c r="H1557">
        <v>7.3</v>
      </c>
    </row>
    <row r="1558" spans="1:8" x14ac:dyDescent="0.25">
      <c r="A1558">
        <v>94</v>
      </c>
      <c r="B1558">
        <v>71038190</v>
      </c>
      <c r="C1558" t="s">
        <v>1293</v>
      </c>
      <c r="D1558" t="s">
        <v>1</v>
      </c>
      <c r="E1558" t="s">
        <v>2</v>
      </c>
      <c r="F1558">
        <v>30000000</v>
      </c>
      <c r="G1558">
        <v>2015</v>
      </c>
      <c r="H1558">
        <v>4.4000000000000004</v>
      </c>
    </row>
    <row r="1559" spans="1:8" x14ac:dyDescent="0.25">
      <c r="A1559">
        <v>98</v>
      </c>
      <c r="B1559">
        <v>43894863</v>
      </c>
      <c r="C1559" t="s">
        <v>1377</v>
      </c>
      <c r="D1559" t="s">
        <v>1</v>
      </c>
      <c r="E1559" t="s">
        <v>2</v>
      </c>
      <c r="F1559">
        <v>30000000</v>
      </c>
      <c r="G1559">
        <v>2005</v>
      </c>
      <c r="H1559">
        <v>5.9</v>
      </c>
    </row>
    <row r="1560" spans="1:8" x14ac:dyDescent="0.25">
      <c r="A1560">
        <v>101</v>
      </c>
      <c r="B1560">
        <v>37617947</v>
      </c>
      <c r="C1560" t="s">
        <v>1389</v>
      </c>
      <c r="D1560" t="s">
        <v>1</v>
      </c>
      <c r="E1560" t="s">
        <v>2</v>
      </c>
      <c r="F1560">
        <v>30000000</v>
      </c>
      <c r="G1560">
        <v>2006</v>
      </c>
      <c r="H1560">
        <v>6.8</v>
      </c>
    </row>
    <row r="1561" spans="1:8" x14ac:dyDescent="0.25">
      <c r="A1561">
        <v>108</v>
      </c>
      <c r="B1561">
        <v>32048809</v>
      </c>
      <c r="C1561" t="s">
        <v>1390</v>
      </c>
      <c r="D1561" t="s">
        <v>1</v>
      </c>
      <c r="E1561" t="s">
        <v>55</v>
      </c>
      <c r="F1561">
        <v>30000000</v>
      </c>
      <c r="G1561">
        <v>2005</v>
      </c>
      <c r="H1561">
        <v>5.3</v>
      </c>
    </row>
    <row r="1562" spans="1:8" x14ac:dyDescent="0.25">
      <c r="A1562">
        <v>155</v>
      </c>
      <c r="B1562">
        <v>25078937</v>
      </c>
      <c r="C1562" t="s">
        <v>1400</v>
      </c>
      <c r="D1562" t="s">
        <v>1</v>
      </c>
      <c r="E1562" t="s">
        <v>2</v>
      </c>
      <c r="F1562">
        <v>30000000</v>
      </c>
      <c r="G1562">
        <v>1997</v>
      </c>
      <c r="H1562">
        <v>6.6</v>
      </c>
    </row>
    <row r="1563" spans="1:8" x14ac:dyDescent="0.25">
      <c r="A1563">
        <v>108</v>
      </c>
      <c r="B1563">
        <v>20981633</v>
      </c>
      <c r="C1563" t="s">
        <v>1403</v>
      </c>
      <c r="D1563" t="s">
        <v>1</v>
      </c>
      <c r="E1563" t="s">
        <v>2</v>
      </c>
      <c r="F1563">
        <v>30000000</v>
      </c>
      <c r="G1563">
        <v>2008</v>
      </c>
      <c r="H1563">
        <v>5.9</v>
      </c>
    </row>
    <row r="1564" spans="1:8" x14ac:dyDescent="0.25">
      <c r="A1564">
        <v>139</v>
      </c>
      <c r="B1564">
        <v>32000000</v>
      </c>
      <c r="C1564" t="s">
        <v>1443</v>
      </c>
      <c r="D1564" t="s">
        <v>1</v>
      </c>
      <c r="E1564" t="s">
        <v>2</v>
      </c>
      <c r="F1564">
        <v>30000000</v>
      </c>
      <c r="G1564">
        <v>1993</v>
      </c>
      <c r="H1564">
        <v>7.2</v>
      </c>
    </row>
    <row r="1565" spans="1:8" x14ac:dyDescent="0.25">
      <c r="A1565">
        <v>99</v>
      </c>
      <c r="B1565">
        <v>117559438</v>
      </c>
      <c r="C1565" t="s">
        <v>1455</v>
      </c>
      <c r="D1565" t="s">
        <v>1</v>
      </c>
      <c r="E1565" t="s">
        <v>2</v>
      </c>
      <c r="F1565">
        <v>30000000</v>
      </c>
      <c r="G1565">
        <v>2000</v>
      </c>
      <c r="H1565">
        <v>5.0999999999999996</v>
      </c>
    </row>
    <row r="1566" spans="1:8" x14ac:dyDescent="0.25">
      <c r="A1566">
        <v>89</v>
      </c>
      <c r="B1566">
        <v>21426805</v>
      </c>
      <c r="C1566" t="s">
        <v>1457</v>
      </c>
      <c r="D1566" t="s">
        <v>1</v>
      </c>
      <c r="E1566" t="s">
        <v>2</v>
      </c>
      <c r="F1566">
        <v>30000000</v>
      </c>
      <c r="G1566">
        <v>2011</v>
      </c>
      <c r="H1566">
        <v>4.9000000000000004</v>
      </c>
    </row>
    <row r="1567" spans="1:8" x14ac:dyDescent="0.25">
      <c r="A1567">
        <v>94</v>
      </c>
      <c r="B1567">
        <v>17120019</v>
      </c>
      <c r="C1567" t="s">
        <v>1463</v>
      </c>
      <c r="D1567" t="s">
        <v>1</v>
      </c>
      <c r="E1567" t="s">
        <v>2</v>
      </c>
      <c r="F1567">
        <v>30000000</v>
      </c>
      <c r="G1567">
        <v>2012</v>
      </c>
      <c r="H1567">
        <v>6.5</v>
      </c>
    </row>
    <row r="1568" spans="1:8" x14ac:dyDescent="0.25">
      <c r="A1568">
        <v>113</v>
      </c>
      <c r="B1568">
        <v>10955425</v>
      </c>
      <c r="C1568" t="s">
        <v>1466</v>
      </c>
      <c r="D1568" t="s">
        <v>1</v>
      </c>
      <c r="E1568" t="s">
        <v>5</v>
      </c>
      <c r="F1568">
        <v>30000000</v>
      </c>
      <c r="G1568">
        <v>2008</v>
      </c>
      <c r="H1568">
        <v>6</v>
      </c>
    </row>
    <row r="1569" spans="1:8" x14ac:dyDescent="0.25">
      <c r="A1569">
        <v>110</v>
      </c>
      <c r="B1569">
        <v>4357000</v>
      </c>
      <c r="C1569" t="s">
        <v>1493</v>
      </c>
      <c r="D1569" t="s">
        <v>1</v>
      </c>
      <c r="E1569" t="s">
        <v>2</v>
      </c>
      <c r="F1569">
        <v>30000000</v>
      </c>
      <c r="G1569">
        <v>1996</v>
      </c>
      <c r="H1569">
        <v>5.3</v>
      </c>
    </row>
    <row r="1570" spans="1:8" x14ac:dyDescent="0.25">
      <c r="A1570">
        <v>100</v>
      </c>
      <c r="B1570">
        <v>22525921</v>
      </c>
      <c r="C1570" t="s">
        <v>1494</v>
      </c>
      <c r="D1570" t="s">
        <v>1</v>
      </c>
      <c r="E1570" t="s">
        <v>2</v>
      </c>
      <c r="F1570">
        <v>30000000</v>
      </c>
      <c r="G1570">
        <v>2013</v>
      </c>
      <c r="H1570">
        <v>5.9</v>
      </c>
    </row>
    <row r="1571" spans="1:8" x14ac:dyDescent="0.25">
      <c r="A1571">
        <v>108</v>
      </c>
      <c r="B1571">
        <v>145096820</v>
      </c>
      <c r="C1571" t="s">
        <v>1513</v>
      </c>
      <c r="D1571" t="s">
        <v>1</v>
      </c>
      <c r="E1571" t="s">
        <v>2</v>
      </c>
      <c r="F1571">
        <v>30000000</v>
      </c>
      <c r="G1571">
        <v>2001</v>
      </c>
      <c r="H1571">
        <v>6.4</v>
      </c>
    </row>
    <row r="1572" spans="1:8" x14ac:dyDescent="0.25">
      <c r="A1572">
        <v>74</v>
      </c>
      <c r="B1572">
        <v>191796233</v>
      </c>
      <c r="C1572" t="s">
        <v>1514</v>
      </c>
      <c r="D1572" t="s">
        <v>1</v>
      </c>
      <c r="E1572" t="s">
        <v>2</v>
      </c>
      <c r="F1572">
        <v>30000000</v>
      </c>
      <c r="G1572">
        <v>1995</v>
      </c>
      <c r="H1572">
        <v>8.3000000000000007</v>
      </c>
    </row>
    <row r="1573" spans="1:8" x14ac:dyDescent="0.25">
      <c r="A1573">
        <v>104</v>
      </c>
      <c r="B1573">
        <v>125014030</v>
      </c>
      <c r="C1573" t="s">
        <v>1516</v>
      </c>
      <c r="D1573" t="s">
        <v>1</v>
      </c>
      <c r="E1573" t="s">
        <v>2</v>
      </c>
      <c r="F1573">
        <v>30000000</v>
      </c>
      <c r="G1573">
        <v>2012</v>
      </c>
      <c r="H1573">
        <v>6.8</v>
      </c>
    </row>
    <row r="1574" spans="1:8" x14ac:dyDescent="0.25">
      <c r="A1574">
        <v>120</v>
      </c>
      <c r="B1574">
        <v>115648585</v>
      </c>
      <c r="C1574" t="s">
        <v>1518</v>
      </c>
      <c r="D1574" t="s">
        <v>1</v>
      </c>
      <c r="E1574" t="s">
        <v>2</v>
      </c>
      <c r="F1574">
        <v>30000000</v>
      </c>
      <c r="G1574">
        <v>2000</v>
      </c>
      <c r="H1574">
        <v>7.8</v>
      </c>
    </row>
    <row r="1575" spans="1:8" x14ac:dyDescent="0.25">
      <c r="A1575">
        <v>135</v>
      </c>
      <c r="B1575">
        <v>122012643</v>
      </c>
      <c r="C1575" t="s">
        <v>1519</v>
      </c>
      <c r="D1575" t="s">
        <v>1</v>
      </c>
      <c r="E1575" t="s">
        <v>2</v>
      </c>
      <c r="F1575">
        <v>30000000</v>
      </c>
      <c r="G1575">
        <v>1990</v>
      </c>
      <c r="H1575">
        <v>7.6</v>
      </c>
    </row>
    <row r="1576" spans="1:8" x14ac:dyDescent="0.25">
      <c r="A1576">
        <v>132</v>
      </c>
      <c r="B1576">
        <v>116631310</v>
      </c>
      <c r="C1576" t="s">
        <v>1520</v>
      </c>
      <c r="D1576" t="s">
        <v>1</v>
      </c>
      <c r="E1576" t="s">
        <v>2</v>
      </c>
      <c r="F1576">
        <v>30000000</v>
      </c>
      <c r="G1576">
        <v>2013</v>
      </c>
      <c r="H1576">
        <v>7.2</v>
      </c>
    </row>
    <row r="1577" spans="1:8" x14ac:dyDescent="0.25">
      <c r="A1577">
        <v>90</v>
      </c>
      <c r="B1577">
        <v>108360000</v>
      </c>
      <c r="C1577" t="s">
        <v>1523</v>
      </c>
      <c r="D1577" t="s">
        <v>1</v>
      </c>
      <c r="E1577" t="s">
        <v>2</v>
      </c>
      <c r="F1577">
        <v>30000000</v>
      </c>
      <c r="G1577">
        <v>1995</v>
      </c>
      <c r="H1577">
        <v>6.3</v>
      </c>
    </row>
    <row r="1578" spans="1:8" x14ac:dyDescent="0.25">
      <c r="A1578">
        <v>112</v>
      </c>
      <c r="B1578">
        <v>115646235</v>
      </c>
      <c r="C1578" t="s">
        <v>1527</v>
      </c>
      <c r="D1578" t="s">
        <v>1</v>
      </c>
      <c r="E1578" t="s">
        <v>1528</v>
      </c>
      <c r="F1578">
        <v>30000000</v>
      </c>
      <c r="G1578">
        <v>2009</v>
      </c>
      <c r="H1578">
        <v>8</v>
      </c>
    </row>
    <row r="1579" spans="1:8" x14ac:dyDescent="0.25">
      <c r="A1579">
        <v>87</v>
      </c>
      <c r="B1579">
        <v>85416609</v>
      </c>
      <c r="C1579" t="s">
        <v>1529</v>
      </c>
      <c r="D1579" t="s">
        <v>1</v>
      </c>
      <c r="E1579" t="s">
        <v>2</v>
      </c>
      <c r="F1579">
        <v>30000000</v>
      </c>
      <c r="G1579">
        <v>2004</v>
      </c>
      <c r="H1579">
        <v>7</v>
      </c>
    </row>
    <row r="1580" spans="1:8" x14ac:dyDescent="0.25">
      <c r="A1580">
        <v>132</v>
      </c>
      <c r="B1580">
        <v>100422786</v>
      </c>
      <c r="C1580" t="s">
        <v>1531</v>
      </c>
      <c r="D1580" t="s">
        <v>1</v>
      </c>
      <c r="E1580" t="s">
        <v>2</v>
      </c>
      <c r="F1580">
        <v>30000000</v>
      </c>
      <c r="G1580">
        <v>2004</v>
      </c>
      <c r="H1580">
        <v>8.1</v>
      </c>
    </row>
    <row r="1581" spans="1:8" x14ac:dyDescent="0.25">
      <c r="A1581">
        <v>103</v>
      </c>
      <c r="B1581">
        <v>106694016</v>
      </c>
      <c r="C1581" t="s">
        <v>1532</v>
      </c>
      <c r="D1581" t="s">
        <v>1</v>
      </c>
      <c r="E1581" t="s">
        <v>2</v>
      </c>
      <c r="F1581">
        <v>30000000</v>
      </c>
      <c r="G1581">
        <v>1999</v>
      </c>
      <c r="H1581">
        <v>6.7</v>
      </c>
    </row>
    <row r="1582" spans="1:8" x14ac:dyDescent="0.25">
      <c r="A1582">
        <v>111</v>
      </c>
      <c r="B1582">
        <v>76806312</v>
      </c>
      <c r="C1582" t="s">
        <v>1534</v>
      </c>
      <c r="D1582" t="s">
        <v>1</v>
      </c>
      <c r="E1582" t="s">
        <v>2</v>
      </c>
      <c r="F1582">
        <v>30000000</v>
      </c>
      <c r="G1582">
        <v>2008</v>
      </c>
      <c r="H1582">
        <v>6.1</v>
      </c>
    </row>
    <row r="1583" spans="1:8" x14ac:dyDescent="0.25">
      <c r="A1583">
        <v>102</v>
      </c>
      <c r="B1583">
        <v>79566871</v>
      </c>
      <c r="C1583" t="s">
        <v>1535</v>
      </c>
      <c r="D1583" t="s">
        <v>1</v>
      </c>
      <c r="E1583" t="s">
        <v>2</v>
      </c>
      <c r="F1583">
        <v>30000000</v>
      </c>
      <c r="G1583">
        <v>2009</v>
      </c>
      <c r="H1583">
        <v>4.2</v>
      </c>
    </row>
    <row r="1584" spans="1:8" x14ac:dyDescent="0.25">
      <c r="A1584">
        <v>78</v>
      </c>
      <c r="B1584">
        <v>76501438</v>
      </c>
      <c r="C1584" t="s">
        <v>1536</v>
      </c>
      <c r="D1584" t="s">
        <v>1</v>
      </c>
      <c r="E1584" t="s">
        <v>119</v>
      </c>
      <c r="F1584">
        <v>30000000</v>
      </c>
      <c r="G1584">
        <v>2000</v>
      </c>
      <c r="H1584">
        <v>6.1</v>
      </c>
    </row>
    <row r="1585" spans="1:8" x14ac:dyDescent="0.25">
      <c r="A1585">
        <v>132</v>
      </c>
      <c r="B1585">
        <v>74787599</v>
      </c>
      <c r="C1585" t="s">
        <v>1537</v>
      </c>
      <c r="D1585" t="s">
        <v>1</v>
      </c>
      <c r="E1585" t="s">
        <v>2</v>
      </c>
      <c r="F1585">
        <v>30000000</v>
      </c>
      <c r="G1585">
        <v>1991</v>
      </c>
      <c r="H1585">
        <v>6.6</v>
      </c>
    </row>
    <row r="1586" spans="1:8" x14ac:dyDescent="0.25">
      <c r="A1586">
        <v>133</v>
      </c>
      <c r="B1586">
        <v>66528842</v>
      </c>
      <c r="C1586" t="s">
        <v>1538</v>
      </c>
      <c r="D1586" t="s">
        <v>1</v>
      </c>
      <c r="E1586" t="s">
        <v>2</v>
      </c>
      <c r="F1586">
        <v>30000000</v>
      </c>
      <c r="G1586">
        <v>1994</v>
      </c>
      <c r="H1586">
        <v>7.5</v>
      </c>
    </row>
    <row r="1587" spans="1:8" x14ac:dyDescent="0.25">
      <c r="A1587">
        <v>125</v>
      </c>
      <c r="B1587">
        <v>65010106</v>
      </c>
      <c r="C1587" t="s">
        <v>1540</v>
      </c>
      <c r="D1587" t="s">
        <v>1</v>
      </c>
      <c r="E1587" t="s">
        <v>2</v>
      </c>
      <c r="F1587">
        <v>30000000</v>
      </c>
      <c r="G1587">
        <v>2002</v>
      </c>
      <c r="H1587">
        <v>7.2</v>
      </c>
    </row>
    <row r="1588" spans="1:8" x14ac:dyDescent="0.25">
      <c r="A1588">
        <v>119</v>
      </c>
      <c r="B1588">
        <v>66468315</v>
      </c>
      <c r="C1588" t="s">
        <v>1542</v>
      </c>
      <c r="D1588" t="s">
        <v>1</v>
      </c>
      <c r="E1588" t="s">
        <v>2</v>
      </c>
      <c r="F1588">
        <v>30000000</v>
      </c>
      <c r="G1588">
        <v>2012</v>
      </c>
      <c r="H1588">
        <v>7.4</v>
      </c>
    </row>
    <row r="1589" spans="1:8" x14ac:dyDescent="0.25">
      <c r="A1589">
        <v>87</v>
      </c>
      <c r="B1589">
        <v>64172251</v>
      </c>
      <c r="C1589" t="s">
        <v>1543</v>
      </c>
      <c r="D1589" t="s">
        <v>1</v>
      </c>
      <c r="E1589" t="s">
        <v>2</v>
      </c>
      <c r="F1589">
        <v>30000000</v>
      </c>
      <c r="G1589">
        <v>2001</v>
      </c>
      <c r="H1589">
        <v>5.4</v>
      </c>
    </row>
    <row r="1590" spans="1:8" x14ac:dyDescent="0.25">
      <c r="A1590">
        <v>91</v>
      </c>
      <c r="B1590">
        <v>66600000</v>
      </c>
      <c r="C1590" t="s">
        <v>1544</v>
      </c>
      <c r="D1590" t="s">
        <v>1</v>
      </c>
      <c r="E1590" t="s">
        <v>55</v>
      </c>
      <c r="F1590">
        <v>30000000</v>
      </c>
      <c r="G1590">
        <v>1995</v>
      </c>
      <c r="H1590">
        <v>6.8</v>
      </c>
    </row>
    <row r="1591" spans="1:8" x14ac:dyDescent="0.25">
      <c r="A1591">
        <v>100</v>
      </c>
      <c r="B1591">
        <v>63536011</v>
      </c>
      <c r="C1591" t="s">
        <v>1545</v>
      </c>
      <c r="D1591" t="s">
        <v>1</v>
      </c>
      <c r="E1591" t="s">
        <v>2</v>
      </c>
      <c r="F1591">
        <v>30000000</v>
      </c>
      <c r="G1591">
        <v>2012</v>
      </c>
      <c r="H1591">
        <v>6.3</v>
      </c>
    </row>
    <row r="1592" spans="1:8" x14ac:dyDescent="0.25">
      <c r="A1592">
        <v>118</v>
      </c>
      <c r="B1592">
        <v>62877175</v>
      </c>
      <c r="C1592" t="s">
        <v>1546</v>
      </c>
      <c r="D1592" t="s">
        <v>1</v>
      </c>
      <c r="E1592" t="s">
        <v>2</v>
      </c>
      <c r="F1592">
        <v>30000000</v>
      </c>
      <c r="G1592">
        <v>2008</v>
      </c>
      <c r="H1592">
        <v>7.2</v>
      </c>
    </row>
    <row r="1593" spans="1:8" x14ac:dyDescent="0.25">
      <c r="A1593">
        <v>99</v>
      </c>
      <c r="B1593">
        <v>60269340</v>
      </c>
      <c r="C1593" t="s">
        <v>1548</v>
      </c>
      <c r="D1593" t="s">
        <v>1</v>
      </c>
      <c r="E1593" t="s">
        <v>2</v>
      </c>
      <c r="F1593">
        <v>30000000</v>
      </c>
      <c r="G1593">
        <v>2008</v>
      </c>
      <c r="H1593">
        <v>6</v>
      </c>
    </row>
    <row r="1594" spans="1:8" x14ac:dyDescent="0.25">
      <c r="A1594">
        <v>114</v>
      </c>
      <c r="B1594">
        <v>60033780</v>
      </c>
      <c r="C1594" t="s">
        <v>1549</v>
      </c>
      <c r="D1594" t="s">
        <v>1</v>
      </c>
      <c r="E1594" t="s">
        <v>2</v>
      </c>
      <c r="F1594">
        <v>30000000</v>
      </c>
      <c r="G1594">
        <v>1998</v>
      </c>
      <c r="H1594">
        <v>5.9</v>
      </c>
    </row>
    <row r="1595" spans="1:8" x14ac:dyDescent="0.25">
      <c r="A1595">
        <v>89</v>
      </c>
      <c r="B1595">
        <v>58715510</v>
      </c>
      <c r="C1595" t="s">
        <v>1550</v>
      </c>
      <c r="D1595" t="s">
        <v>1</v>
      </c>
      <c r="E1595" t="s">
        <v>2</v>
      </c>
      <c r="F1595">
        <v>30000000</v>
      </c>
      <c r="G1595">
        <v>2009</v>
      </c>
      <c r="H1595">
        <v>5.4</v>
      </c>
    </row>
    <row r="1596" spans="1:8" x14ac:dyDescent="0.25">
      <c r="A1596">
        <v>124</v>
      </c>
      <c r="B1596">
        <v>52937130</v>
      </c>
      <c r="C1596" t="s">
        <v>1555</v>
      </c>
      <c r="D1596" t="s">
        <v>1</v>
      </c>
      <c r="E1596" t="s">
        <v>2</v>
      </c>
      <c r="F1596">
        <v>30000000</v>
      </c>
      <c r="G1596">
        <v>2001</v>
      </c>
      <c r="H1596">
        <v>7.6</v>
      </c>
    </row>
    <row r="1597" spans="1:8" x14ac:dyDescent="0.25">
      <c r="A1597">
        <v>99</v>
      </c>
      <c r="B1597">
        <v>51432423</v>
      </c>
      <c r="C1597" t="s">
        <v>1558</v>
      </c>
      <c r="D1597" t="s">
        <v>1</v>
      </c>
      <c r="E1597" t="s">
        <v>2</v>
      </c>
      <c r="F1597">
        <v>30000000</v>
      </c>
      <c r="G1597">
        <v>2002</v>
      </c>
      <c r="H1597">
        <v>5.0999999999999996</v>
      </c>
    </row>
    <row r="1598" spans="1:8" x14ac:dyDescent="0.25">
      <c r="A1598">
        <v>83</v>
      </c>
      <c r="B1598">
        <v>51109400</v>
      </c>
      <c r="C1598" t="s">
        <v>1559</v>
      </c>
      <c r="D1598" t="s">
        <v>1</v>
      </c>
      <c r="E1598" t="s">
        <v>2</v>
      </c>
      <c r="F1598">
        <v>30000000</v>
      </c>
      <c r="G1598">
        <v>1994</v>
      </c>
      <c r="H1598">
        <v>6.4</v>
      </c>
    </row>
    <row r="1599" spans="1:8" x14ac:dyDescent="0.25">
      <c r="A1599">
        <v>131</v>
      </c>
      <c r="B1599">
        <v>50300000</v>
      </c>
      <c r="C1599" t="s">
        <v>1560</v>
      </c>
      <c r="D1599" t="s">
        <v>1</v>
      </c>
      <c r="E1599" t="s">
        <v>5</v>
      </c>
      <c r="F1599">
        <v>30000000</v>
      </c>
      <c r="G1599">
        <v>1985</v>
      </c>
      <c r="H1599">
        <v>6.3</v>
      </c>
    </row>
    <row r="1600" spans="1:8" x14ac:dyDescent="0.25">
      <c r="A1600">
        <v>85</v>
      </c>
      <c r="B1600">
        <v>56068547</v>
      </c>
      <c r="C1600" t="s">
        <v>1561</v>
      </c>
      <c r="D1600" t="s">
        <v>1</v>
      </c>
      <c r="E1600" t="s">
        <v>5</v>
      </c>
      <c r="F1600">
        <v>30000000</v>
      </c>
      <c r="G1600">
        <v>2005</v>
      </c>
      <c r="H1600">
        <v>7.5</v>
      </c>
    </row>
    <row r="1601" spans="1:8" x14ac:dyDescent="0.25">
      <c r="A1601">
        <v>126</v>
      </c>
      <c r="B1601">
        <v>53680848</v>
      </c>
      <c r="C1601" t="s">
        <v>1562</v>
      </c>
      <c r="D1601" t="s">
        <v>1</v>
      </c>
      <c r="E1601" t="s">
        <v>2</v>
      </c>
      <c r="F1601">
        <v>30000000</v>
      </c>
      <c r="G1601">
        <v>2007</v>
      </c>
      <c r="H1601">
        <v>7.1</v>
      </c>
    </row>
    <row r="1602" spans="1:8" x14ac:dyDescent="0.25">
      <c r="A1602">
        <v>123</v>
      </c>
      <c r="B1602">
        <v>50921738</v>
      </c>
      <c r="C1602" t="s">
        <v>1563</v>
      </c>
      <c r="D1602" t="s">
        <v>1</v>
      </c>
      <c r="E1602" t="s">
        <v>5</v>
      </c>
      <c r="F1602">
        <v>30000000</v>
      </c>
      <c r="G1602">
        <v>2007</v>
      </c>
      <c r="H1602">
        <v>7.8</v>
      </c>
    </row>
    <row r="1603" spans="1:8" x14ac:dyDescent="0.25">
      <c r="A1603">
        <v>105</v>
      </c>
      <c r="B1603">
        <v>53021560</v>
      </c>
      <c r="C1603" t="s">
        <v>1564</v>
      </c>
      <c r="D1603" t="s">
        <v>1</v>
      </c>
      <c r="E1603" t="s">
        <v>2</v>
      </c>
      <c r="F1603">
        <v>30000000</v>
      </c>
      <c r="G1603">
        <v>2010</v>
      </c>
      <c r="H1603">
        <v>6.5</v>
      </c>
    </row>
    <row r="1604" spans="1:8" x14ac:dyDescent="0.25">
      <c r="A1604">
        <v>125</v>
      </c>
      <c r="B1604">
        <v>45645204</v>
      </c>
      <c r="C1604" t="s">
        <v>1565</v>
      </c>
      <c r="D1604" t="s">
        <v>1</v>
      </c>
      <c r="E1604" t="s">
        <v>2</v>
      </c>
      <c r="F1604">
        <v>30000000</v>
      </c>
      <c r="G1604">
        <v>1989</v>
      </c>
      <c r="H1604">
        <v>6.6</v>
      </c>
    </row>
    <row r="1605" spans="1:8" x14ac:dyDescent="0.25">
      <c r="A1605">
        <v>121</v>
      </c>
      <c r="B1605">
        <v>46875468</v>
      </c>
      <c r="C1605" t="s">
        <v>1567</v>
      </c>
      <c r="D1605" t="s">
        <v>1</v>
      </c>
      <c r="E1605" t="s">
        <v>2</v>
      </c>
      <c r="F1605">
        <v>30000000</v>
      </c>
      <c r="G1605">
        <v>2015</v>
      </c>
      <c r="H1605">
        <v>7.6</v>
      </c>
    </row>
    <row r="1606" spans="1:8" x14ac:dyDescent="0.25">
      <c r="A1606">
        <v>124</v>
      </c>
      <c r="B1606">
        <v>52418902</v>
      </c>
      <c r="C1606" t="s">
        <v>1568</v>
      </c>
      <c r="D1606" t="s">
        <v>1</v>
      </c>
      <c r="E1606" t="s">
        <v>2</v>
      </c>
      <c r="F1606">
        <v>30000000</v>
      </c>
      <c r="G1606">
        <v>2015</v>
      </c>
      <c r="H1606">
        <v>7.5</v>
      </c>
    </row>
    <row r="1607" spans="1:8" x14ac:dyDescent="0.25">
      <c r="A1607">
        <v>99</v>
      </c>
      <c r="B1607">
        <v>42057340</v>
      </c>
      <c r="C1607" t="s">
        <v>1569</v>
      </c>
      <c r="D1607" t="s">
        <v>1</v>
      </c>
      <c r="E1607" t="s">
        <v>2</v>
      </c>
      <c r="F1607">
        <v>30000000</v>
      </c>
      <c r="G1607">
        <v>2009</v>
      </c>
      <c r="H1607">
        <v>6.6</v>
      </c>
    </row>
    <row r="1608" spans="1:8" x14ac:dyDescent="0.25">
      <c r="A1608">
        <v>111</v>
      </c>
      <c r="B1608">
        <v>41407470</v>
      </c>
      <c r="C1608" t="s">
        <v>1571</v>
      </c>
      <c r="D1608" t="s">
        <v>1</v>
      </c>
      <c r="E1608" t="s">
        <v>2</v>
      </c>
      <c r="F1608">
        <v>30000000</v>
      </c>
      <c r="G1608">
        <v>2003</v>
      </c>
      <c r="H1608">
        <v>7.6</v>
      </c>
    </row>
    <row r="1609" spans="1:8" x14ac:dyDescent="0.25">
      <c r="A1609">
        <v>107</v>
      </c>
      <c r="B1609">
        <v>42385520</v>
      </c>
      <c r="C1609" t="s">
        <v>1572</v>
      </c>
      <c r="D1609" t="s">
        <v>1</v>
      </c>
      <c r="E1609" t="s">
        <v>2</v>
      </c>
      <c r="F1609">
        <v>30000000</v>
      </c>
      <c r="G1609">
        <v>2010</v>
      </c>
      <c r="H1609">
        <v>6.2</v>
      </c>
    </row>
    <row r="1610" spans="1:8" x14ac:dyDescent="0.25">
      <c r="A1610">
        <v>104</v>
      </c>
      <c r="B1610">
        <v>40118420</v>
      </c>
      <c r="C1610" t="s">
        <v>1573</v>
      </c>
      <c r="D1610" t="s">
        <v>1</v>
      </c>
      <c r="E1610" t="s">
        <v>2</v>
      </c>
      <c r="F1610">
        <v>30000000</v>
      </c>
      <c r="G1610">
        <v>2002</v>
      </c>
      <c r="H1610">
        <v>5.6</v>
      </c>
    </row>
    <row r="1611" spans="1:8" x14ac:dyDescent="0.25">
      <c r="A1611">
        <v>95</v>
      </c>
      <c r="B1611">
        <v>42043633</v>
      </c>
      <c r="C1611" t="s">
        <v>1576</v>
      </c>
      <c r="D1611" t="s">
        <v>1</v>
      </c>
      <c r="E1611" t="s">
        <v>2</v>
      </c>
      <c r="F1611">
        <v>30000000</v>
      </c>
      <c r="G1611">
        <v>2012</v>
      </c>
      <c r="H1611">
        <v>7</v>
      </c>
    </row>
    <row r="1612" spans="1:8" x14ac:dyDescent="0.25">
      <c r="A1612">
        <v>86</v>
      </c>
      <c r="B1612">
        <v>38232624</v>
      </c>
      <c r="C1612" t="s">
        <v>1577</v>
      </c>
      <c r="D1612" t="s">
        <v>1</v>
      </c>
      <c r="E1612" t="s">
        <v>2</v>
      </c>
      <c r="F1612">
        <v>30000000</v>
      </c>
      <c r="G1612">
        <v>2008</v>
      </c>
      <c r="H1612">
        <v>2.7</v>
      </c>
    </row>
    <row r="1613" spans="1:8" x14ac:dyDescent="0.25">
      <c r="A1613">
        <v>126</v>
      </c>
      <c r="B1613">
        <v>38413606</v>
      </c>
      <c r="C1613" t="s">
        <v>1578</v>
      </c>
      <c r="D1613" t="s">
        <v>1</v>
      </c>
      <c r="E1613" t="s">
        <v>2</v>
      </c>
      <c r="F1613">
        <v>30000000</v>
      </c>
      <c r="G1613">
        <v>1988</v>
      </c>
      <c r="H1613">
        <v>7.6</v>
      </c>
    </row>
    <row r="1614" spans="1:8" x14ac:dyDescent="0.25">
      <c r="A1614">
        <v>111</v>
      </c>
      <c r="B1614">
        <v>40247512</v>
      </c>
      <c r="C1614" t="s">
        <v>1581</v>
      </c>
      <c r="D1614" t="s">
        <v>1</v>
      </c>
      <c r="E1614" t="s">
        <v>2</v>
      </c>
      <c r="F1614">
        <v>30000000</v>
      </c>
      <c r="G1614">
        <v>2011</v>
      </c>
      <c r="H1614">
        <v>6.8</v>
      </c>
    </row>
    <row r="1615" spans="1:8" x14ac:dyDescent="0.25">
      <c r="A1615">
        <v>95</v>
      </c>
      <c r="B1615">
        <v>35927406</v>
      </c>
      <c r="C1615" t="s">
        <v>1582</v>
      </c>
      <c r="D1615" t="s">
        <v>1</v>
      </c>
      <c r="E1615" t="s">
        <v>2</v>
      </c>
      <c r="F1615">
        <v>30000000</v>
      </c>
      <c r="G1615">
        <v>1997</v>
      </c>
      <c r="H1615">
        <v>3.7</v>
      </c>
    </row>
    <row r="1616" spans="1:8" x14ac:dyDescent="0.25">
      <c r="A1616">
        <v>98</v>
      </c>
      <c r="B1616">
        <v>35565975</v>
      </c>
      <c r="C1616" t="s">
        <v>1583</v>
      </c>
      <c r="D1616" t="s">
        <v>1</v>
      </c>
      <c r="E1616" t="s">
        <v>2</v>
      </c>
      <c r="F1616">
        <v>30000000</v>
      </c>
      <c r="G1616">
        <v>2011</v>
      </c>
      <c r="H1616">
        <v>6.1</v>
      </c>
    </row>
    <row r="1617" spans="1:8" x14ac:dyDescent="0.25">
      <c r="A1617">
        <v>100</v>
      </c>
      <c r="B1617">
        <v>35266619</v>
      </c>
      <c r="C1617" t="s">
        <v>1584</v>
      </c>
      <c r="D1617" t="s">
        <v>1</v>
      </c>
      <c r="E1617" t="s">
        <v>2</v>
      </c>
      <c r="F1617">
        <v>30000000</v>
      </c>
      <c r="G1617">
        <v>2013</v>
      </c>
      <c r="H1617">
        <v>5.9</v>
      </c>
    </row>
    <row r="1618" spans="1:8" x14ac:dyDescent="0.25">
      <c r="A1618">
        <v>118</v>
      </c>
      <c r="B1618">
        <v>34703228</v>
      </c>
      <c r="C1618" t="s">
        <v>1585</v>
      </c>
      <c r="D1618" t="s">
        <v>1</v>
      </c>
      <c r="E1618" t="s">
        <v>2</v>
      </c>
      <c r="F1618">
        <v>30000000</v>
      </c>
      <c r="G1618">
        <v>2006</v>
      </c>
      <c r="H1618">
        <v>6.7</v>
      </c>
    </row>
    <row r="1619" spans="1:8" x14ac:dyDescent="0.25">
      <c r="A1619">
        <v>125</v>
      </c>
      <c r="B1619">
        <v>38432823</v>
      </c>
      <c r="C1619" t="s">
        <v>1586</v>
      </c>
      <c r="D1619" t="s">
        <v>1</v>
      </c>
      <c r="E1619" t="s">
        <v>2</v>
      </c>
      <c r="F1619">
        <v>30000000</v>
      </c>
      <c r="G1619">
        <v>2006</v>
      </c>
      <c r="H1619">
        <v>6.9</v>
      </c>
    </row>
    <row r="1620" spans="1:8" x14ac:dyDescent="0.25">
      <c r="A1620">
        <v>79</v>
      </c>
      <c r="B1620">
        <v>31743332</v>
      </c>
      <c r="C1620" t="s">
        <v>1588</v>
      </c>
      <c r="D1620" t="s">
        <v>1</v>
      </c>
      <c r="E1620" t="s">
        <v>2</v>
      </c>
      <c r="F1620">
        <v>30000000</v>
      </c>
      <c r="G1620">
        <v>2009</v>
      </c>
      <c r="H1620">
        <v>7.1</v>
      </c>
    </row>
    <row r="1621" spans="1:8" x14ac:dyDescent="0.25">
      <c r="A1621">
        <v>106</v>
      </c>
      <c r="B1621">
        <v>32154410</v>
      </c>
      <c r="C1621" t="s">
        <v>1589</v>
      </c>
      <c r="D1621" t="s">
        <v>1</v>
      </c>
      <c r="E1621" t="s">
        <v>2</v>
      </c>
      <c r="F1621">
        <v>30000000</v>
      </c>
      <c r="G1621">
        <v>2013</v>
      </c>
      <c r="H1621">
        <v>7.1</v>
      </c>
    </row>
    <row r="1622" spans="1:8" x14ac:dyDescent="0.25">
      <c r="A1622">
        <v>63</v>
      </c>
      <c r="B1622">
        <v>26687172</v>
      </c>
      <c r="C1622" t="s">
        <v>1590</v>
      </c>
      <c r="D1622" t="s">
        <v>1</v>
      </c>
      <c r="E1622" t="s">
        <v>2</v>
      </c>
      <c r="F1622">
        <v>30000000</v>
      </c>
      <c r="G1622">
        <v>2011</v>
      </c>
      <c r="H1622">
        <v>7.3</v>
      </c>
    </row>
    <row r="1623" spans="1:8" x14ac:dyDescent="0.25">
      <c r="A1623">
        <v>108</v>
      </c>
      <c r="B1623">
        <v>26525834</v>
      </c>
      <c r="C1623" t="s">
        <v>1592</v>
      </c>
      <c r="D1623" t="s">
        <v>1</v>
      </c>
      <c r="E1623" t="s">
        <v>2</v>
      </c>
      <c r="F1623">
        <v>30000000</v>
      </c>
      <c r="G1623">
        <v>1998</v>
      </c>
      <c r="H1623">
        <v>6.8</v>
      </c>
    </row>
    <row r="1624" spans="1:8" x14ac:dyDescent="0.25">
      <c r="A1624">
        <v>139</v>
      </c>
      <c r="B1624">
        <v>30513940</v>
      </c>
      <c r="C1624" t="s">
        <v>1593</v>
      </c>
      <c r="D1624" t="s">
        <v>1</v>
      </c>
      <c r="E1624" t="s">
        <v>2</v>
      </c>
      <c r="F1624">
        <v>30000000</v>
      </c>
      <c r="G1624">
        <v>2014</v>
      </c>
      <c r="H1624">
        <v>6.9</v>
      </c>
    </row>
    <row r="1625" spans="1:8" x14ac:dyDescent="0.25">
      <c r="A1625">
        <v>127</v>
      </c>
      <c r="B1625">
        <v>23209440</v>
      </c>
      <c r="C1625" t="s">
        <v>1594</v>
      </c>
      <c r="D1625" t="s">
        <v>1</v>
      </c>
      <c r="E1625" t="s">
        <v>2</v>
      </c>
      <c r="F1625">
        <v>30000000</v>
      </c>
      <c r="G1625">
        <v>1998</v>
      </c>
      <c r="H1625">
        <v>7</v>
      </c>
    </row>
    <row r="1626" spans="1:8" x14ac:dyDescent="0.25">
      <c r="A1626">
        <v>106</v>
      </c>
      <c r="B1626">
        <v>24048000</v>
      </c>
      <c r="C1626" t="s">
        <v>1595</v>
      </c>
      <c r="D1626" t="s">
        <v>1</v>
      </c>
      <c r="E1626" t="s">
        <v>2</v>
      </c>
      <c r="F1626">
        <v>30000000</v>
      </c>
      <c r="G1626">
        <v>1995</v>
      </c>
      <c r="H1626">
        <v>5.5</v>
      </c>
    </row>
    <row r="1627" spans="1:8" x14ac:dyDescent="0.25">
      <c r="A1627">
        <v>95</v>
      </c>
      <c r="B1627">
        <v>22526144</v>
      </c>
      <c r="C1627" t="s">
        <v>1596</v>
      </c>
      <c r="D1627" t="s">
        <v>1</v>
      </c>
      <c r="E1627" t="s">
        <v>2</v>
      </c>
      <c r="F1627">
        <v>30000000</v>
      </c>
      <c r="G1627">
        <v>2006</v>
      </c>
      <c r="H1627">
        <v>5.0999999999999996</v>
      </c>
    </row>
    <row r="1628" spans="1:8" x14ac:dyDescent="0.25">
      <c r="A1628">
        <v>118</v>
      </c>
      <c r="B1628">
        <v>30523568</v>
      </c>
      <c r="C1628" t="s">
        <v>1597</v>
      </c>
      <c r="D1628" t="s">
        <v>1</v>
      </c>
      <c r="E1628" t="s">
        <v>2</v>
      </c>
      <c r="F1628">
        <v>30000000</v>
      </c>
      <c r="G1628">
        <v>2014</v>
      </c>
      <c r="H1628">
        <v>6.2</v>
      </c>
    </row>
    <row r="1629" spans="1:8" x14ac:dyDescent="0.25">
      <c r="A1629">
        <v>108</v>
      </c>
      <c r="B1629">
        <v>23070045</v>
      </c>
      <c r="C1629" t="s">
        <v>1598</v>
      </c>
      <c r="D1629" t="s">
        <v>1</v>
      </c>
      <c r="E1629" t="s">
        <v>2</v>
      </c>
      <c r="F1629">
        <v>30000000</v>
      </c>
      <c r="G1629">
        <v>2011</v>
      </c>
      <c r="H1629">
        <v>5.9</v>
      </c>
    </row>
    <row r="1630" spans="1:8" x14ac:dyDescent="0.25">
      <c r="A1630">
        <v>131</v>
      </c>
      <c r="B1630">
        <v>28644770</v>
      </c>
      <c r="C1630" t="s">
        <v>1600</v>
      </c>
      <c r="D1630" t="s">
        <v>1</v>
      </c>
      <c r="E1630" t="s">
        <v>2</v>
      </c>
      <c r="F1630">
        <v>30000000</v>
      </c>
      <c r="G1630">
        <v>2012</v>
      </c>
      <c r="H1630">
        <v>6.2</v>
      </c>
    </row>
    <row r="1631" spans="1:8" x14ac:dyDescent="0.25">
      <c r="A1631">
        <v>104</v>
      </c>
      <c r="B1631">
        <v>21800302</v>
      </c>
      <c r="C1631" t="s">
        <v>1601</v>
      </c>
      <c r="D1631" t="s">
        <v>1</v>
      </c>
      <c r="E1631" t="s">
        <v>2</v>
      </c>
      <c r="F1631">
        <v>30000000</v>
      </c>
      <c r="G1631">
        <v>2004</v>
      </c>
      <c r="H1631">
        <v>5.5</v>
      </c>
    </row>
    <row r="1632" spans="1:8" x14ac:dyDescent="0.25">
      <c r="A1632">
        <v>94</v>
      </c>
      <c r="B1632">
        <v>18500966</v>
      </c>
      <c r="C1632" t="s">
        <v>1603</v>
      </c>
      <c r="D1632" t="s">
        <v>1</v>
      </c>
      <c r="E1632" t="s">
        <v>2</v>
      </c>
      <c r="F1632">
        <v>30000000</v>
      </c>
      <c r="G1632">
        <v>2006</v>
      </c>
      <c r="H1632">
        <v>4.4000000000000004</v>
      </c>
    </row>
    <row r="1633" spans="1:8" x14ac:dyDescent="0.25">
      <c r="A1633">
        <v>96</v>
      </c>
      <c r="B1633">
        <v>18967571</v>
      </c>
      <c r="C1633" t="s">
        <v>1605</v>
      </c>
      <c r="D1633" t="s">
        <v>1</v>
      </c>
      <c r="E1633" t="s">
        <v>2</v>
      </c>
      <c r="F1633">
        <v>30000000</v>
      </c>
      <c r="G1633">
        <v>1998</v>
      </c>
      <c r="H1633">
        <v>6.1</v>
      </c>
    </row>
    <row r="1634" spans="1:8" x14ac:dyDescent="0.25">
      <c r="A1634">
        <v>99</v>
      </c>
      <c r="B1634">
        <v>17266505</v>
      </c>
      <c r="C1634" t="s">
        <v>1607</v>
      </c>
      <c r="D1634" t="s">
        <v>1</v>
      </c>
      <c r="E1634" t="s">
        <v>2</v>
      </c>
      <c r="F1634">
        <v>30000000</v>
      </c>
      <c r="G1634">
        <v>2002</v>
      </c>
      <c r="H1634">
        <v>5.4</v>
      </c>
    </row>
    <row r="1635" spans="1:8" x14ac:dyDescent="0.25">
      <c r="A1635">
        <v>112</v>
      </c>
      <c r="B1635">
        <v>32357532</v>
      </c>
      <c r="C1635" t="s">
        <v>1608</v>
      </c>
      <c r="D1635" t="s">
        <v>1</v>
      </c>
      <c r="E1635" t="s">
        <v>2</v>
      </c>
      <c r="F1635">
        <v>30000000</v>
      </c>
      <c r="G1635">
        <v>2010</v>
      </c>
      <c r="H1635">
        <v>6.7</v>
      </c>
    </row>
    <row r="1636" spans="1:8" x14ac:dyDescent="0.25">
      <c r="A1636">
        <v>108</v>
      </c>
      <c r="B1636">
        <v>16930884</v>
      </c>
      <c r="C1636" t="s">
        <v>1609</v>
      </c>
      <c r="D1636" t="s">
        <v>1</v>
      </c>
      <c r="E1636" t="s">
        <v>2</v>
      </c>
      <c r="F1636">
        <v>30000000</v>
      </c>
      <c r="G1636">
        <v>2007</v>
      </c>
      <c r="H1636">
        <v>5.9</v>
      </c>
    </row>
    <row r="1637" spans="1:8" x14ac:dyDescent="0.25">
      <c r="A1637">
        <v>130</v>
      </c>
      <c r="B1637">
        <v>15709385</v>
      </c>
      <c r="C1637" t="s">
        <v>1614</v>
      </c>
      <c r="D1637" t="s">
        <v>1</v>
      </c>
      <c r="E1637" t="s">
        <v>2</v>
      </c>
      <c r="F1637">
        <v>30000000</v>
      </c>
      <c r="G1637">
        <v>2008</v>
      </c>
      <c r="H1637">
        <v>6.7</v>
      </c>
    </row>
    <row r="1638" spans="1:8" x14ac:dyDescent="0.25">
      <c r="A1638">
        <v>93</v>
      </c>
      <c r="B1638">
        <v>14888028</v>
      </c>
      <c r="C1638" t="s">
        <v>1615</v>
      </c>
      <c r="D1638" t="s">
        <v>1</v>
      </c>
      <c r="E1638" t="s">
        <v>2</v>
      </c>
      <c r="F1638">
        <v>30000000</v>
      </c>
      <c r="G1638">
        <v>2005</v>
      </c>
      <c r="H1638">
        <v>5.0999999999999996</v>
      </c>
    </row>
    <row r="1639" spans="1:8" x14ac:dyDescent="0.25">
      <c r="A1639">
        <v>96</v>
      </c>
      <c r="B1639">
        <v>14208384</v>
      </c>
      <c r="C1639" t="s">
        <v>1616</v>
      </c>
      <c r="D1639" t="s">
        <v>1</v>
      </c>
      <c r="E1639" t="s">
        <v>2</v>
      </c>
      <c r="F1639">
        <v>30000000</v>
      </c>
      <c r="G1639">
        <v>2003</v>
      </c>
      <c r="H1639">
        <v>5.6</v>
      </c>
    </row>
    <row r="1640" spans="1:8" x14ac:dyDescent="0.25">
      <c r="A1640">
        <v>114</v>
      </c>
      <c r="B1640">
        <v>12831121</v>
      </c>
      <c r="C1640" t="s">
        <v>1617</v>
      </c>
      <c r="D1640" t="s">
        <v>1</v>
      </c>
      <c r="E1640" t="s">
        <v>2</v>
      </c>
      <c r="F1640">
        <v>30000000</v>
      </c>
      <c r="G1640">
        <v>2004</v>
      </c>
      <c r="H1640">
        <v>7</v>
      </c>
    </row>
    <row r="1641" spans="1:8" x14ac:dyDescent="0.25">
      <c r="A1641">
        <v>106</v>
      </c>
      <c r="B1641">
        <v>18298649</v>
      </c>
      <c r="C1641" t="s">
        <v>1618</v>
      </c>
      <c r="D1641" t="s">
        <v>1</v>
      </c>
      <c r="E1641" t="s">
        <v>2</v>
      </c>
      <c r="F1641">
        <v>30000000</v>
      </c>
      <c r="G1641">
        <v>2011</v>
      </c>
      <c r="H1641">
        <v>6.4</v>
      </c>
    </row>
    <row r="1642" spans="1:8" x14ac:dyDescent="0.25">
      <c r="A1642">
        <v>150</v>
      </c>
      <c r="B1642">
        <v>12712093</v>
      </c>
      <c r="C1642" t="s">
        <v>1619</v>
      </c>
      <c r="D1642" t="s">
        <v>1</v>
      </c>
      <c r="E1642" t="s">
        <v>2</v>
      </c>
      <c r="F1642">
        <v>30000000</v>
      </c>
      <c r="G1642">
        <v>2005</v>
      </c>
      <c r="H1642">
        <v>6.7</v>
      </c>
    </row>
    <row r="1643" spans="1:8" x14ac:dyDescent="0.25">
      <c r="A1643">
        <v>100</v>
      </c>
      <c r="B1643">
        <v>11576087</v>
      </c>
      <c r="C1643" t="s">
        <v>1620</v>
      </c>
      <c r="D1643" t="s">
        <v>1</v>
      </c>
      <c r="E1643" t="s">
        <v>2</v>
      </c>
      <c r="F1643">
        <v>30000000</v>
      </c>
      <c r="G1643">
        <v>1999</v>
      </c>
      <c r="H1643">
        <v>4.0999999999999996</v>
      </c>
    </row>
    <row r="1644" spans="1:8" x14ac:dyDescent="0.25">
      <c r="A1644">
        <v>100</v>
      </c>
      <c r="B1644">
        <v>11900000</v>
      </c>
      <c r="C1644" t="s">
        <v>1621</v>
      </c>
      <c r="D1644" t="s">
        <v>1</v>
      </c>
      <c r="E1644" t="s">
        <v>2</v>
      </c>
      <c r="F1644">
        <v>30000000</v>
      </c>
      <c r="G1644">
        <v>1999</v>
      </c>
      <c r="H1644">
        <v>5.5</v>
      </c>
    </row>
    <row r="1645" spans="1:8" x14ac:dyDescent="0.25">
      <c r="A1645">
        <v>86</v>
      </c>
      <c r="B1645">
        <v>10134754</v>
      </c>
      <c r="C1645" t="s">
        <v>1626</v>
      </c>
      <c r="D1645" t="s">
        <v>1</v>
      </c>
      <c r="E1645" t="s">
        <v>2</v>
      </c>
      <c r="F1645">
        <v>30000000</v>
      </c>
      <c r="G1645">
        <v>2011</v>
      </c>
      <c r="H1645">
        <v>4.8</v>
      </c>
    </row>
    <row r="1646" spans="1:8" x14ac:dyDescent="0.25">
      <c r="A1646">
        <v>108</v>
      </c>
      <c r="B1646">
        <v>8535575</v>
      </c>
      <c r="C1646" t="s">
        <v>1627</v>
      </c>
      <c r="D1646" t="s">
        <v>1</v>
      </c>
      <c r="E1646" t="s">
        <v>2</v>
      </c>
      <c r="F1646">
        <v>30000000</v>
      </c>
      <c r="G1646">
        <v>2005</v>
      </c>
      <c r="H1646">
        <v>7</v>
      </c>
    </row>
    <row r="1647" spans="1:8" x14ac:dyDescent="0.25">
      <c r="A1647">
        <v>88</v>
      </c>
      <c r="B1647">
        <v>19316646</v>
      </c>
      <c r="C1647" t="s">
        <v>1631</v>
      </c>
      <c r="D1647" t="s">
        <v>1</v>
      </c>
      <c r="E1647" t="s">
        <v>2</v>
      </c>
      <c r="F1647">
        <v>30000000</v>
      </c>
      <c r="G1647">
        <v>2013</v>
      </c>
      <c r="H1647">
        <v>5.6</v>
      </c>
    </row>
    <row r="1648" spans="1:8" x14ac:dyDescent="0.25">
      <c r="A1648">
        <v>109</v>
      </c>
      <c r="B1648">
        <v>10965209</v>
      </c>
      <c r="C1648" t="s">
        <v>1632</v>
      </c>
      <c r="D1648" t="s">
        <v>1</v>
      </c>
      <c r="E1648" t="s">
        <v>2</v>
      </c>
      <c r="F1648">
        <v>30000000</v>
      </c>
      <c r="G1648">
        <v>2001</v>
      </c>
      <c r="H1648">
        <v>6.1</v>
      </c>
    </row>
    <row r="1649" spans="1:8" x14ac:dyDescent="0.25">
      <c r="A1649">
        <v>251</v>
      </c>
      <c r="B1649">
        <v>5300000</v>
      </c>
      <c r="C1649" t="s">
        <v>1634</v>
      </c>
      <c r="D1649" t="s">
        <v>1</v>
      </c>
      <c r="E1649" t="s">
        <v>1307</v>
      </c>
      <c r="F1649">
        <v>30000000</v>
      </c>
      <c r="G1649">
        <v>1984</v>
      </c>
      <c r="H1649">
        <v>8.4</v>
      </c>
    </row>
    <row r="1650" spans="1:8" x14ac:dyDescent="0.25">
      <c r="A1650">
        <v>118</v>
      </c>
      <c r="B1650">
        <v>10880926</v>
      </c>
      <c r="C1650" t="s">
        <v>1635</v>
      </c>
      <c r="D1650" t="s">
        <v>1</v>
      </c>
      <c r="E1650" t="s">
        <v>2</v>
      </c>
      <c r="F1650">
        <v>30000000</v>
      </c>
      <c r="G1650">
        <v>2013</v>
      </c>
      <c r="H1650">
        <v>6.5</v>
      </c>
    </row>
    <row r="1651" spans="1:8" x14ac:dyDescent="0.25">
      <c r="A1651">
        <v>88</v>
      </c>
      <c r="B1651">
        <v>2975649</v>
      </c>
      <c r="C1651" t="s">
        <v>1638</v>
      </c>
      <c r="D1651" t="s">
        <v>1</v>
      </c>
      <c r="E1651" t="s">
        <v>5</v>
      </c>
      <c r="F1651">
        <v>30000000</v>
      </c>
      <c r="G1651">
        <v>2006</v>
      </c>
      <c r="H1651">
        <v>7</v>
      </c>
    </row>
    <row r="1652" spans="1:8" x14ac:dyDescent="0.25">
      <c r="A1652">
        <v>160</v>
      </c>
      <c r="B1652">
        <v>3904982</v>
      </c>
      <c r="C1652" t="s">
        <v>1641</v>
      </c>
      <c r="D1652" t="s">
        <v>1</v>
      </c>
      <c r="E1652" t="s">
        <v>2</v>
      </c>
      <c r="F1652">
        <v>30000000</v>
      </c>
      <c r="G1652">
        <v>2007</v>
      </c>
      <c r="H1652">
        <v>7.5</v>
      </c>
    </row>
    <row r="1653" spans="1:8" x14ac:dyDescent="0.25">
      <c r="A1653">
        <v>129</v>
      </c>
      <c r="B1653">
        <v>537580</v>
      </c>
      <c r="C1653" t="s">
        <v>1643</v>
      </c>
      <c r="D1653" t="s">
        <v>1</v>
      </c>
      <c r="E1653" t="s">
        <v>2</v>
      </c>
      <c r="F1653">
        <v>30000000</v>
      </c>
      <c r="G1653">
        <v>2011</v>
      </c>
      <c r="H1653">
        <v>6.8</v>
      </c>
    </row>
    <row r="1654" spans="1:8" x14ac:dyDescent="0.25">
      <c r="A1654">
        <v>128</v>
      </c>
      <c r="B1654">
        <v>37036404</v>
      </c>
      <c r="C1654" t="s">
        <v>1647</v>
      </c>
      <c r="D1654" t="s">
        <v>1</v>
      </c>
      <c r="E1654" t="s">
        <v>2</v>
      </c>
      <c r="F1654">
        <v>30000000</v>
      </c>
      <c r="G1654">
        <v>2000</v>
      </c>
      <c r="H1654">
        <v>6.4</v>
      </c>
    </row>
    <row r="1655" spans="1:8" x14ac:dyDescent="0.25">
      <c r="A1655">
        <v>120</v>
      </c>
      <c r="B1655">
        <v>7443007</v>
      </c>
      <c r="C1655" t="s">
        <v>1666</v>
      </c>
      <c r="D1655" t="s">
        <v>1</v>
      </c>
      <c r="E1655" t="s">
        <v>2</v>
      </c>
      <c r="F1655">
        <v>30000000</v>
      </c>
      <c r="G1655">
        <v>2009</v>
      </c>
      <c r="H1655">
        <v>6.7</v>
      </c>
    </row>
    <row r="1656" spans="1:8" x14ac:dyDescent="0.25">
      <c r="A1656">
        <v>91</v>
      </c>
      <c r="B1656">
        <v>51475962</v>
      </c>
      <c r="C1656" t="s">
        <v>1671</v>
      </c>
      <c r="D1656" t="s">
        <v>1</v>
      </c>
      <c r="E1656" t="s">
        <v>2</v>
      </c>
      <c r="F1656">
        <v>30000000</v>
      </c>
      <c r="G1656">
        <v>2003</v>
      </c>
      <c r="H1656">
        <v>7.3</v>
      </c>
    </row>
    <row r="1657" spans="1:8" x14ac:dyDescent="0.25">
      <c r="A1657">
        <v>117</v>
      </c>
      <c r="B1657">
        <v>48043505</v>
      </c>
      <c r="C1657" t="s">
        <v>1680</v>
      </c>
      <c r="D1657" t="s">
        <v>1</v>
      </c>
      <c r="E1657" t="s">
        <v>5</v>
      </c>
      <c r="F1657">
        <v>30000000</v>
      </c>
      <c r="G1657">
        <v>2010</v>
      </c>
      <c r="H1657">
        <v>7.7</v>
      </c>
    </row>
    <row r="1658" spans="1:8" x14ac:dyDescent="0.25">
      <c r="A1658">
        <v>133</v>
      </c>
      <c r="B1658">
        <v>148734225</v>
      </c>
      <c r="C1658" t="s">
        <v>1703</v>
      </c>
      <c r="D1658" t="s">
        <v>1</v>
      </c>
      <c r="E1658" t="s">
        <v>2</v>
      </c>
      <c r="F1658">
        <v>30000000</v>
      </c>
      <c r="G1658">
        <v>2007</v>
      </c>
      <c r="H1658">
        <v>7</v>
      </c>
    </row>
    <row r="1659" spans="1:8" x14ac:dyDescent="0.25">
      <c r="A1659">
        <v>109</v>
      </c>
      <c r="B1659">
        <v>49185998</v>
      </c>
      <c r="C1659" t="s">
        <v>1704</v>
      </c>
      <c r="D1659" t="s">
        <v>1</v>
      </c>
      <c r="E1659" t="s">
        <v>2</v>
      </c>
      <c r="F1659">
        <v>30000000</v>
      </c>
      <c r="G1659">
        <v>2009</v>
      </c>
      <c r="H1659">
        <v>7.4</v>
      </c>
    </row>
    <row r="1660" spans="1:8" x14ac:dyDescent="0.25">
      <c r="A1660">
        <v>110</v>
      </c>
      <c r="B1660">
        <v>74888996</v>
      </c>
      <c r="C1660" t="s">
        <v>1709</v>
      </c>
      <c r="D1660" t="s">
        <v>1</v>
      </c>
      <c r="E1660" t="s">
        <v>2</v>
      </c>
      <c r="F1660">
        <v>30000000</v>
      </c>
      <c r="G1660">
        <v>1991</v>
      </c>
      <c r="H1660">
        <v>7.2</v>
      </c>
    </row>
    <row r="1661" spans="1:8" x14ac:dyDescent="0.25">
      <c r="A1661">
        <v>101</v>
      </c>
      <c r="B1661">
        <v>40566655</v>
      </c>
      <c r="C1661" t="s">
        <v>1714</v>
      </c>
      <c r="D1661" t="s">
        <v>1</v>
      </c>
      <c r="E1661" t="s">
        <v>5</v>
      </c>
      <c r="F1661">
        <v>30000000</v>
      </c>
      <c r="G1661">
        <v>2002</v>
      </c>
      <c r="H1661">
        <v>7.1</v>
      </c>
    </row>
    <row r="1662" spans="1:8" x14ac:dyDescent="0.25">
      <c r="A1662">
        <v>130</v>
      </c>
      <c r="B1662">
        <v>4463292</v>
      </c>
      <c r="C1662" t="s">
        <v>1718</v>
      </c>
      <c r="D1662" t="s">
        <v>1</v>
      </c>
      <c r="E1662" t="s">
        <v>5</v>
      </c>
      <c r="F1662">
        <v>30000000</v>
      </c>
      <c r="G1662">
        <v>2011</v>
      </c>
      <c r="H1662">
        <v>6.9</v>
      </c>
    </row>
    <row r="1663" spans="1:8" x14ac:dyDescent="0.25">
      <c r="A1663">
        <v>120</v>
      </c>
      <c r="B1663">
        <v>499263</v>
      </c>
      <c r="C1663" t="s">
        <v>1764</v>
      </c>
      <c r="D1663" t="s">
        <v>1765</v>
      </c>
      <c r="E1663" t="s">
        <v>2</v>
      </c>
      <c r="F1663">
        <v>30000000</v>
      </c>
      <c r="G1663">
        <v>2004</v>
      </c>
      <c r="H1663">
        <v>7.1</v>
      </c>
    </row>
    <row r="1664" spans="1:8" x14ac:dyDescent="0.25">
      <c r="A1664">
        <v>97</v>
      </c>
      <c r="B1664">
        <v>82163317</v>
      </c>
      <c r="C1664" t="s">
        <v>1777</v>
      </c>
      <c r="D1664" t="s">
        <v>1</v>
      </c>
      <c r="E1664" t="s">
        <v>2</v>
      </c>
      <c r="F1664">
        <v>30000000</v>
      </c>
      <c r="G1664">
        <v>2003</v>
      </c>
      <c r="H1664">
        <v>5.8</v>
      </c>
    </row>
    <row r="1665" spans="1:8" x14ac:dyDescent="0.25">
      <c r="A1665">
        <v>82</v>
      </c>
      <c r="B1665">
        <v>80920948</v>
      </c>
      <c r="C1665" t="s">
        <v>1778</v>
      </c>
      <c r="D1665" t="s">
        <v>1</v>
      </c>
      <c r="E1665" t="s">
        <v>2</v>
      </c>
      <c r="F1665">
        <v>30000000</v>
      </c>
      <c r="G1665">
        <v>2001</v>
      </c>
      <c r="H1665">
        <v>6</v>
      </c>
    </row>
    <row r="1666" spans="1:8" x14ac:dyDescent="0.25">
      <c r="A1666">
        <v>101</v>
      </c>
      <c r="B1666">
        <v>51097664</v>
      </c>
      <c r="C1666" t="s">
        <v>1797</v>
      </c>
      <c r="D1666" t="s">
        <v>1</v>
      </c>
      <c r="E1666" t="s">
        <v>2</v>
      </c>
      <c r="F1666">
        <v>30000000</v>
      </c>
      <c r="G1666">
        <v>2005</v>
      </c>
      <c r="H1666">
        <v>5.9</v>
      </c>
    </row>
    <row r="1667" spans="1:8" x14ac:dyDescent="0.25">
      <c r="A1667">
        <v>101</v>
      </c>
      <c r="B1667">
        <v>34604054</v>
      </c>
      <c r="C1667" t="s">
        <v>1819</v>
      </c>
      <c r="D1667" t="s">
        <v>1</v>
      </c>
      <c r="E1667" t="s">
        <v>2</v>
      </c>
      <c r="F1667">
        <v>30000000</v>
      </c>
      <c r="G1667">
        <v>2003</v>
      </c>
      <c r="H1667">
        <v>5.8</v>
      </c>
    </row>
    <row r="1668" spans="1:8" x14ac:dyDescent="0.25">
      <c r="A1668">
        <v>114</v>
      </c>
      <c r="B1668">
        <v>31655091</v>
      </c>
      <c r="C1668" t="s">
        <v>1825</v>
      </c>
      <c r="D1668" t="s">
        <v>1</v>
      </c>
      <c r="E1668" t="s">
        <v>2</v>
      </c>
      <c r="F1668">
        <v>30000000</v>
      </c>
      <c r="G1668">
        <v>2007</v>
      </c>
      <c r="H1668">
        <v>7.5</v>
      </c>
    </row>
    <row r="1669" spans="1:8" x14ac:dyDescent="0.25">
      <c r="A1669">
        <v>107</v>
      </c>
      <c r="B1669">
        <v>21835784</v>
      </c>
      <c r="C1669" t="s">
        <v>1836</v>
      </c>
      <c r="D1669" t="s">
        <v>1</v>
      </c>
      <c r="E1669" t="s">
        <v>2</v>
      </c>
      <c r="F1669">
        <v>30000000</v>
      </c>
      <c r="G1669">
        <v>2005</v>
      </c>
      <c r="H1669">
        <v>6.6</v>
      </c>
    </row>
    <row r="1670" spans="1:8" x14ac:dyDescent="0.25">
      <c r="A1670">
        <v>132</v>
      </c>
      <c r="B1670">
        <v>1865774</v>
      </c>
      <c r="C1670" t="s">
        <v>1858</v>
      </c>
      <c r="D1670" t="s">
        <v>1</v>
      </c>
      <c r="E1670" t="s">
        <v>5</v>
      </c>
      <c r="F1670">
        <v>30000000</v>
      </c>
      <c r="G1670">
        <v>2015</v>
      </c>
      <c r="H1670">
        <v>7</v>
      </c>
    </row>
    <row r="1671" spans="1:8" x14ac:dyDescent="0.25">
      <c r="A1671">
        <v>106</v>
      </c>
      <c r="B1671">
        <v>17951431</v>
      </c>
      <c r="C1671" t="s">
        <v>1972</v>
      </c>
      <c r="D1671" t="s">
        <v>1</v>
      </c>
      <c r="E1671" t="s">
        <v>2</v>
      </c>
      <c r="F1671">
        <v>30000000</v>
      </c>
      <c r="G1671">
        <v>2001</v>
      </c>
      <c r="H1671">
        <v>5.8</v>
      </c>
    </row>
    <row r="1672" spans="1:8" x14ac:dyDescent="0.25">
      <c r="A1672">
        <v>114</v>
      </c>
      <c r="B1672">
        <v>12831121</v>
      </c>
      <c r="C1672" t="s">
        <v>1617</v>
      </c>
      <c r="D1672" t="s">
        <v>1</v>
      </c>
      <c r="E1672" t="s">
        <v>2</v>
      </c>
      <c r="F1672">
        <v>30000000</v>
      </c>
      <c r="G1672">
        <v>2004</v>
      </c>
      <c r="H1672">
        <v>7</v>
      </c>
    </row>
    <row r="1673" spans="1:8" x14ac:dyDescent="0.25">
      <c r="A1673">
        <v>77</v>
      </c>
      <c r="B1673">
        <v>45542421</v>
      </c>
      <c r="C1673" t="s">
        <v>2047</v>
      </c>
      <c r="D1673" t="s">
        <v>1</v>
      </c>
      <c r="E1673" t="s">
        <v>2</v>
      </c>
      <c r="F1673">
        <v>30000000</v>
      </c>
      <c r="G1673">
        <v>2000</v>
      </c>
      <c r="H1673">
        <v>6.3</v>
      </c>
    </row>
    <row r="1674" spans="1:8" x14ac:dyDescent="0.25">
      <c r="A1674">
        <v>98</v>
      </c>
      <c r="B1674">
        <v>32774834</v>
      </c>
      <c r="C1674" t="s">
        <v>2062</v>
      </c>
      <c r="D1674" t="s">
        <v>1</v>
      </c>
      <c r="E1674" t="s">
        <v>2</v>
      </c>
      <c r="F1674">
        <v>30000000</v>
      </c>
      <c r="G1674">
        <v>2004</v>
      </c>
      <c r="H1674">
        <v>7.2</v>
      </c>
    </row>
    <row r="1675" spans="1:8" x14ac:dyDescent="0.25">
      <c r="A1675">
        <v>114</v>
      </c>
      <c r="B1675">
        <v>18252684</v>
      </c>
      <c r="C1675" t="s">
        <v>2097</v>
      </c>
      <c r="D1675" t="s">
        <v>1</v>
      </c>
      <c r="E1675" t="s">
        <v>2</v>
      </c>
      <c r="F1675">
        <v>30000000</v>
      </c>
      <c r="G1675">
        <v>1998</v>
      </c>
      <c r="H1675">
        <v>6.9</v>
      </c>
    </row>
    <row r="1676" spans="1:8" x14ac:dyDescent="0.25">
      <c r="A1676">
        <v>101</v>
      </c>
      <c r="B1676">
        <v>12987647</v>
      </c>
      <c r="C1676" t="s">
        <v>2123</v>
      </c>
      <c r="D1676" t="s">
        <v>1</v>
      </c>
      <c r="E1676" t="s">
        <v>5</v>
      </c>
      <c r="F1676">
        <v>30000000</v>
      </c>
      <c r="G1676">
        <v>2002</v>
      </c>
      <c r="H1676">
        <v>7.1</v>
      </c>
    </row>
    <row r="1677" spans="1:8" x14ac:dyDescent="0.25">
      <c r="A1677">
        <v>122</v>
      </c>
      <c r="B1677">
        <v>17750583</v>
      </c>
      <c r="C1677" t="s">
        <v>2253</v>
      </c>
      <c r="D1677" t="s">
        <v>1</v>
      </c>
      <c r="E1677" t="s">
        <v>5</v>
      </c>
      <c r="F1677">
        <v>30000000</v>
      </c>
      <c r="G1677">
        <v>2015</v>
      </c>
      <c r="H1677">
        <v>7.2</v>
      </c>
    </row>
    <row r="1678" spans="1:8" x14ac:dyDescent="0.25">
      <c r="A1678">
        <v>110</v>
      </c>
      <c r="B1678">
        <v>15156200</v>
      </c>
      <c r="C1678" t="s">
        <v>2831</v>
      </c>
      <c r="D1678" t="s">
        <v>1</v>
      </c>
      <c r="E1678" t="s">
        <v>2</v>
      </c>
      <c r="F1678">
        <v>30000000</v>
      </c>
      <c r="G1678">
        <v>1999</v>
      </c>
      <c r="H1678">
        <v>6</v>
      </c>
    </row>
    <row r="1679" spans="1:8" x14ac:dyDescent="0.25">
      <c r="A1679">
        <v>113</v>
      </c>
      <c r="B1679">
        <v>61094903</v>
      </c>
      <c r="C1679" t="s">
        <v>1181</v>
      </c>
      <c r="D1679" t="s">
        <v>1</v>
      </c>
      <c r="E1679" t="s">
        <v>5</v>
      </c>
      <c r="F1679">
        <v>30000000</v>
      </c>
      <c r="G1679">
        <v>2011</v>
      </c>
      <c r="H1679">
        <v>6.9</v>
      </c>
    </row>
    <row r="1680" spans="1:8" x14ac:dyDescent="0.25">
      <c r="A1680">
        <v>100</v>
      </c>
      <c r="B1680">
        <v>35266619</v>
      </c>
      <c r="C1680" t="s">
        <v>1584</v>
      </c>
      <c r="D1680" t="s">
        <v>1</v>
      </c>
      <c r="E1680" t="s">
        <v>2</v>
      </c>
      <c r="F1680">
        <v>30000000</v>
      </c>
      <c r="G1680">
        <v>2013</v>
      </c>
      <c r="H1680">
        <v>5.9</v>
      </c>
    </row>
    <row r="1681" spans="1:8" x14ac:dyDescent="0.25">
      <c r="A1681">
        <v>108</v>
      </c>
      <c r="B1681">
        <v>32048809</v>
      </c>
      <c r="C1681" t="s">
        <v>1390</v>
      </c>
      <c r="D1681" t="s">
        <v>1</v>
      </c>
      <c r="E1681" t="s">
        <v>55</v>
      </c>
      <c r="F1681">
        <v>30000000</v>
      </c>
      <c r="G1681">
        <v>2005</v>
      </c>
      <c r="H1681">
        <v>5.3</v>
      </c>
    </row>
    <row r="1682" spans="1:8" x14ac:dyDescent="0.25">
      <c r="A1682">
        <v>106</v>
      </c>
      <c r="B1682">
        <v>32154410</v>
      </c>
      <c r="C1682" t="s">
        <v>1589</v>
      </c>
      <c r="D1682" t="s">
        <v>1</v>
      </c>
      <c r="E1682" t="s">
        <v>2</v>
      </c>
      <c r="F1682">
        <v>30000000</v>
      </c>
      <c r="G1682">
        <v>2013</v>
      </c>
      <c r="H1682">
        <v>7.1</v>
      </c>
    </row>
    <row r="1683" spans="1:8" x14ac:dyDescent="0.25">
      <c r="A1683">
        <v>129</v>
      </c>
      <c r="B1683">
        <v>255950375</v>
      </c>
      <c r="C1683" t="s">
        <v>1346</v>
      </c>
      <c r="D1683" t="s">
        <v>1</v>
      </c>
      <c r="E1683" t="s">
        <v>2</v>
      </c>
      <c r="F1683">
        <v>29000000</v>
      </c>
      <c r="G1683">
        <v>2009</v>
      </c>
      <c r="H1683">
        <v>7.7</v>
      </c>
    </row>
    <row r="1684" spans="1:8" x14ac:dyDescent="0.25">
      <c r="A1684">
        <v>103</v>
      </c>
      <c r="B1684">
        <v>50041732</v>
      </c>
      <c r="C1684" t="s">
        <v>1475</v>
      </c>
      <c r="D1684" t="s">
        <v>1</v>
      </c>
      <c r="E1684" t="s">
        <v>2</v>
      </c>
      <c r="F1684">
        <v>29000000</v>
      </c>
      <c r="G1684">
        <v>1999</v>
      </c>
      <c r="H1684">
        <v>6.2</v>
      </c>
    </row>
    <row r="1685" spans="1:8" x14ac:dyDescent="0.25">
      <c r="A1685">
        <v>123</v>
      </c>
      <c r="B1685">
        <v>64286</v>
      </c>
      <c r="C1685" t="s">
        <v>1533</v>
      </c>
      <c r="D1685" t="s">
        <v>1</v>
      </c>
      <c r="E1685" t="s">
        <v>2</v>
      </c>
      <c r="F1685">
        <v>29000000</v>
      </c>
      <c r="G1685">
        <v>2004</v>
      </c>
      <c r="H1685">
        <v>7.9</v>
      </c>
    </row>
    <row r="1686" spans="1:8" x14ac:dyDescent="0.25">
      <c r="A1686">
        <v>115</v>
      </c>
      <c r="B1686">
        <v>183436380</v>
      </c>
      <c r="C1686" t="s">
        <v>1645</v>
      </c>
      <c r="D1686" t="s">
        <v>1</v>
      </c>
      <c r="E1686" t="s">
        <v>2</v>
      </c>
      <c r="F1686">
        <v>29000000</v>
      </c>
      <c r="G1686">
        <v>2015</v>
      </c>
      <c r="H1686">
        <v>6.5</v>
      </c>
    </row>
    <row r="1687" spans="1:8" x14ac:dyDescent="0.25">
      <c r="A1687">
        <v>89</v>
      </c>
      <c r="B1687">
        <v>22359293</v>
      </c>
      <c r="C1687" t="s">
        <v>1648</v>
      </c>
      <c r="D1687" t="s">
        <v>1</v>
      </c>
      <c r="E1687" t="s">
        <v>5</v>
      </c>
      <c r="F1687">
        <v>29000000</v>
      </c>
      <c r="G1687">
        <v>1997</v>
      </c>
      <c r="H1687">
        <v>5.8</v>
      </c>
    </row>
    <row r="1688" spans="1:8" x14ac:dyDescent="0.25">
      <c r="A1688">
        <v>99</v>
      </c>
      <c r="B1688">
        <v>16930185</v>
      </c>
      <c r="C1688" t="s">
        <v>1650</v>
      </c>
      <c r="D1688" t="s">
        <v>1</v>
      </c>
      <c r="E1688" t="s">
        <v>119</v>
      </c>
      <c r="F1688">
        <v>29000000</v>
      </c>
      <c r="G1688">
        <v>2002</v>
      </c>
      <c r="H1688">
        <v>5.3</v>
      </c>
    </row>
    <row r="1689" spans="1:8" x14ac:dyDescent="0.25">
      <c r="A1689">
        <v>99</v>
      </c>
      <c r="B1689">
        <v>63034755</v>
      </c>
      <c r="C1689" t="s">
        <v>1651</v>
      </c>
      <c r="D1689" t="s">
        <v>1</v>
      </c>
      <c r="E1689" t="s">
        <v>2</v>
      </c>
      <c r="F1689">
        <v>29000000</v>
      </c>
      <c r="G1689">
        <v>2016</v>
      </c>
      <c r="H1689">
        <v>5.3</v>
      </c>
    </row>
    <row r="1690" spans="1:8" x14ac:dyDescent="0.25">
      <c r="A1690">
        <v>147</v>
      </c>
      <c r="B1690">
        <v>5899797</v>
      </c>
      <c r="C1690" t="s">
        <v>1652</v>
      </c>
      <c r="D1690" t="s">
        <v>1</v>
      </c>
      <c r="E1690" t="s">
        <v>5</v>
      </c>
      <c r="F1690">
        <v>29000000</v>
      </c>
      <c r="G1690">
        <v>1987</v>
      </c>
      <c r="H1690">
        <v>7.5</v>
      </c>
    </row>
    <row r="1691" spans="1:8" x14ac:dyDescent="0.25">
      <c r="A1691">
        <v>94</v>
      </c>
      <c r="B1691">
        <v>6301131</v>
      </c>
      <c r="C1691" t="s">
        <v>1656</v>
      </c>
      <c r="D1691" t="s">
        <v>1</v>
      </c>
      <c r="E1691" t="s">
        <v>2</v>
      </c>
      <c r="F1691">
        <v>29000000</v>
      </c>
      <c r="G1691">
        <v>2005</v>
      </c>
      <c r="H1691">
        <v>7.1</v>
      </c>
    </row>
    <row r="1692" spans="1:8" x14ac:dyDescent="0.25">
      <c r="A1692">
        <v>102</v>
      </c>
      <c r="B1692">
        <v>55845943</v>
      </c>
      <c r="C1692" t="s">
        <v>1662</v>
      </c>
      <c r="D1692" t="s">
        <v>1</v>
      </c>
      <c r="E1692" t="s">
        <v>2</v>
      </c>
      <c r="F1692">
        <v>29000000</v>
      </c>
      <c r="G1692">
        <v>2003</v>
      </c>
      <c r="H1692">
        <v>6.4</v>
      </c>
    </row>
    <row r="1693" spans="1:8" x14ac:dyDescent="0.25">
      <c r="A1693">
        <v>90</v>
      </c>
      <c r="B1693">
        <v>17848322</v>
      </c>
      <c r="C1693" t="s">
        <v>1488</v>
      </c>
      <c r="D1693" t="s">
        <v>1</v>
      </c>
      <c r="E1693" t="s">
        <v>1489</v>
      </c>
      <c r="F1693">
        <v>28000000</v>
      </c>
      <c r="G1693">
        <v>2004</v>
      </c>
      <c r="H1693">
        <v>5.9</v>
      </c>
    </row>
    <row r="1694" spans="1:8" x14ac:dyDescent="0.25">
      <c r="A1694">
        <v>153</v>
      </c>
      <c r="B1694">
        <v>119518352</v>
      </c>
      <c r="C1694" t="s">
        <v>1646</v>
      </c>
      <c r="D1694" t="s">
        <v>1</v>
      </c>
      <c r="E1694" t="s">
        <v>2</v>
      </c>
      <c r="F1694">
        <v>28000000</v>
      </c>
      <c r="G1694">
        <v>2005</v>
      </c>
      <c r="H1694">
        <v>7.9</v>
      </c>
    </row>
    <row r="1695" spans="1:8" x14ac:dyDescent="0.25">
      <c r="A1695">
        <v>112</v>
      </c>
      <c r="B1695">
        <v>4554569</v>
      </c>
      <c r="C1695" t="s">
        <v>1653</v>
      </c>
      <c r="D1695" t="s">
        <v>1</v>
      </c>
      <c r="E1695" t="s">
        <v>2</v>
      </c>
      <c r="F1695">
        <v>28000000</v>
      </c>
      <c r="G1695">
        <v>1999</v>
      </c>
      <c r="H1695">
        <v>6.9</v>
      </c>
    </row>
    <row r="1696" spans="1:8" x14ac:dyDescent="0.25">
      <c r="A1696">
        <v>90</v>
      </c>
      <c r="B1696">
        <v>217350219</v>
      </c>
      <c r="C1696" t="s">
        <v>1657</v>
      </c>
      <c r="D1696" t="s">
        <v>1</v>
      </c>
      <c r="E1696" t="s">
        <v>2</v>
      </c>
      <c r="F1696">
        <v>28000000</v>
      </c>
      <c r="G1696">
        <v>1992</v>
      </c>
      <c r="H1696">
        <v>8</v>
      </c>
    </row>
    <row r="1697" spans="1:8" x14ac:dyDescent="0.25">
      <c r="A1697">
        <v>167</v>
      </c>
      <c r="B1697">
        <v>161029270</v>
      </c>
      <c r="C1697" t="s">
        <v>1658</v>
      </c>
      <c r="D1697" t="s">
        <v>1</v>
      </c>
      <c r="E1697" t="s">
        <v>2</v>
      </c>
      <c r="F1697">
        <v>28000000</v>
      </c>
      <c r="G1697">
        <v>2015</v>
      </c>
      <c r="H1697">
        <v>7.9</v>
      </c>
    </row>
    <row r="1698" spans="1:8" x14ac:dyDescent="0.25">
      <c r="A1698">
        <v>118</v>
      </c>
      <c r="B1698">
        <v>179870271</v>
      </c>
      <c r="C1698" t="s">
        <v>1659</v>
      </c>
      <c r="D1698" t="s">
        <v>1</v>
      </c>
      <c r="E1698" t="s">
        <v>2</v>
      </c>
      <c r="F1698">
        <v>28000000</v>
      </c>
      <c r="G1698">
        <v>1984</v>
      </c>
      <c r="H1698">
        <v>7.6</v>
      </c>
    </row>
    <row r="1699" spans="1:8" x14ac:dyDescent="0.25">
      <c r="A1699">
        <v>131</v>
      </c>
      <c r="B1699">
        <v>81350242</v>
      </c>
      <c r="C1699" t="s">
        <v>1663</v>
      </c>
      <c r="D1699" t="s">
        <v>1</v>
      </c>
      <c r="E1699" t="s">
        <v>2</v>
      </c>
      <c r="F1699">
        <v>28000000</v>
      </c>
      <c r="G1699">
        <v>1988</v>
      </c>
      <c r="H1699">
        <v>8.1999999999999993</v>
      </c>
    </row>
    <row r="1700" spans="1:8" x14ac:dyDescent="0.25">
      <c r="A1700">
        <v>101</v>
      </c>
      <c r="B1700">
        <v>67266300</v>
      </c>
      <c r="C1700" t="s">
        <v>1664</v>
      </c>
      <c r="D1700" t="s">
        <v>1</v>
      </c>
      <c r="E1700" t="s">
        <v>119</v>
      </c>
      <c r="F1700">
        <v>28000000</v>
      </c>
      <c r="G1700">
        <v>2008</v>
      </c>
      <c r="H1700">
        <v>6.9</v>
      </c>
    </row>
    <row r="1701" spans="1:8" x14ac:dyDescent="0.25">
      <c r="A1701">
        <v>130</v>
      </c>
      <c r="B1701">
        <v>70235322</v>
      </c>
      <c r="C1701" t="s">
        <v>1665</v>
      </c>
      <c r="D1701" t="s">
        <v>1</v>
      </c>
      <c r="E1701" t="s">
        <v>2</v>
      </c>
      <c r="F1701">
        <v>28000000</v>
      </c>
      <c r="G1701">
        <v>2015</v>
      </c>
      <c r="H1701">
        <v>7.8</v>
      </c>
    </row>
    <row r="1702" spans="1:8" x14ac:dyDescent="0.25">
      <c r="A1702">
        <v>135</v>
      </c>
      <c r="B1702">
        <v>64371181</v>
      </c>
      <c r="C1702" t="s">
        <v>1667</v>
      </c>
      <c r="D1702" t="s">
        <v>1</v>
      </c>
      <c r="E1702" t="s">
        <v>2</v>
      </c>
      <c r="F1702">
        <v>28000000</v>
      </c>
      <c r="G1702">
        <v>2004</v>
      </c>
      <c r="H1702">
        <v>7.5</v>
      </c>
    </row>
    <row r="1703" spans="1:8" x14ac:dyDescent="0.25">
      <c r="A1703">
        <v>105</v>
      </c>
      <c r="B1703">
        <v>63910583</v>
      </c>
      <c r="C1703" t="s">
        <v>1672</v>
      </c>
      <c r="D1703" t="s">
        <v>1</v>
      </c>
      <c r="E1703" t="s">
        <v>2</v>
      </c>
      <c r="F1703">
        <v>28000000</v>
      </c>
      <c r="G1703">
        <v>2013</v>
      </c>
      <c r="H1703">
        <v>6.6</v>
      </c>
    </row>
    <row r="1704" spans="1:8" x14ac:dyDescent="0.25">
      <c r="A1704">
        <v>127</v>
      </c>
      <c r="B1704">
        <v>62300000</v>
      </c>
      <c r="C1704" t="s">
        <v>1673</v>
      </c>
      <c r="D1704" t="s">
        <v>1</v>
      </c>
      <c r="E1704" t="s">
        <v>5</v>
      </c>
      <c r="F1704">
        <v>28000000</v>
      </c>
      <c r="G1704">
        <v>1981</v>
      </c>
      <c r="H1704">
        <v>6.8</v>
      </c>
    </row>
    <row r="1705" spans="1:8" x14ac:dyDescent="0.25">
      <c r="A1705">
        <v>82</v>
      </c>
      <c r="B1705">
        <v>49968653</v>
      </c>
      <c r="C1705" t="s">
        <v>1674</v>
      </c>
      <c r="D1705" t="s">
        <v>1</v>
      </c>
      <c r="E1705" t="s">
        <v>2</v>
      </c>
      <c r="F1705">
        <v>28000000</v>
      </c>
      <c r="G1705">
        <v>2001</v>
      </c>
      <c r="H1705">
        <v>6.9</v>
      </c>
    </row>
    <row r="1706" spans="1:8" x14ac:dyDescent="0.25">
      <c r="A1706">
        <v>90</v>
      </c>
      <c r="B1706">
        <v>45162741</v>
      </c>
      <c r="C1706" t="s">
        <v>1676</v>
      </c>
      <c r="D1706" t="s">
        <v>1</v>
      </c>
      <c r="E1706" t="s">
        <v>119</v>
      </c>
      <c r="F1706">
        <v>28000000</v>
      </c>
      <c r="G1706">
        <v>2001</v>
      </c>
      <c r="H1706">
        <v>6.6</v>
      </c>
    </row>
    <row r="1707" spans="1:8" x14ac:dyDescent="0.25">
      <c r="A1707">
        <v>115</v>
      </c>
      <c r="B1707">
        <v>71346930</v>
      </c>
      <c r="C1707" t="s">
        <v>1677</v>
      </c>
      <c r="D1707" t="s">
        <v>1</v>
      </c>
      <c r="E1707" t="s">
        <v>2</v>
      </c>
      <c r="F1707">
        <v>28000000</v>
      </c>
      <c r="G1707">
        <v>2013</v>
      </c>
      <c r="H1707">
        <v>6.7</v>
      </c>
    </row>
    <row r="1708" spans="1:8" x14ac:dyDescent="0.25">
      <c r="A1708">
        <v>96</v>
      </c>
      <c r="B1708">
        <v>39514713</v>
      </c>
      <c r="C1708" t="s">
        <v>1678</v>
      </c>
      <c r="D1708" t="s">
        <v>1</v>
      </c>
      <c r="E1708" t="s">
        <v>2</v>
      </c>
      <c r="F1708">
        <v>28000000</v>
      </c>
      <c r="G1708">
        <v>1993</v>
      </c>
      <c r="H1708">
        <v>6.7</v>
      </c>
    </row>
    <row r="1709" spans="1:8" x14ac:dyDescent="0.25">
      <c r="A1709">
        <v>104</v>
      </c>
      <c r="B1709">
        <v>43097652</v>
      </c>
      <c r="C1709" t="s">
        <v>1679</v>
      </c>
      <c r="D1709" t="s">
        <v>1</v>
      </c>
      <c r="E1709" t="s">
        <v>2</v>
      </c>
      <c r="F1709">
        <v>28000000</v>
      </c>
      <c r="G1709">
        <v>2007</v>
      </c>
      <c r="H1709">
        <v>6.3</v>
      </c>
    </row>
    <row r="1710" spans="1:8" x14ac:dyDescent="0.25">
      <c r="A1710">
        <v>83</v>
      </c>
      <c r="B1710">
        <v>37053924</v>
      </c>
      <c r="C1710" t="s">
        <v>1681</v>
      </c>
      <c r="D1710" t="s">
        <v>1</v>
      </c>
      <c r="E1710" t="s">
        <v>119</v>
      </c>
      <c r="F1710">
        <v>28000000</v>
      </c>
      <c r="G1710">
        <v>2011</v>
      </c>
      <c r="H1710">
        <v>6.1</v>
      </c>
    </row>
    <row r="1711" spans="1:8" x14ac:dyDescent="0.25">
      <c r="A1711">
        <v>99</v>
      </c>
      <c r="B1711">
        <v>33000377</v>
      </c>
      <c r="C1711" t="s">
        <v>1682</v>
      </c>
      <c r="D1711" t="s">
        <v>1</v>
      </c>
      <c r="E1711" t="s">
        <v>2</v>
      </c>
      <c r="F1711">
        <v>28000000</v>
      </c>
      <c r="G1711">
        <v>2000</v>
      </c>
      <c r="H1711">
        <v>4.9000000000000004</v>
      </c>
    </row>
    <row r="1712" spans="1:8" x14ac:dyDescent="0.25">
      <c r="A1712">
        <v>81</v>
      </c>
      <c r="B1712">
        <v>66950483</v>
      </c>
      <c r="C1712" t="s">
        <v>1683</v>
      </c>
      <c r="D1712" t="s">
        <v>1</v>
      </c>
      <c r="E1712" t="s">
        <v>2</v>
      </c>
      <c r="F1712">
        <v>28000000</v>
      </c>
      <c r="G1712">
        <v>2014</v>
      </c>
      <c r="H1712">
        <v>6.2</v>
      </c>
    </row>
    <row r="1713" spans="1:8" x14ac:dyDescent="0.25">
      <c r="A1713">
        <v>135</v>
      </c>
      <c r="B1713">
        <v>38372662</v>
      </c>
      <c r="C1713" t="s">
        <v>1684</v>
      </c>
      <c r="D1713" t="s">
        <v>1</v>
      </c>
      <c r="E1713" t="s">
        <v>244</v>
      </c>
      <c r="F1713">
        <v>28000000</v>
      </c>
      <c r="G1713">
        <v>2005</v>
      </c>
      <c r="H1713">
        <v>7.8</v>
      </c>
    </row>
    <row r="1714" spans="1:8" x14ac:dyDescent="0.25">
      <c r="A1714">
        <v>117</v>
      </c>
      <c r="B1714">
        <v>27000000</v>
      </c>
      <c r="C1714" t="s">
        <v>1685</v>
      </c>
      <c r="D1714" t="s">
        <v>1</v>
      </c>
      <c r="E1714" t="s">
        <v>2</v>
      </c>
      <c r="F1714">
        <v>28000000</v>
      </c>
      <c r="G1714">
        <v>1982</v>
      </c>
      <c r="H1714">
        <v>8.1999999999999993</v>
      </c>
    </row>
    <row r="1715" spans="1:8" x14ac:dyDescent="0.25">
      <c r="A1715">
        <v>139</v>
      </c>
      <c r="B1715">
        <v>31600000</v>
      </c>
      <c r="C1715" t="s">
        <v>1686</v>
      </c>
      <c r="D1715" t="s">
        <v>1</v>
      </c>
      <c r="E1715" t="s">
        <v>2</v>
      </c>
      <c r="F1715">
        <v>28000000</v>
      </c>
      <c r="G1715">
        <v>1995</v>
      </c>
      <c r="H1715">
        <v>6.9</v>
      </c>
    </row>
    <row r="1716" spans="1:8" x14ac:dyDescent="0.25">
      <c r="A1716">
        <v>123</v>
      </c>
      <c r="B1716">
        <v>30688364</v>
      </c>
      <c r="C1716" t="s">
        <v>1687</v>
      </c>
      <c r="D1716" t="s">
        <v>1</v>
      </c>
      <c r="E1716" t="s">
        <v>2</v>
      </c>
      <c r="F1716">
        <v>28000000</v>
      </c>
      <c r="G1716">
        <v>2014</v>
      </c>
      <c r="H1716">
        <v>6.2</v>
      </c>
    </row>
    <row r="1717" spans="1:8" x14ac:dyDescent="0.25">
      <c r="A1717">
        <v>97</v>
      </c>
      <c r="B1717">
        <v>16779636</v>
      </c>
      <c r="C1717" t="s">
        <v>1689</v>
      </c>
      <c r="D1717" t="s">
        <v>1</v>
      </c>
      <c r="E1717" t="s">
        <v>2</v>
      </c>
      <c r="F1717">
        <v>28000000</v>
      </c>
      <c r="G1717">
        <v>2000</v>
      </c>
      <c r="H1717">
        <v>4.8</v>
      </c>
    </row>
    <row r="1718" spans="1:8" x14ac:dyDescent="0.25">
      <c r="A1718">
        <v>103</v>
      </c>
      <c r="B1718">
        <v>17324744</v>
      </c>
      <c r="C1718" t="s">
        <v>1691</v>
      </c>
      <c r="D1718" t="s">
        <v>1</v>
      </c>
      <c r="E1718" t="s">
        <v>2</v>
      </c>
      <c r="F1718">
        <v>28000000</v>
      </c>
      <c r="G1718">
        <v>2006</v>
      </c>
      <c r="H1718">
        <v>5.3</v>
      </c>
    </row>
    <row r="1719" spans="1:8" x14ac:dyDescent="0.25">
      <c r="A1719">
        <v>119</v>
      </c>
      <c r="B1719">
        <v>8888143</v>
      </c>
      <c r="C1719" t="s">
        <v>1692</v>
      </c>
      <c r="D1719" t="s">
        <v>1</v>
      </c>
      <c r="E1719" t="s">
        <v>38</v>
      </c>
      <c r="F1719">
        <v>28000000</v>
      </c>
      <c r="G1719">
        <v>1999</v>
      </c>
      <c r="H1719">
        <v>6.7</v>
      </c>
    </row>
    <row r="1720" spans="1:8" x14ac:dyDescent="0.25">
      <c r="A1720">
        <v>94</v>
      </c>
      <c r="B1720">
        <v>24268828</v>
      </c>
      <c r="C1720" t="s">
        <v>1693</v>
      </c>
      <c r="D1720" t="s">
        <v>1</v>
      </c>
      <c r="E1720" t="s">
        <v>2</v>
      </c>
      <c r="F1720">
        <v>28000000</v>
      </c>
      <c r="G1720">
        <v>2010</v>
      </c>
      <c r="H1720">
        <v>5.4</v>
      </c>
    </row>
    <row r="1721" spans="1:8" x14ac:dyDescent="0.25">
      <c r="A1721">
        <v>89</v>
      </c>
      <c r="B1721">
        <v>8119205</v>
      </c>
      <c r="C1721" t="s">
        <v>1694</v>
      </c>
      <c r="D1721" t="s">
        <v>1</v>
      </c>
      <c r="E1721" t="s">
        <v>2</v>
      </c>
      <c r="F1721">
        <v>28000000</v>
      </c>
      <c r="G1721">
        <v>1997</v>
      </c>
      <c r="H1721">
        <v>5.4</v>
      </c>
    </row>
    <row r="1722" spans="1:8" x14ac:dyDescent="0.25">
      <c r="A1722">
        <v>98</v>
      </c>
      <c r="B1722">
        <v>8434601</v>
      </c>
      <c r="C1722" t="s">
        <v>1695</v>
      </c>
      <c r="D1722" t="s">
        <v>1</v>
      </c>
      <c r="E1722" t="s">
        <v>2</v>
      </c>
      <c r="F1722">
        <v>28000000</v>
      </c>
      <c r="G1722">
        <v>2001</v>
      </c>
      <c r="H1722">
        <v>4.9000000000000004</v>
      </c>
    </row>
    <row r="1723" spans="1:8" x14ac:dyDescent="0.25">
      <c r="A1723">
        <v>107</v>
      </c>
      <c r="B1723">
        <v>6998324</v>
      </c>
      <c r="C1723" t="s">
        <v>1696</v>
      </c>
      <c r="D1723" t="s">
        <v>1</v>
      </c>
      <c r="E1723" t="s">
        <v>2</v>
      </c>
      <c r="F1723">
        <v>28000000</v>
      </c>
      <c r="G1723">
        <v>2015</v>
      </c>
      <c r="H1723">
        <v>6.1</v>
      </c>
    </row>
    <row r="1724" spans="1:8" x14ac:dyDescent="0.25">
      <c r="A1724">
        <v>108</v>
      </c>
      <c r="B1724">
        <v>10907291</v>
      </c>
      <c r="C1724" t="s">
        <v>1697</v>
      </c>
      <c r="D1724" t="s">
        <v>1</v>
      </c>
      <c r="E1724" t="s">
        <v>2</v>
      </c>
      <c r="F1724">
        <v>28000000</v>
      </c>
      <c r="G1724">
        <v>2016</v>
      </c>
      <c r="H1724">
        <v>5.8</v>
      </c>
    </row>
    <row r="1725" spans="1:8" x14ac:dyDescent="0.25">
      <c r="A1725">
        <v>134</v>
      </c>
      <c r="B1725">
        <v>5532301</v>
      </c>
      <c r="C1725" t="s">
        <v>1698</v>
      </c>
      <c r="D1725" t="s">
        <v>1</v>
      </c>
      <c r="E1725" t="s">
        <v>2</v>
      </c>
      <c r="F1725">
        <v>28000000</v>
      </c>
      <c r="G1725">
        <v>1997</v>
      </c>
      <c r="H1725">
        <v>7</v>
      </c>
    </row>
    <row r="1726" spans="1:8" x14ac:dyDescent="0.25">
      <c r="A1726">
        <v>103</v>
      </c>
      <c r="B1726">
        <v>28751715</v>
      </c>
      <c r="C1726" t="s">
        <v>1700</v>
      </c>
      <c r="D1726" t="s">
        <v>1</v>
      </c>
      <c r="E1726" t="s">
        <v>2</v>
      </c>
      <c r="F1726">
        <v>28000000</v>
      </c>
      <c r="G1726">
        <v>2013</v>
      </c>
      <c r="H1726">
        <v>6.6</v>
      </c>
    </row>
    <row r="1727" spans="1:8" x14ac:dyDescent="0.25">
      <c r="A1727">
        <v>100</v>
      </c>
      <c r="B1727">
        <v>20285518</v>
      </c>
      <c r="C1727" t="s">
        <v>1701</v>
      </c>
      <c r="D1727" t="s">
        <v>1</v>
      </c>
      <c r="E1727" t="s">
        <v>244</v>
      </c>
      <c r="F1727">
        <v>28000000</v>
      </c>
      <c r="G1727">
        <v>2014</v>
      </c>
      <c r="H1727">
        <v>5.7</v>
      </c>
    </row>
    <row r="1728" spans="1:8" x14ac:dyDescent="0.25">
      <c r="A1728">
        <v>93</v>
      </c>
      <c r="B1728">
        <v>5204007</v>
      </c>
      <c r="C1728" t="s">
        <v>1728</v>
      </c>
      <c r="D1728" t="s">
        <v>1</v>
      </c>
      <c r="E1728" t="s">
        <v>5</v>
      </c>
      <c r="F1728">
        <v>28000000</v>
      </c>
      <c r="G1728">
        <v>2001</v>
      </c>
      <c r="H1728">
        <v>6.3</v>
      </c>
    </row>
    <row r="1729" spans="1:8" x14ac:dyDescent="0.25">
      <c r="A1729">
        <v>114</v>
      </c>
      <c r="B1729">
        <v>25977365</v>
      </c>
      <c r="C1729" t="s">
        <v>1737</v>
      </c>
      <c r="D1729" t="s">
        <v>1</v>
      </c>
      <c r="E1729" t="s">
        <v>2</v>
      </c>
      <c r="F1729">
        <v>28000000</v>
      </c>
      <c r="G1729">
        <v>2014</v>
      </c>
      <c r="H1729">
        <v>6.5</v>
      </c>
    </row>
    <row r="1730" spans="1:8" x14ac:dyDescent="0.25">
      <c r="A1730">
        <v>128</v>
      </c>
      <c r="B1730">
        <v>3254172</v>
      </c>
      <c r="C1730" t="s">
        <v>1775</v>
      </c>
      <c r="D1730" t="s">
        <v>1</v>
      </c>
      <c r="E1730" t="s">
        <v>2</v>
      </c>
      <c r="F1730">
        <v>28000000</v>
      </c>
      <c r="G1730">
        <v>2013</v>
      </c>
      <c r="H1730">
        <v>6.2</v>
      </c>
    </row>
    <row r="1731" spans="1:8" x14ac:dyDescent="0.25">
      <c r="A1731">
        <v>133</v>
      </c>
      <c r="B1731">
        <v>11030963</v>
      </c>
      <c r="C1731" t="s">
        <v>1868</v>
      </c>
      <c r="D1731" t="s">
        <v>1</v>
      </c>
      <c r="E1731" t="s">
        <v>5</v>
      </c>
      <c r="F1731">
        <v>28000000</v>
      </c>
      <c r="G1731">
        <v>1996</v>
      </c>
      <c r="H1731">
        <v>7.1</v>
      </c>
    </row>
    <row r="1732" spans="1:8" x14ac:dyDescent="0.25">
      <c r="A1732">
        <v>80</v>
      </c>
      <c r="B1732">
        <v>669276</v>
      </c>
      <c r="C1732" t="s">
        <v>1921</v>
      </c>
      <c r="D1732" t="s">
        <v>1</v>
      </c>
      <c r="E1732" t="s">
        <v>5</v>
      </c>
      <c r="F1732">
        <v>28000000</v>
      </c>
      <c r="G1732">
        <v>1993</v>
      </c>
      <c r="H1732">
        <v>7.2</v>
      </c>
    </row>
    <row r="1733" spans="1:8" x14ac:dyDescent="0.25">
      <c r="A1733">
        <v>100</v>
      </c>
      <c r="B1733">
        <v>153665036</v>
      </c>
      <c r="C1733" t="s">
        <v>2019</v>
      </c>
      <c r="D1733" t="s">
        <v>1</v>
      </c>
      <c r="E1733" t="s">
        <v>2</v>
      </c>
      <c r="F1733">
        <v>28000000</v>
      </c>
      <c r="G1733">
        <v>1987</v>
      </c>
      <c r="H1733">
        <v>6.4</v>
      </c>
    </row>
    <row r="1734" spans="1:8" x14ac:dyDescent="0.25">
      <c r="A1734">
        <v>107</v>
      </c>
      <c r="B1734">
        <v>55210049</v>
      </c>
      <c r="C1734" t="s">
        <v>1557</v>
      </c>
      <c r="D1734" t="s">
        <v>1</v>
      </c>
      <c r="E1734" t="s">
        <v>2</v>
      </c>
      <c r="F1734">
        <v>27800000</v>
      </c>
      <c r="G1734">
        <v>1989</v>
      </c>
      <c r="H1734">
        <v>5.4</v>
      </c>
    </row>
    <row r="1735" spans="1:8" x14ac:dyDescent="0.25">
      <c r="A1735">
        <v>131</v>
      </c>
      <c r="B1735">
        <v>67900000</v>
      </c>
      <c r="C1735" t="s">
        <v>1702</v>
      </c>
      <c r="D1735" t="s">
        <v>1</v>
      </c>
      <c r="E1735" t="s">
        <v>5</v>
      </c>
      <c r="F1735">
        <v>27500000</v>
      </c>
      <c r="G1735">
        <v>1983</v>
      </c>
      <c r="H1735">
        <v>6.6</v>
      </c>
    </row>
    <row r="1736" spans="1:8" x14ac:dyDescent="0.25">
      <c r="A1736">
        <v>122</v>
      </c>
      <c r="B1736">
        <v>9664316</v>
      </c>
      <c r="C1736" t="s">
        <v>1708</v>
      </c>
      <c r="D1736" t="s">
        <v>1</v>
      </c>
      <c r="E1736" t="s">
        <v>2</v>
      </c>
      <c r="F1736">
        <v>27500000</v>
      </c>
      <c r="G1736">
        <v>2007</v>
      </c>
      <c r="H1736">
        <v>6.8</v>
      </c>
    </row>
    <row r="1737" spans="1:8" x14ac:dyDescent="0.25">
      <c r="A1737">
        <v>105</v>
      </c>
      <c r="B1737">
        <v>1260917</v>
      </c>
      <c r="C1737" t="s">
        <v>1128</v>
      </c>
      <c r="D1737" t="s">
        <v>243</v>
      </c>
      <c r="E1737" t="s">
        <v>244</v>
      </c>
      <c r="F1737">
        <v>27000000</v>
      </c>
      <c r="G1737">
        <v>2009</v>
      </c>
      <c r="H1737">
        <v>7.2</v>
      </c>
    </row>
    <row r="1738" spans="1:8" x14ac:dyDescent="0.25">
      <c r="A1738">
        <v>162</v>
      </c>
      <c r="B1738">
        <v>78651430</v>
      </c>
      <c r="C1738" t="s">
        <v>1357</v>
      </c>
      <c r="D1738" t="s">
        <v>1</v>
      </c>
      <c r="E1738" t="s">
        <v>2</v>
      </c>
      <c r="F1738">
        <v>27000000</v>
      </c>
      <c r="G1738">
        <v>1996</v>
      </c>
      <c r="H1738">
        <v>7.4</v>
      </c>
    </row>
    <row r="1739" spans="1:8" x14ac:dyDescent="0.25">
      <c r="A1739">
        <v>98</v>
      </c>
      <c r="B1739">
        <v>33987757</v>
      </c>
      <c r="C1739" t="s">
        <v>1391</v>
      </c>
      <c r="D1739" t="s">
        <v>1</v>
      </c>
      <c r="E1739" t="s">
        <v>2</v>
      </c>
      <c r="F1739">
        <v>27000000</v>
      </c>
      <c r="G1739">
        <v>2004</v>
      </c>
      <c r="H1739">
        <v>7.3</v>
      </c>
    </row>
    <row r="1740" spans="1:8" x14ac:dyDescent="0.25">
      <c r="A1740">
        <v>101</v>
      </c>
      <c r="B1740">
        <v>38122105</v>
      </c>
      <c r="C1740" t="s">
        <v>1579</v>
      </c>
      <c r="D1740" t="s">
        <v>1</v>
      </c>
      <c r="E1740" t="s">
        <v>2</v>
      </c>
      <c r="F1740">
        <v>27000000</v>
      </c>
      <c r="G1740">
        <v>1987</v>
      </c>
      <c r="H1740">
        <v>6.6</v>
      </c>
    </row>
    <row r="1741" spans="1:8" x14ac:dyDescent="0.25">
      <c r="A1741">
        <v>99</v>
      </c>
      <c r="B1741">
        <v>44450000</v>
      </c>
      <c r="C1741" t="s">
        <v>1675</v>
      </c>
      <c r="D1741" t="s">
        <v>1</v>
      </c>
      <c r="E1741" t="s">
        <v>38</v>
      </c>
      <c r="F1741">
        <v>27000000</v>
      </c>
      <c r="G1741">
        <v>1994</v>
      </c>
      <c r="H1741">
        <v>5.8</v>
      </c>
    </row>
    <row r="1742" spans="1:8" x14ac:dyDescent="0.25">
      <c r="A1742">
        <v>110</v>
      </c>
      <c r="B1742">
        <v>2775593</v>
      </c>
      <c r="C1742" t="s">
        <v>1699</v>
      </c>
      <c r="D1742" t="s">
        <v>1</v>
      </c>
      <c r="E1742" t="s">
        <v>5</v>
      </c>
      <c r="F1742">
        <v>27000000</v>
      </c>
      <c r="G1742">
        <v>2008</v>
      </c>
      <c r="H1742">
        <v>6.5</v>
      </c>
    </row>
    <row r="1743" spans="1:8" x14ac:dyDescent="0.25">
      <c r="A1743">
        <v>116</v>
      </c>
      <c r="B1743">
        <v>69586544</v>
      </c>
      <c r="C1743" t="s">
        <v>1710</v>
      </c>
      <c r="D1743" t="s">
        <v>1</v>
      </c>
      <c r="E1743" t="s">
        <v>2</v>
      </c>
      <c r="F1743">
        <v>27000000</v>
      </c>
      <c r="G1743">
        <v>2002</v>
      </c>
      <c r="H1743">
        <v>6</v>
      </c>
    </row>
    <row r="1744" spans="1:8" x14ac:dyDescent="0.25">
      <c r="A1744">
        <v>115</v>
      </c>
      <c r="B1744">
        <v>60491560</v>
      </c>
      <c r="C1744" t="s">
        <v>1711</v>
      </c>
      <c r="D1744" t="s">
        <v>1</v>
      </c>
      <c r="E1744" t="s">
        <v>2</v>
      </c>
      <c r="F1744">
        <v>27000000</v>
      </c>
      <c r="G1744">
        <v>1997</v>
      </c>
      <c r="H1744">
        <v>6.6</v>
      </c>
    </row>
    <row r="1745" spans="1:8" x14ac:dyDescent="0.25">
      <c r="A1745">
        <v>148</v>
      </c>
      <c r="B1745">
        <v>54200000</v>
      </c>
      <c r="C1745" t="s">
        <v>1712</v>
      </c>
      <c r="D1745" t="s">
        <v>1</v>
      </c>
      <c r="E1745" t="s">
        <v>2</v>
      </c>
      <c r="F1745">
        <v>27000000</v>
      </c>
      <c r="G1745">
        <v>1980</v>
      </c>
      <c r="H1745">
        <v>7.9</v>
      </c>
    </row>
    <row r="1746" spans="1:8" x14ac:dyDescent="0.25">
      <c r="A1746">
        <v>82</v>
      </c>
      <c r="B1746">
        <v>31768374</v>
      </c>
      <c r="C1746" t="s">
        <v>1715</v>
      </c>
      <c r="D1746" t="s">
        <v>1</v>
      </c>
      <c r="E1746" t="s">
        <v>2</v>
      </c>
      <c r="F1746">
        <v>27000000</v>
      </c>
      <c r="G1746">
        <v>1999</v>
      </c>
      <c r="H1746">
        <v>5.6</v>
      </c>
    </row>
    <row r="1747" spans="1:8" x14ac:dyDescent="0.25">
      <c r="A1747">
        <v>110</v>
      </c>
      <c r="B1747">
        <v>22494487</v>
      </c>
      <c r="C1747" t="s">
        <v>1716</v>
      </c>
      <c r="D1747" t="s">
        <v>1</v>
      </c>
      <c r="E1747" t="s">
        <v>119</v>
      </c>
      <c r="F1747">
        <v>27000000</v>
      </c>
      <c r="G1747">
        <v>2006</v>
      </c>
      <c r="H1747">
        <v>7.8</v>
      </c>
    </row>
    <row r="1748" spans="1:8" x14ac:dyDescent="0.25">
      <c r="A1748">
        <v>193</v>
      </c>
      <c r="B1748">
        <v>21500000</v>
      </c>
      <c r="C1748" t="s">
        <v>1717</v>
      </c>
      <c r="D1748" t="s">
        <v>1</v>
      </c>
      <c r="E1748" t="s">
        <v>2</v>
      </c>
      <c r="F1748">
        <v>27000000</v>
      </c>
      <c r="G1748">
        <v>1983</v>
      </c>
      <c r="H1748">
        <v>7.9</v>
      </c>
    </row>
    <row r="1749" spans="1:8" x14ac:dyDescent="0.25">
      <c r="A1749">
        <v>111</v>
      </c>
      <c r="B1749">
        <v>14337579</v>
      </c>
      <c r="C1749" t="s">
        <v>1720</v>
      </c>
      <c r="D1749" t="s">
        <v>1</v>
      </c>
      <c r="E1749" t="s">
        <v>55</v>
      </c>
      <c r="F1749">
        <v>27000000</v>
      </c>
      <c r="G1749">
        <v>1998</v>
      </c>
      <c r="H1749">
        <v>7.7</v>
      </c>
    </row>
    <row r="1750" spans="1:8" x14ac:dyDescent="0.25">
      <c r="A1750">
        <v>123</v>
      </c>
      <c r="B1750">
        <v>10297897</v>
      </c>
      <c r="C1750" t="s">
        <v>1722</v>
      </c>
      <c r="D1750" t="s">
        <v>1</v>
      </c>
      <c r="E1750" t="s">
        <v>2</v>
      </c>
      <c r="F1750">
        <v>27000000</v>
      </c>
      <c r="G1750">
        <v>1998</v>
      </c>
      <c r="H1750">
        <v>6</v>
      </c>
    </row>
    <row r="1751" spans="1:8" x14ac:dyDescent="0.25">
      <c r="A1751">
        <v>109</v>
      </c>
      <c r="B1751">
        <v>13248477</v>
      </c>
      <c r="C1751" t="s">
        <v>1723</v>
      </c>
      <c r="D1751" t="s">
        <v>1</v>
      </c>
      <c r="E1751" t="s">
        <v>2</v>
      </c>
      <c r="F1751">
        <v>27000000</v>
      </c>
      <c r="G1751">
        <v>2009</v>
      </c>
      <c r="H1751">
        <v>6.2</v>
      </c>
    </row>
    <row r="1752" spans="1:8" x14ac:dyDescent="0.25">
      <c r="A1752">
        <v>99</v>
      </c>
      <c r="B1752">
        <v>8712564</v>
      </c>
      <c r="C1752" t="s">
        <v>1724</v>
      </c>
      <c r="D1752" t="s">
        <v>1</v>
      </c>
      <c r="E1752" t="s">
        <v>2</v>
      </c>
      <c r="F1752">
        <v>27000000</v>
      </c>
      <c r="G1752">
        <v>2004</v>
      </c>
      <c r="H1752">
        <v>5.9</v>
      </c>
    </row>
    <row r="1753" spans="1:8" x14ac:dyDescent="0.25">
      <c r="A1753">
        <v>106</v>
      </c>
      <c r="B1753">
        <v>7486906</v>
      </c>
      <c r="C1753" t="s">
        <v>1725</v>
      </c>
      <c r="D1753" t="s">
        <v>1</v>
      </c>
      <c r="E1753" t="s">
        <v>2</v>
      </c>
      <c r="F1753">
        <v>27000000</v>
      </c>
      <c r="G1753">
        <v>2007</v>
      </c>
      <c r="H1753">
        <v>6.8</v>
      </c>
    </row>
    <row r="1754" spans="1:8" x14ac:dyDescent="0.25">
      <c r="A1754">
        <v>89</v>
      </c>
      <c r="B1754">
        <v>38536376</v>
      </c>
      <c r="C1754" t="s">
        <v>1726</v>
      </c>
      <c r="D1754" t="s">
        <v>1</v>
      </c>
      <c r="E1754" t="s">
        <v>2</v>
      </c>
      <c r="F1754">
        <v>27000000</v>
      </c>
      <c r="G1754">
        <v>2011</v>
      </c>
      <c r="H1754">
        <v>3.6</v>
      </c>
    </row>
    <row r="1755" spans="1:8" x14ac:dyDescent="0.25">
      <c r="A1755">
        <v>98</v>
      </c>
      <c r="B1755">
        <v>41008532</v>
      </c>
      <c r="C1755" t="s">
        <v>1727</v>
      </c>
      <c r="D1755" t="s">
        <v>1</v>
      </c>
      <c r="E1755" t="s">
        <v>2</v>
      </c>
      <c r="F1755">
        <v>27000000</v>
      </c>
      <c r="G1755">
        <v>2016</v>
      </c>
      <c r="H1755">
        <v>6.7</v>
      </c>
    </row>
    <row r="1756" spans="1:8" x14ac:dyDescent="0.25">
      <c r="A1756">
        <v>101</v>
      </c>
      <c r="B1756">
        <v>4476235</v>
      </c>
      <c r="C1756" t="s">
        <v>1730</v>
      </c>
      <c r="D1756" t="s">
        <v>1</v>
      </c>
      <c r="E1756" t="s">
        <v>2</v>
      </c>
      <c r="F1756">
        <v>27000000</v>
      </c>
      <c r="G1756">
        <v>2004</v>
      </c>
      <c r="H1756">
        <v>6.4</v>
      </c>
    </row>
    <row r="1757" spans="1:8" x14ac:dyDescent="0.25">
      <c r="A1757">
        <v>117</v>
      </c>
      <c r="B1757">
        <v>87341380</v>
      </c>
      <c r="C1757" t="s">
        <v>1739</v>
      </c>
      <c r="D1757" t="s">
        <v>1</v>
      </c>
      <c r="E1757" t="s">
        <v>2</v>
      </c>
      <c r="F1757">
        <v>27000000</v>
      </c>
      <c r="G1757">
        <v>2008</v>
      </c>
      <c r="H1757">
        <v>7</v>
      </c>
    </row>
    <row r="1758" spans="1:8" x14ac:dyDescent="0.25">
      <c r="A1758">
        <v>117</v>
      </c>
      <c r="B1758">
        <v>24944213</v>
      </c>
      <c r="C1758" t="s">
        <v>1833</v>
      </c>
      <c r="D1758" t="s">
        <v>1</v>
      </c>
      <c r="E1758" t="s">
        <v>2</v>
      </c>
      <c r="F1758">
        <v>27000000</v>
      </c>
      <c r="G1758">
        <v>1996</v>
      </c>
      <c r="H1758">
        <v>6.9</v>
      </c>
    </row>
    <row r="1759" spans="1:8" x14ac:dyDescent="0.25">
      <c r="A1759">
        <v>87</v>
      </c>
      <c r="B1759">
        <v>26876529</v>
      </c>
      <c r="C1759" t="s">
        <v>2073</v>
      </c>
      <c r="D1759" t="s">
        <v>1</v>
      </c>
      <c r="E1759" t="s">
        <v>103</v>
      </c>
      <c r="F1759">
        <v>27000000</v>
      </c>
      <c r="G1759">
        <v>2008</v>
      </c>
      <c r="H1759">
        <v>3.9</v>
      </c>
    </row>
    <row r="1760" spans="1:8" x14ac:dyDescent="0.25">
      <c r="A1760">
        <v>88</v>
      </c>
      <c r="B1760">
        <v>15988876</v>
      </c>
      <c r="C1760" t="s">
        <v>2115</v>
      </c>
      <c r="D1760" t="s">
        <v>1</v>
      </c>
      <c r="E1760" t="s">
        <v>2</v>
      </c>
      <c r="F1760">
        <v>27000000</v>
      </c>
      <c r="G1760">
        <v>2009</v>
      </c>
      <c r="H1760">
        <v>5.7</v>
      </c>
    </row>
    <row r="1761" spans="1:8" x14ac:dyDescent="0.25">
      <c r="A1761">
        <v>110</v>
      </c>
      <c r="B1761">
        <v>22494487</v>
      </c>
      <c r="C1761" t="s">
        <v>1716</v>
      </c>
      <c r="D1761" t="s">
        <v>1</v>
      </c>
      <c r="E1761" t="s">
        <v>119</v>
      </c>
      <c r="F1761">
        <v>27000000</v>
      </c>
      <c r="G1761">
        <v>2006</v>
      </c>
      <c r="H1761">
        <v>7.8</v>
      </c>
    </row>
    <row r="1762" spans="1:8" x14ac:dyDescent="0.25">
      <c r="A1762">
        <v>93</v>
      </c>
      <c r="B1762">
        <v>48114556</v>
      </c>
      <c r="C1762" t="s">
        <v>1058</v>
      </c>
      <c r="D1762" t="s">
        <v>1</v>
      </c>
      <c r="E1762" t="s">
        <v>2</v>
      </c>
      <c r="F1762">
        <v>26000000</v>
      </c>
      <c r="G1762">
        <v>2004</v>
      </c>
      <c r="H1762">
        <v>4.3</v>
      </c>
    </row>
    <row r="1763" spans="1:8" x14ac:dyDescent="0.25">
      <c r="A1763">
        <v>107</v>
      </c>
      <c r="B1763">
        <v>3675072</v>
      </c>
      <c r="C1763" t="s">
        <v>1260</v>
      </c>
      <c r="D1763" t="s">
        <v>1</v>
      </c>
      <c r="E1763" t="s">
        <v>5</v>
      </c>
      <c r="F1763">
        <v>26000000</v>
      </c>
      <c r="G1763">
        <v>2007</v>
      </c>
      <c r="H1763">
        <v>7.3</v>
      </c>
    </row>
    <row r="1764" spans="1:8" x14ac:dyDescent="0.25">
      <c r="A1764">
        <v>103</v>
      </c>
      <c r="B1764">
        <v>105444419</v>
      </c>
      <c r="C1764" t="s">
        <v>1525</v>
      </c>
      <c r="D1764" t="s">
        <v>1</v>
      </c>
      <c r="E1764" t="s">
        <v>2</v>
      </c>
      <c r="F1764">
        <v>26000000</v>
      </c>
      <c r="G1764">
        <v>1996</v>
      </c>
      <c r="H1764">
        <v>6.2</v>
      </c>
    </row>
    <row r="1765" spans="1:8" x14ac:dyDescent="0.25">
      <c r="A1765">
        <v>104</v>
      </c>
      <c r="B1765">
        <v>16999046</v>
      </c>
      <c r="C1765" t="s">
        <v>1612</v>
      </c>
      <c r="D1765" t="s">
        <v>1</v>
      </c>
      <c r="E1765" t="s">
        <v>38</v>
      </c>
      <c r="F1765">
        <v>26000000</v>
      </c>
      <c r="G1765">
        <v>2009</v>
      </c>
      <c r="H1765">
        <v>5.8</v>
      </c>
    </row>
    <row r="1766" spans="1:8" x14ac:dyDescent="0.25">
      <c r="A1766">
        <v>110</v>
      </c>
      <c r="B1766">
        <v>58885635</v>
      </c>
      <c r="C1766" t="s">
        <v>1668</v>
      </c>
      <c r="D1766" t="s">
        <v>1</v>
      </c>
      <c r="E1766" t="s">
        <v>2</v>
      </c>
      <c r="F1766">
        <v>26000000</v>
      </c>
      <c r="G1766">
        <v>2004</v>
      </c>
      <c r="H1766">
        <v>7.4</v>
      </c>
    </row>
    <row r="1767" spans="1:8" x14ac:dyDescent="0.25">
      <c r="A1767">
        <v>91</v>
      </c>
      <c r="B1767">
        <v>20819129</v>
      </c>
      <c r="C1767" t="s">
        <v>1733</v>
      </c>
      <c r="D1767" t="s">
        <v>1</v>
      </c>
      <c r="E1767" t="s">
        <v>2</v>
      </c>
      <c r="F1767">
        <v>26000000</v>
      </c>
      <c r="G1767">
        <v>2009</v>
      </c>
      <c r="H1767">
        <v>5.2</v>
      </c>
    </row>
    <row r="1768" spans="1:8" x14ac:dyDescent="0.25">
      <c r="A1768">
        <v>97</v>
      </c>
      <c r="B1768">
        <v>110222438</v>
      </c>
      <c r="C1768" t="s">
        <v>1734</v>
      </c>
      <c r="D1768" t="s">
        <v>1</v>
      </c>
      <c r="E1768" t="s">
        <v>2</v>
      </c>
      <c r="F1768">
        <v>26000000</v>
      </c>
      <c r="G1768">
        <v>2003</v>
      </c>
      <c r="H1768">
        <v>6.1</v>
      </c>
    </row>
    <row r="1769" spans="1:8" x14ac:dyDescent="0.25">
      <c r="A1769">
        <v>133</v>
      </c>
      <c r="B1769">
        <v>109243478</v>
      </c>
      <c r="C1769" t="s">
        <v>1735</v>
      </c>
      <c r="D1769" t="s">
        <v>1</v>
      </c>
      <c r="E1769" t="s">
        <v>2</v>
      </c>
      <c r="F1769">
        <v>26000000</v>
      </c>
      <c r="G1769">
        <v>2005</v>
      </c>
      <c r="H1769">
        <v>7.1</v>
      </c>
    </row>
    <row r="1770" spans="1:8" x14ac:dyDescent="0.25">
      <c r="A1770">
        <v>111</v>
      </c>
      <c r="B1770">
        <v>91457688</v>
      </c>
      <c r="C1770" t="s">
        <v>1738</v>
      </c>
      <c r="D1770" t="s">
        <v>1</v>
      </c>
      <c r="E1770" t="s">
        <v>2</v>
      </c>
      <c r="F1770">
        <v>26000000</v>
      </c>
      <c r="G1770">
        <v>1990</v>
      </c>
      <c r="H1770">
        <v>6</v>
      </c>
    </row>
    <row r="1771" spans="1:8" x14ac:dyDescent="0.25">
      <c r="A1771">
        <v>121</v>
      </c>
      <c r="B1771">
        <v>65703412</v>
      </c>
      <c r="C1771" t="s">
        <v>1740</v>
      </c>
      <c r="D1771" t="s">
        <v>1</v>
      </c>
      <c r="E1771" t="s">
        <v>2</v>
      </c>
      <c r="F1771">
        <v>26000000</v>
      </c>
      <c r="G1771">
        <v>1998</v>
      </c>
      <c r="H1771">
        <v>7</v>
      </c>
    </row>
    <row r="1772" spans="1:8" x14ac:dyDescent="0.25">
      <c r="A1772">
        <v>115</v>
      </c>
      <c r="B1772">
        <v>61490000</v>
      </c>
      <c r="C1772" t="s">
        <v>1742</v>
      </c>
      <c r="D1772" t="s">
        <v>1</v>
      </c>
      <c r="E1772" t="s">
        <v>2</v>
      </c>
      <c r="F1772">
        <v>26000000</v>
      </c>
      <c r="G1772">
        <v>1990</v>
      </c>
      <c r="H1772">
        <v>6.6</v>
      </c>
    </row>
    <row r="1773" spans="1:8" x14ac:dyDescent="0.25">
      <c r="A1773">
        <v>175</v>
      </c>
      <c r="B1773">
        <v>50800000</v>
      </c>
      <c r="C1773" t="s">
        <v>1743</v>
      </c>
      <c r="D1773" t="s">
        <v>1</v>
      </c>
      <c r="E1773" t="s">
        <v>2</v>
      </c>
      <c r="F1773">
        <v>26000000</v>
      </c>
      <c r="G1773">
        <v>1977</v>
      </c>
      <c r="H1773">
        <v>7.4</v>
      </c>
    </row>
    <row r="1774" spans="1:8" x14ac:dyDescent="0.25">
      <c r="A1774">
        <v>85</v>
      </c>
      <c r="B1774">
        <v>57859105</v>
      </c>
      <c r="C1774" t="s">
        <v>1744</v>
      </c>
      <c r="D1774" t="s">
        <v>1</v>
      </c>
      <c r="E1774" t="s">
        <v>2</v>
      </c>
      <c r="F1774">
        <v>26000000</v>
      </c>
      <c r="G1774">
        <v>2005</v>
      </c>
      <c r="H1774">
        <v>6.5</v>
      </c>
    </row>
    <row r="1775" spans="1:8" x14ac:dyDescent="0.25">
      <c r="A1775">
        <v>90</v>
      </c>
      <c r="B1775">
        <v>46455802</v>
      </c>
      <c r="C1775" t="s">
        <v>1745</v>
      </c>
      <c r="D1775" t="s">
        <v>1</v>
      </c>
      <c r="E1775" t="s">
        <v>2</v>
      </c>
      <c r="F1775">
        <v>26000000</v>
      </c>
      <c r="G1775">
        <v>2003</v>
      </c>
      <c r="H1775">
        <v>6.2</v>
      </c>
    </row>
    <row r="1776" spans="1:8" x14ac:dyDescent="0.25">
      <c r="A1776">
        <v>107</v>
      </c>
      <c r="B1776">
        <v>45506619</v>
      </c>
      <c r="C1776" t="s">
        <v>1746</v>
      </c>
      <c r="D1776" t="s">
        <v>1</v>
      </c>
      <c r="E1776" t="s">
        <v>5</v>
      </c>
      <c r="F1776">
        <v>26000000</v>
      </c>
      <c r="G1776">
        <v>2000</v>
      </c>
      <c r="H1776">
        <v>7.8</v>
      </c>
    </row>
    <row r="1777" spans="1:8" x14ac:dyDescent="0.25">
      <c r="A1777">
        <v>100</v>
      </c>
      <c r="B1777">
        <v>40168080</v>
      </c>
      <c r="C1777" t="s">
        <v>1747</v>
      </c>
      <c r="D1777" t="s">
        <v>1</v>
      </c>
      <c r="E1777" t="s">
        <v>2</v>
      </c>
      <c r="F1777">
        <v>26000000</v>
      </c>
      <c r="G1777">
        <v>2010</v>
      </c>
      <c r="H1777">
        <v>5.2</v>
      </c>
    </row>
    <row r="1778" spans="1:8" x14ac:dyDescent="0.25">
      <c r="A1778">
        <v>129</v>
      </c>
      <c r="B1778">
        <v>49874933</v>
      </c>
      <c r="C1778" t="s">
        <v>1748</v>
      </c>
      <c r="D1778" t="s">
        <v>1</v>
      </c>
      <c r="E1778" t="s">
        <v>2</v>
      </c>
      <c r="F1778">
        <v>26000000</v>
      </c>
      <c r="G1778">
        <v>2013</v>
      </c>
      <c r="H1778">
        <v>6.5</v>
      </c>
    </row>
    <row r="1779" spans="1:8" x14ac:dyDescent="0.25">
      <c r="A1779">
        <v>109</v>
      </c>
      <c r="B1779">
        <v>45489752</v>
      </c>
      <c r="C1779" t="s">
        <v>1749</v>
      </c>
      <c r="D1779" t="s">
        <v>1</v>
      </c>
      <c r="E1779" t="s">
        <v>2</v>
      </c>
      <c r="F1779">
        <v>26000000</v>
      </c>
      <c r="G1779">
        <v>2004</v>
      </c>
      <c r="H1779">
        <v>6.5</v>
      </c>
    </row>
    <row r="1780" spans="1:8" x14ac:dyDescent="0.25">
      <c r="A1780">
        <v>94</v>
      </c>
      <c r="B1780">
        <v>36985501</v>
      </c>
      <c r="C1780" t="s">
        <v>1750</v>
      </c>
      <c r="D1780" t="s">
        <v>1</v>
      </c>
      <c r="E1780" t="s">
        <v>2</v>
      </c>
      <c r="F1780">
        <v>26000000</v>
      </c>
      <c r="G1780">
        <v>2002</v>
      </c>
      <c r="H1780">
        <v>5.2</v>
      </c>
    </row>
    <row r="1781" spans="1:8" x14ac:dyDescent="0.25">
      <c r="A1781">
        <v>133</v>
      </c>
      <c r="B1781">
        <v>33200000</v>
      </c>
      <c r="C1781" t="s">
        <v>1751</v>
      </c>
      <c r="D1781" t="s">
        <v>1</v>
      </c>
      <c r="E1781" t="s">
        <v>2</v>
      </c>
      <c r="F1781">
        <v>26000000</v>
      </c>
      <c r="G1781">
        <v>1985</v>
      </c>
      <c r="H1781">
        <v>7.2</v>
      </c>
    </row>
    <row r="1782" spans="1:8" x14ac:dyDescent="0.25">
      <c r="A1782">
        <v>105</v>
      </c>
      <c r="B1782">
        <v>28501651</v>
      </c>
      <c r="C1782" t="s">
        <v>1752</v>
      </c>
      <c r="D1782" t="s">
        <v>1</v>
      </c>
      <c r="E1782" t="s">
        <v>2</v>
      </c>
      <c r="F1782">
        <v>26000000</v>
      </c>
      <c r="G1782">
        <v>2009</v>
      </c>
      <c r="H1782">
        <v>7.1</v>
      </c>
    </row>
    <row r="1783" spans="1:8" x14ac:dyDescent="0.25">
      <c r="A1783">
        <v>100</v>
      </c>
      <c r="B1783">
        <v>23222861</v>
      </c>
      <c r="C1783" t="s">
        <v>1753</v>
      </c>
      <c r="D1783" t="s">
        <v>1</v>
      </c>
      <c r="E1783" t="s">
        <v>2</v>
      </c>
      <c r="F1783">
        <v>26000000</v>
      </c>
      <c r="G1783">
        <v>2004</v>
      </c>
      <c r="H1783">
        <v>4.5</v>
      </c>
    </row>
    <row r="1784" spans="1:8" x14ac:dyDescent="0.25">
      <c r="A1784">
        <v>110</v>
      </c>
      <c r="B1784">
        <v>16005978</v>
      </c>
      <c r="C1784" t="s">
        <v>1756</v>
      </c>
      <c r="D1784" t="s">
        <v>1</v>
      </c>
      <c r="E1784" t="s">
        <v>2</v>
      </c>
      <c r="F1784">
        <v>26000000</v>
      </c>
      <c r="G1784">
        <v>2012</v>
      </c>
      <c r="H1784">
        <v>6.4</v>
      </c>
    </row>
    <row r="1785" spans="1:8" x14ac:dyDescent="0.25">
      <c r="A1785">
        <v>110</v>
      </c>
      <c r="B1785">
        <v>14469428</v>
      </c>
      <c r="C1785" t="s">
        <v>1757</v>
      </c>
      <c r="D1785" t="s">
        <v>1</v>
      </c>
      <c r="E1785" t="s">
        <v>2</v>
      </c>
      <c r="F1785">
        <v>26000000</v>
      </c>
      <c r="G1785">
        <v>2004</v>
      </c>
      <c r="H1785">
        <v>5.2</v>
      </c>
    </row>
    <row r="1786" spans="1:8" x14ac:dyDescent="0.25">
      <c r="A1786">
        <v>99</v>
      </c>
      <c r="B1786">
        <v>13829734</v>
      </c>
      <c r="C1786" t="s">
        <v>1758</v>
      </c>
      <c r="D1786" t="s">
        <v>1</v>
      </c>
      <c r="E1786" t="s">
        <v>38</v>
      </c>
      <c r="F1786">
        <v>26000000</v>
      </c>
      <c r="G1786">
        <v>1994</v>
      </c>
      <c r="H1786">
        <v>4.3</v>
      </c>
    </row>
    <row r="1787" spans="1:8" x14ac:dyDescent="0.25">
      <c r="A1787">
        <v>103</v>
      </c>
      <c r="B1787">
        <v>7496522</v>
      </c>
      <c r="C1787" t="s">
        <v>1760</v>
      </c>
      <c r="D1787" t="s">
        <v>1</v>
      </c>
      <c r="E1787" t="s">
        <v>2</v>
      </c>
      <c r="F1787">
        <v>26000000</v>
      </c>
      <c r="G1787">
        <v>2001</v>
      </c>
      <c r="H1787">
        <v>6.8</v>
      </c>
    </row>
    <row r="1788" spans="1:8" x14ac:dyDescent="0.25">
      <c r="A1788">
        <v>117</v>
      </c>
      <c r="B1788">
        <v>12276810</v>
      </c>
      <c r="C1788" t="s">
        <v>1762</v>
      </c>
      <c r="D1788" t="s">
        <v>1</v>
      </c>
      <c r="E1788" t="s">
        <v>2</v>
      </c>
      <c r="F1788">
        <v>26000000</v>
      </c>
      <c r="G1788">
        <v>2015</v>
      </c>
      <c r="H1788">
        <v>6.5</v>
      </c>
    </row>
    <row r="1789" spans="1:8" x14ac:dyDescent="0.25">
      <c r="A1789">
        <v>118</v>
      </c>
      <c r="B1789">
        <v>26761283</v>
      </c>
      <c r="C1789" t="s">
        <v>1771</v>
      </c>
      <c r="D1789" t="s">
        <v>1</v>
      </c>
      <c r="E1789" t="s">
        <v>2</v>
      </c>
      <c r="F1789">
        <v>26000000</v>
      </c>
      <c r="G1789">
        <v>2014</v>
      </c>
      <c r="H1789">
        <v>6.7</v>
      </c>
    </row>
    <row r="1790" spans="1:8" x14ac:dyDescent="0.25">
      <c r="A1790">
        <v>97</v>
      </c>
      <c r="B1790">
        <v>71500556</v>
      </c>
      <c r="C1790" t="s">
        <v>1784</v>
      </c>
      <c r="D1790" t="s">
        <v>1</v>
      </c>
      <c r="E1790" t="s">
        <v>5</v>
      </c>
      <c r="F1790">
        <v>26000000</v>
      </c>
      <c r="G1790">
        <v>2001</v>
      </c>
      <c r="H1790">
        <v>6.7</v>
      </c>
    </row>
    <row r="1791" spans="1:8" x14ac:dyDescent="0.25">
      <c r="A1791">
        <v>98</v>
      </c>
      <c r="B1791">
        <v>84136909</v>
      </c>
      <c r="C1791" t="s">
        <v>1798</v>
      </c>
      <c r="D1791" t="s">
        <v>1</v>
      </c>
      <c r="E1791" t="s">
        <v>2</v>
      </c>
      <c r="F1791">
        <v>26000000</v>
      </c>
      <c r="G1791">
        <v>2004</v>
      </c>
      <c r="H1791">
        <v>7.2</v>
      </c>
    </row>
    <row r="1792" spans="1:8" x14ac:dyDescent="0.25">
      <c r="A1792">
        <v>102</v>
      </c>
      <c r="B1792">
        <v>47285499</v>
      </c>
      <c r="C1792" t="s">
        <v>1800</v>
      </c>
      <c r="D1792" t="s">
        <v>1</v>
      </c>
      <c r="E1792" t="s">
        <v>2</v>
      </c>
      <c r="F1792">
        <v>26000000</v>
      </c>
      <c r="G1792">
        <v>2003</v>
      </c>
      <c r="H1792">
        <v>5</v>
      </c>
    </row>
    <row r="1793" spans="1:8" x14ac:dyDescent="0.25">
      <c r="A1793">
        <v>90</v>
      </c>
      <c r="B1793">
        <v>16647384</v>
      </c>
      <c r="C1793" t="s">
        <v>1847</v>
      </c>
      <c r="D1793" t="s">
        <v>1</v>
      </c>
      <c r="E1793" t="s">
        <v>2</v>
      </c>
      <c r="F1793">
        <v>26000000</v>
      </c>
      <c r="G1793">
        <v>2006</v>
      </c>
      <c r="H1793">
        <v>5.0999999999999996</v>
      </c>
    </row>
    <row r="1794" spans="1:8" x14ac:dyDescent="0.25">
      <c r="A1794">
        <v>127</v>
      </c>
      <c r="B1794">
        <v>12188642</v>
      </c>
      <c r="C1794" t="s">
        <v>1864</v>
      </c>
      <c r="D1794" t="s">
        <v>1</v>
      </c>
      <c r="E1794" t="s">
        <v>1865</v>
      </c>
      <c r="F1794">
        <v>26000000</v>
      </c>
      <c r="G1794">
        <v>2015</v>
      </c>
      <c r="H1794">
        <v>6.9</v>
      </c>
    </row>
    <row r="1795" spans="1:8" x14ac:dyDescent="0.25">
      <c r="A1795">
        <v>105</v>
      </c>
      <c r="B1795">
        <v>30659817</v>
      </c>
      <c r="C1795" t="s">
        <v>1967</v>
      </c>
      <c r="D1795" t="s">
        <v>1</v>
      </c>
      <c r="E1795" t="s">
        <v>2</v>
      </c>
      <c r="F1795">
        <v>26000000</v>
      </c>
      <c r="G1795">
        <v>2013</v>
      </c>
      <c r="H1795">
        <v>6.4</v>
      </c>
    </row>
    <row r="1796" spans="1:8" x14ac:dyDescent="0.25">
      <c r="A1796">
        <v>125</v>
      </c>
      <c r="B1796">
        <v>77324422</v>
      </c>
      <c r="C1796" t="s">
        <v>2363</v>
      </c>
      <c r="D1796" t="s">
        <v>1</v>
      </c>
      <c r="E1796" t="s">
        <v>2</v>
      </c>
      <c r="F1796">
        <v>26000000</v>
      </c>
      <c r="G1796">
        <v>1993</v>
      </c>
      <c r="H1796">
        <v>7.7</v>
      </c>
    </row>
    <row r="1797" spans="1:8" x14ac:dyDescent="0.25">
      <c r="A1797">
        <v>137</v>
      </c>
      <c r="B1797">
        <v>5459824</v>
      </c>
      <c r="C1797" t="s">
        <v>2549</v>
      </c>
      <c r="D1797" t="s">
        <v>1</v>
      </c>
      <c r="E1797" t="s">
        <v>2</v>
      </c>
      <c r="F1797">
        <v>26000000</v>
      </c>
      <c r="G1797">
        <v>2006</v>
      </c>
      <c r="H1797">
        <v>7.6</v>
      </c>
    </row>
    <row r="1798" spans="1:8" x14ac:dyDescent="0.25">
      <c r="A1798">
        <v>105</v>
      </c>
      <c r="B1798">
        <v>28501651</v>
      </c>
      <c r="C1798" t="s">
        <v>1752</v>
      </c>
      <c r="D1798" t="s">
        <v>1</v>
      </c>
      <c r="E1798" t="s">
        <v>2</v>
      </c>
      <c r="F1798">
        <v>26000000</v>
      </c>
      <c r="G1798">
        <v>2009</v>
      </c>
      <c r="H1798">
        <v>7.1</v>
      </c>
    </row>
    <row r="1799" spans="1:8" x14ac:dyDescent="0.25">
      <c r="A1799">
        <v>149</v>
      </c>
      <c r="B1799">
        <v>25809813</v>
      </c>
      <c r="C1799" t="s">
        <v>3452</v>
      </c>
      <c r="D1799" t="s">
        <v>1</v>
      </c>
      <c r="E1799" t="s">
        <v>2</v>
      </c>
      <c r="F1799">
        <v>26000000</v>
      </c>
      <c r="G1799">
        <v>1996</v>
      </c>
      <c r="H1799">
        <v>6.9</v>
      </c>
    </row>
    <row r="1800" spans="1:8" x14ac:dyDescent="0.25">
      <c r="A1800">
        <v>110</v>
      </c>
      <c r="B1800">
        <v>58885635</v>
      </c>
      <c r="C1800" t="s">
        <v>1668</v>
      </c>
      <c r="D1800" t="s">
        <v>1</v>
      </c>
      <c r="E1800" t="s">
        <v>2</v>
      </c>
      <c r="F1800">
        <v>26000000</v>
      </c>
      <c r="G1800">
        <v>2004</v>
      </c>
      <c r="H1800">
        <v>7.4</v>
      </c>
    </row>
    <row r="1801" spans="1:8" x14ac:dyDescent="0.25">
      <c r="A1801">
        <v>95</v>
      </c>
      <c r="B1801">
        <v>20047715</v>
      </c>
      <c r="C1801" t="s">
        <v>1761</v>
      </c>
      <c r="D1801" t="s">
        <v>1</v>
      </c>
      <c r="E1801" t="s">
        <v>2</v>
      </c>
      <c r="F1801">
        <v>25530000</v>
      </c>
      <c r="G1801">
        <v>1996</v>
      </c>
      <c r="H1801">
        <v>5.2</v>
      </c>
    </row>
    <row r="1802" spans="1:8" x14ac:dyDescent="0.25">
      <c r="A1802">
        <v>144</v>
      </c>
      <c r="B1802">
        <v>41229</v>
      </c>
      <c r="C1802" t="s">
        <v>1824</v>
      </c>
      <c r="D1802" t="s">
        <v>1</v>
      </c>
      <c r="E1802" t="s">
        <v>244</v>
      </c>
      <c r="F1802">
        <v>25500000</v>
      </c>
      <c r="G1802">
        <v>2013</v>
      </c>
      <c r="H1802">
        <v>6.5</v>
      </c>
    </row>
    <row r="1803" spans="1:8" x14ac:dyDescent="0.25">
      <c r="A1803">
        <v>129</v>
      </c>
      <c r="B1803">
        <v>25517500</v>
      </c>
      <c r="C1803" t="s">
        <v>1769</v>
      </c>
      <c r="D1803" t="s">
        <v>1</v>
      </c>
      <c r="E1803" t="s">
        <v>2</v>
      </c>
      <c r="F1803">
        <v>25100000</v>
      </c>
      <c r="G1803">
        <v>2008</v>
      </c>
      <c r="H1803">
        <v>6.4</v>
      </c>
    </row>
    <row r="1804" spans="1:8" x14ac:dyDescent="0.25">
      <c r="A1804">
        <v>96</v>
      </c>
      <c r="B1804">
        <v>17114882</v>
      </c>
      <c r="C1804" t="s">
        <v>974</v>
      </c>
      <c r="D1804" t="s">
        <v>1</v>
      </c>
      <c r="E1804" t="s">
        <v>2</v>
      </c>
      <c r="F1804">
        <v>25000000</v>
      </c>
      <c r="G1804">
        <v>2007</v>
      </c>
      <c r="H1804">
        <v>7.7</v>
      </c>
    </row>
    <row r="1805" spans="1:8" x14ac:dyDescent="0.25">
      <c r="A1805">
        <v>127</v>
      </c>
      <c r="B1805">
        <v>14946229</v>
      </c>
      <c r="C1805" t="s">
        <v>1027</v>
      </c>
      <c r="D1805" t="s">
        <v>1</v>
      </c>
      <c r="E1805" t="s">
        <v>5</v>
      </c>
      <c r="F1805">
        <v>25000000</v>
      </c>
      <c r="G1805">
        <v>2016</v>
      </c>
      <c r="H1805">
        <v>7.3</v>
      </c>
    </row>
    <row r="1806" spans="1:8" x14ac:dyDescent="0.25">
      <c r="A1806">
        <v>94</v>
      </c>
      <c r="B1806">
        <v>32003620</v>
      </c>
      <c r="C1806" t="s">
        <v>1065</v>
      </c>
      <c r="D1806" t="s">
        <v>1</v>
      </c>
      <c r="E1806" t="s">
        <v>2</v>
      </c>
      <c r="F1806">
        <v>25000000</v>
      </c>
      <c r="G1806">
        <v>2004</v>
      </c>
      <c r="H1806">
        <v>6.5</v>
      </c>
    </row>
    <row r="1807" spans="1:8" x14ac:dyDescent="0.25">
      <c r="A1807">
        <v>105</v>
      </c>
      <c r="B1807">
        <v>51853450</v>
      </c>
      <c r="C1807" t="s">
        <v>1193</v>
      </c>
      <c r="D1807" t="s">
        <v>1</v>
      </c>
      <c r="E1807" t="s">
        <v>2</v>
      </c>
      <c r="F1807">
        <v>25000000</v>
      </c>
      <c r="G1807">
        <v>2012</v>
      </c>
      <c r="H1807">
        <v>6.6</v>
      </c>
    </row>
    <row r="1808" spans="1:8" x14ac:dyDescent="0.25">
      <c r="A1808">
        <v>93</v>
      </c>
      <c r="B1808">
        <v>32055248</v>
      </c>
      <c r="C1808" t="s">
        <v>1216</v>
      </c>
      <c r="D1808" t="s">
        <v>1</v>
      </c>
      <c r="E1808" t="s">
        <v>2</v>
      </c>
      <c r="F1808">
        <v>25000000</v>
      </c>
      <c r="G1808">
        <v>1994</v>
      </c>
      <c r="H1808">
        <v>6</v>
      </c>
    </row>
    <row r="1809" spans="1:8" x14ac:dyDescent="0.25">
      <c r="A1809">
        <v>101</v>
      </c>
      <c r="B1809">
        <v>876671</v>
      </c>
      <c r="C1809" t="s">
        <v>1267</v>
      </c>
      <c r="D1809" t="s">
        <v>1</v>
      </c>
      <c r="E1809" t="s">
        <v>2</v>
      </c>
      <c r="F1809">
        <v>25000000</v>
      </c>
      <c r="G1809">
        <v>2007</v>
      </c>
      <c r="H1809">
        <v>6.9</v>
      </c>
    </row>
    <row r="1810" spans="1:8" x14ac:dyDescent="0.25">
      <c r="A1810">
        <v>112</v>
      </c>
      <c r="B1810">
        <v>77231</v>
      </c>
      <c r="C1810" t="s">
        <v>1270</v>
      </c>
      <c r="D1810" t="s">
        <v>1271</v>
      </c>
      <c r="E1810" t="s">
        <v>244</v>
      </c>
      <c r="F1810">
        <v>25000000</v>
      </c>
      <c r="G1810">
        <v>2005</v>
      </c>
      <c r="H1810">
        <v>6</v>
      </c>
    </row>
    <row r="1811" spans="1:8" x14ac:dyDescent="0.25">
      <c r="A1811">
        <v>99</v>
      </c>
      <c r="B1811">
        <v>59073773</v>
      </c>
      <c r="C1811" t="s">
        <v>1505</v>
      </c>
      <c r="D1811" t="s">
        <v>1</v>
      </c>
      <c r="E1811" t="s">
        <v>2</v>
      </c>
      <c r="F1811">
        <v>25000000</v>
      </c>
      <c r="G1811">
        <v>2014</v>
      </c>
      <c r="H1811">
        <v>8.1</v>
      </c>
    </row>
    <row r="1812" spans="1:8" x14ac:dyDescent="0.25">
      <c r="A1812">
        <v>116</v>
      </c>
      <c r="B1812">
        <v>121248145</v>
      </c>
      <c r="C1812" t="s">
        <v>1515</v>
      </c>
      <c r="D1812" t="s">
        <v>1</v>
      </c>
      <c r="E1812" t="s">
        <v>2</v>
      </c>
      <c r="F1812">
        <v>25000000</v>
      </c>
      <c r="G1812">
        <v>1994</v>
      </c>
      <c r="H1812">
        <v>7.2</v>
      </c>
    </row>
    <row r="1813" spans="1:8" x14ac:dyDescent="0.25">
      <c r="A1813">
        <v>138</v>
      </c>
      <c r="B1813">
        <v>90135191</v>
      </c>
      <c r="C1813" t="s">
        <v>1530</v>
      </c>
      <c r="D1813" t="s">
        <v>1</v>
      </c>
      <c r="E1813" t="s">
        <v>2</v>
      </c>
      <c r="F1813">
        <v>25000000</v>
      </c>
      <c r="G1813">
        <v>2003</v>
      </c>
      <c r="H1813">
        <v>8</v>
      </c>
    </row>
    <row r="1814" spans="1:8" x14ac:dyDescent="0.25">
      <c r="A1814">
        <v>108</v>
      </c>
      <c r="B1814">
        <v>83813460</v>
      </c>
      <c r="C1814" t="s">
        <v>1539</v>
      </c>
      <c r="D1814" t="s">
        <v>1</v>
      </c>
      <c r="E1814" t="s">
        <v>2</v>
      </c>
      <c r="F1814">
        <v>25000000</v>
      </c>
      <c r="G1814">
        <v>2009</v>
      </c>
      <c r="H1814">
        <v>7.4</v>
      </c>
    </row>
    <row r="1815" spans="1:8" x14ac:dyDescent="0.25">
      <c r="A1815">
        <v>112</v>
      </c>
      <c r="B1815">
        <v>42478175</v>
      </c>
      <c r="C1815" t="s">
        <v>1570</v>
      </c>
      <c r="D1815" t="s">
        <v>1</v>
      </c>
      <c r="E1815" t="s">
        <v>2</v>
      </c>
      <c r="F1815">
        <v>25000000</v>
      </c>
      <c r="G1815">
        <v>2015</v>
      </c>
      <c r="H1815">
        <v>7.2</v>
      </c>
    </row>
    <row r="1816" spans="1:8" x14ac:dyDescent="0.25">
      <c r="A1816">
        <v>102</v>
      </c>
      <c r="B1816">
        <v>38747385</v>
      </c>
      <c r="C1816" t="s">
        <v>1580</v>
      </c>
      <c r="D1816" t="s">
        <v>1</v>
      </c>
      <c r="E1816" t="s">
        <v>2</v>
      </c>
      <c r="F1816">
        <v>25000000</v>
      </c>
      <c r="G1816">
        <v>1986</v>
      </c>
      <c r="H1816">
        <v>6.9</v>
      </c>
    </row>
    <row r="1817" spans="1:8" x14ac:dyDescent="0.25">
      <c r="A1817">
        <v>105</v>
      </c>
      <c r="B1817">
        <v>17100000</v>
      </c>
      <c r="C1817" t="s">
        <v>1606</v>
      </c>
      <c r="D1817" t="s">
        <v>1</v>
      </c>
      <c r="E1817" t="s">
        <v>2</v>
      </c>
      <c r="F1817">
        <v>25000000</v>
      </c>
      <c r="G1817">
        <v>1996</v>
      </c>
      <c r="H1817">
        <v>5.3</v>
      </c>
    </row>
    <row r="1818" spans="1:8" x14ac:dyDescent="0.25">
      <c r="A1818">
        <v>102</v>
      </c>
      <c r="B1818">
        <v>14334645</v>
      </c>
      <c r="C1818" t="s">
        <v>1624</v>
      </c>
      <c r="D1818" t="s">
        <v>1</v>
      </c>
      <c r="E1818" t="s">
        <v>2</v>
      </c>
      <c r="F1818">
        <v>25000000</v>
      </c>
      <c r="G1818">
        <v>2004</v>
      </c>
      <c r="H1818">
        <v>4.8</v>
      </c>
    </row>
    <row r="1819" spans="1:8" x14ac:dyDescent="0.25">
      <c r="A1819">
        <v>109</v>
      </c>
      <c r="B1819">
        <v>3517797</v>
      </c>
      <c r="C1819" t="s">
        <v>1637</v>
      </c>
      <c r="D1819" t="s">
        <v>1</v>
      </c>
      <c r="E1819" t="s">
        <v>244</v>
      </c>
      <c r="F1819">
        <v>25000000</v>
      </c>
      <c r="G1819">
        <v>2002</v>
      </c>
      <c r="H1819">
        <v>6.6</v>
      </c>
    </row>
    <row r="1820" spans="1:8" x14ac:dyDescent="0.25">
      <c r="A1820">
        <v>118</v>
      </c>
      <c r="B1820">
        <v>30920167</v>
      </c>
      <c r="C1820" t="s">
        <v>1713</v>
      </c>
      <c r="D1820" t="s">
        <v>1</v>
      </c>
      <c r="E1820" t="s">
        <v>2</v>
      </c>
      <c r="F1820">
        <v>25000000</v>
      </c>
      <c r="G1820">
        <v>2012</v>
      </c>
      <c r="H1820">
        <v>5.7</v>
      </c>
    </row>
    <row r="1821" spans="1:8" x14ac:dyDescent="0.25">
      <c r="A1821">
        <v>104</v>
      </c>
      <c r="B1821">
        <v>1089365</v>
      </c>
      <c r="C1821" t="s">
        <v>1731</v>
      </c>
      <c r="D1821" t="s">
        <v>1</v>
      </c>
      <c r="E1821" t="s">
        <v>2</v>
      </c>
      <c r="F1821">
        <v>25000000</v>
      </c>
      <c r="G1821">
        <v>2008</v>
      </c>
      <c r="H1821">
        <v>5.7</v>
      </c>
    </row>
    <row r="1822" spans="1:8" x14ac:dyDescent="0.25">
      <c r="A1822">
        <v>123</v>
      </c>
      <c r="B1822">
        <v>100241322</v>
      </c>
      <c r="C1822" t="s">
        <v>1736</v>
      </c>
      <c r="D1822" t="s">
        <v>1</v>
      </c>
      <c r="E1822" t="s">
        <v>2</v>
      </c>
      <c r="F1822">
        <v>25000000</v>
      </c>
      <c r="G1822">
        <v>1998</v>
      </c>
      <c r="H1822">
        <v>7.2</v>
      </c>
    </row>
    <row r="1823" spans="1:8" x14ac:dyDescent="0.25">
      <c r="A1823">
        <v>125</v>
      </c>
      <c r="B1823">
        <v>219200000</v>
      </c>
      <c r="C1823" t="s">
        <v>1766</v>
      </c>
      <c r="D1823" t="s">
        <v>1</v>
      </c>
      <c r="E1823" t="s">
        <v>2</v>
      </c>
      <c r="F1823">
        <v>25000000</v>
      </c>
      <c r="G1823">
        <v>1993</v>
      </c>
      <c r="H1823">
        <v>6.9</v>
      </c>
    </row>
    <row r="1824" spans="1:8" x14ac:dyDescent="0.25">
      <c r="A1824">
        <v>133</v>
      </c>
      <c r="B1824">
        <v>172825435</v>
      </c>
      <c r="C1824" t="s">
        <v>1767</v>
      </c>
      <c r="D1824" t="s">
        <v>1</v>
      </c>
      <c r="E1824" t="s">
        <v>2</v>
      </c>
      <c r="F1824">
        <v>25000000</v>
      </c>
      <c r="G1824">
        <v>1988</v>
      </c>
      <c r="H1824">
        <v>8</v>
      </c>
    </row>
    <row r="1825" spans="1:8" x14ac:dyDescent="0.25">
      <c r="A1825">
        <v>93</v>
      </c>
      <c r="B1825">
        <v>145000989</v>
      </c>
      <c r="C1825" t="s">
        <v>1770</v>
      </c>
      <c r="D1825" t="s">
        <v>1</v>
      </c>
      <c r="E1825" t="s">
        <v>244</v>
      </c>
      <c r="F1825">
        <v>25000000</v>
      </c>
      <c r="G1825">
        <v>2008</v>
      </c>
      <c r="H1825">
        <v>7.9</v>
      </c>
    </row>
    <row r="1826" spans="1:8" x14ac:dyDescent="0.25">
      <c r="A1826">
        <v>129</v>
      </c>
      <c r="B1826">
        <v>121945720</v>
      </c>
      <c r="C1826" t="s">
        <v>1772</v>
      </c>
      <c r="D1826" t="s">
        <v>1</v>
      </c>
      <c r="E1826" t="s">
        <v>2</v>
      </c>
      <c r="F1826">
        <v>25000000</v>
      </c>
      <c r="G1826">
        <v>1992</v>
      </c>
      <c r="H1826">
        <v>6.1</v>
      </c>
    </row>
    <row r="1827" spans="1:8" x14ac:dyDescent="0.25">
      <c r="A1827">
        <v>146</v>
      </c>
      <c r="B1827">
        <v>169705587</v>
      </c>
      <c r="C1827" t="s">
        <v>1774</v>
      </c>
      <c r="D1827" t="s">
        <v>1</v>
      </c>
      <c r="E1827" t="s">
        <v>2</v>
      </c>
      <c r="F1827">
        <v>25000000</v>
      </c>
      <c r="G1827">
        <v>2011</v>
      </c>
      <c r="H1827">
        <v>8.1</v>
      </c>
    </row>
    <row r="1828" spans="1:8" x14ac:dyDescent="0.25">
      <c r="A1828">
        <v>85</v>
      </c>
      <c r="B1828">
        <v>80034302</v>
      </c>
      <c r="C1828" t="s">
        <v>1779</v>
      </c>
      <c r="D1828" t="s">
        <v>1</v>
      </c>
      <c r="E1828" t="s">
        <v>2</v>
      </c>
      <c r="F1828">
        <v>25000000</v>
      </c>
      <c r="G1828">
        <v>2008</v>
      </c>
      <c r="H1828">
        <v>7</v>
      </c>
    </row>
    <row r="1829" spans="1:8" x14ac:dyDescent="0.25">
      <c r="A1829">
        <v>88</v>
      </c>
      <c r="B1829">
        <v>78656813</v>
      </c>
      <c r="C1829" t="s">
        <v>1780</v>
      </c>
      <c r="D1829" t="s">
        <v>1</v>
      </c>
      <c r="E1829" t="s">
        <v>2</v>
      </c>
      <c r="F1829">
        <v>25000000</v>
      </c>
      <c r="G1829">
        <v>1991</v>
      </c>
      <c r="H1829">
        <v>6</v>
      </c>
    </row>
    <row r="1830" spans="1:8" x14ac:dyDescent="0.25">
      <c r="A1830">
        <v>119</v>
      </c>
      <c r="B1830">
        <v>76270454</v>
      </c>
      <c r="C1830" t="s">
        <v>1781</v>
      </c>
      <c r="D1830" t="s">
        <v>1</v>
      </c>
      <c r="E1830" t="s">
        <v>2</v>
      </c>
      <c r="F1830">
        <v>25000000</v>
      </c>
      <c r="G1830">
        <v>1987</v>
      </c>
      <c r="H1830">
        <v>7.9</v>
      </c>
    </row>
    <row r="1831" spans="1:8" x14ac:dyDescent="0.25">
      <c r="A1831">
        <v>122</v>
      </c>
      <c r="B1831">
        <v>74273505</v>
      </c>
      <c r="C1831" t="s">
        <v>1782</v>
      </c>
      <c r="D1831" t="s">
        <v>1</v>
      </c>
      <c r="E1831" t="s">
        <v>2</v>
      </c>
      <c r="F1831">
        <v>25000000</v>
      </c>
      <c r="G1831">
        <v>2007</v>
      </c>
      <c r="H1831">
        <v>8.1</v>
      </c>
    </row>
    <row r="1832" spans="1:8" x14ac:dyDescent="0.25">
      <c r="A1832">
        <v>99</v>
      </c>
      <c r="B1832">
        <v>134141530</v>
      </c>
      <c r="C1832" t="s">
        <v>1783</v>
      </c>
      <c r="D1832" t="s">
        <v>1</v>
      </c>
      <c r="E1832" t="s">
        <v>2</v>
      </c>
      <c r="F1832">
        <v>25000000</v>
      </c>
      <c r="G1832">
        <v>2014</v>
      </c>
      <c r="H1832">
        <v>6.2</v>
      </c>
    </row>
    <row r="1833" spans="1:8" x14ac:dyDescent="0.25">
      <c r="A1833">
        <v>121</v>
      </c>
      <c r="B1833">
        <v>71309760</v>
      </c>
      <c r="C1833" t="s">
        <v>1785</v>
      </c>
      <c r="D1833" t="s">
        <v>1</v>
      </c>
      <c r="E1833" t="s">
        <v>5</v>
      </c>
      <c r="F1833">
        <v>25000000</v>
      </c>
      <c r="G1833">
        <v>2000</v>
      </c>
      <c r="H1833">
        <v>7.3</v>
      </c>
    </row>
    <row r="1834" spans="1:8" x14ac:dyDescent="0.25">
      <c r="A1834">
        <v>105</v>
      </c>
      <c r="B1834">
        <v>77264926</v>
      </c>
      <c r="C1834" t="s">
        <v>1787</v>
      </c>
      <c r="D1834" t="s">
        <v>1</v>
      </c>
      <c r="E1834" t="s">
        <v>2</v>
      </c>
      <c r="F1834">
        <v>25000000</v>
      </c>
      <c r="G1834">
        <v>2012</v>
      </c>
      <c r="H1834">
        <v>6.1</v>
      </c>
    </row>
    <row r="1835" spans="1:8" x14ac:dyDescent="0.25">
      <c r="A1835">
        <v>108</v>
      </c>
      <c r="B1835">
        <v>70625986</v>
      </c>
      <c r="C1835" t="s">
        <v>1788</v>
      </c>
      <c r="D1835" t="s">
        <v>1</v>
      </c>
      <c r="E1835" t="s">
        <v>2</v>
      </c>
      <c r="F1835">
        <v>25000000</v>
      </c>
      <c r="G1835">
        <v>2011</v>
      </c>
      <c r="H1835">
        <v>6.2</v>
      </c>
    </row>
    <row r="1836" spans="1:8" x14ac:dyDescent="0.25">
      <c r="A1836">
        <v>134</v>
      </c>
      <c r="B1836">
        <v>56505065</v>
      </c>
      <c r="C1836" t="s">
        <v>1789</v>
      </c>
      <c r="D1836" t="s">
        <v>1</v>
      </c>
      <c r="E1836" t="s">
        <v>2</v>
      </c>
      <c r="F1836">
        <v>25000000</v>
      </c>
      <c r="G1836">
        <v>1993</v>
      </c>
      <c r="H1836">
        <v>7.8</v>
      </c>
    </row>
    <row r="1837" spans="1:8" x14ac:dyDescent="0.25">
      <c r="A1837">
        <v>115</v>
      </c>
      <c r="B1837">
        <v>55973336</v>
      </c>
      <c r="C1837" t="s">
        <v>1790</v>
      </c>
      <c r="D1837" t="s">
        <v>1</v>
      </c>
      <c r="E1837" t="s">
        <v>2</v>
      </c>
      <c r="F1837">
        <v>25000000</v>
      </c>
      <c r="G1837">
        <v>2000</v>
      </c>
      <c r="H1837">
        <v>6.1</v>
      </c>
    </row>
    <row r="1838" spans="1:8" x14ac:dyDescent="0.25">
      <c r="A1838">
        <v>86</v>
      </c>
      <c r="B1838">
        <v>54098051</v>
      </c>
      <c r="C1838" t="s">
        <v>1791</v>
      </c>
      <c r="D1838" t="s">
        <v>1</v>
      </c>
      <c r="E1838" t="s">
        <v>119</v>
      </c>
      <c r="F1838">
        <v>25000000</v>
      </c>
      <c r="G1838">
        <v>2006</v>
      </c>
      <c r="H1838">
        <v>5.8</v>
      </c>
    </row>
    <row r="1839" spans="1:8" x14ac:dyDescent="0.25">
      <c r="A1839">
        <v>101</v>
      </c>
      <c r="B1839">
        <v>60443237</v>
      </c>
      <c r="C1839" t="s">
        <v>1792</v>
      </c>
      <c r="D1839" t="s">
        <v>1</v>
      </c>
      <c r="E1839" t="s">
        <v>2</v>
      </c>
      <c r="F1839">
        <v>25000000</v>
      </c>
      <c r="G1839">
        <v>2012</v>
      </c>
      <c r="H1839">
        <v>6.5</v>
      </c>
    </row>
    <row r="1840" spans="1:8" x14ac:dyDescent="0.25">
      <c r="A1840">
        <v>101</v>
      </c>
      <c r="B1840">
        <v>51676606</v>
      </c>
      <c r="C1840" t="s">
        <v>1794</v>
      </c>
      <c r="D1840" t="s">
        <v>1</v>
      </c>
      <c r="E1840" t="s">
        <v>2</v>
      </c>
      <c r="F1840">
        <v>25000000</v>
      </c>
      <c r="G1840">
        <v>2004</v>
      </c>
      <c r="H1840">
        <v>7.8</v>
      </c>
    </row>
    <row r="1841" spans="1:8" x14ac:dyDescent="0.25">
      <c r="A1841">
        <v>100</v>
      </c>
      <c r="B1841">
        <v>52528330</v>
      </c>
      <c r="C1841" t="s">
        <v>1795</v>
      </c>
      <c r="D1841" t="s">
        <v>1</v>
      </c>
      <c r="E1841" t="s">
        <v>2</v>
      </c>
      <c r="F1841">
        <v>25000000</v>
      </c>
      <c r="G1841">
        <v>2013</v>
      </c>
      <c r="H1841">
        <v>4.7</v>
      </c>
    </row>
    <row r="1842" spans="1:8" x14ac:dyDescent="0.25">
      <c r="A1842">
        <v>117</v>
      </c>
      <c r="B1842">
        <v>51533608</v>
      </c>
      <c r="C1842" t="s">
        <v>1796</v>
      </c>
      <c r="D1842" t="s">
        <v>1</v>
      </c>
      <c r="E1842" t="s">
        <v>2</v>
      </c>
      <c r="F1842">
        <v>25000000</v>
      </c>
      <c r="G1842">
        <v>2011</v>
      </c>
      <c r="H1842">
        <v>6.8</v>
      </c>
    </row>
    <row r="1843" spans="1:8" x14ac:dyDescent="0.25">
      <c r="A1843">
        <v>146</v>
      </c>
      <c r="B1843">
        <v>46836394</v>
      </c>
      <c r="C1843" t="s">
        <v>1799</v>
      </c>
      <c r="D1843" t="s">
        <v>1</v>
      </c>
      <c r="E1843" t="s">
        <v>2</v>
      </c>
      <c r="F1843">
        <v>25000000</v>
      </c>
      <c r="G1843">
        <v>1990</v>
      </c>
      <c r="H1843">
        <v>8.6999999999999993</v>
      </c>
    </row>
    <row r="1844" spans="1:8" x14ac:dyDescent="0.25">
      <c r="A1844">
        <v>97</v>
      </c>
      <c r="B1844">
        <v>47124400</v>
      </c>
      <c r="C1844" t="s">
        <v>1801</v>
      </c>
      <c r="D1844" t="s">
        <v>1</v>
      </c>
      <c r="E1844" t="s">
        <v>2</v>
      </c>
      <c r="F1844">
        <v>25000000</v>
      </c>
      <c r="G1844">
        <v>2005</v>
      </c>
      <c r="H1844">
        <v>6.6</v>
      </c>
    </row>
    <row r="1845" spans="1:8" x14ac:dyDescent="0.25">
      <c r="A1845">
        <v>142</v>
      </c>
      <c r="B1845">
        <v>44700000</v>
      </c>
      <c r="C1845" t="s">
        <v>1802</v>
      </c>
      <c r="D1845" t="s">
        <v>1</v>
      </c>
      <c r="E1845" t="s">
        <v>2</v>
      </c>
      <c r="F1845">
        <v>25000000</v>
      </c>
      <c r="G1845">
        <v>1983</v>
      </c>
      <c r="H1845">
        <v>8.3000000000000007</v>
      </c>
    </row>
    <row r="1846" spans="1:8" x14ac:dyDescent="0.25">
      <c r="A1846">
        <v>98</v>
      </c>
      <c r="B1846">
        <v>44455658</v>
      </c>
      <c r="C1846" t="s">
        <v>1803</v>
      </c>
      <c r="D1846" t="s">
        <v>1</v>
      </c>
      <c r="E1846" t="s">
        <v>2</v>
      </c>
      <c r="F1846">
        <v>25000000</v>
      </c>
      <c r="G1846">
        <v>1997</v>
      </c>
      <c r="H1846">
        <v>6.7</v>
      </c>
    </row>
    <row r="1847" spans="1:8" x14ac:dyDescent="0.25">
      <c r="A1847">
        <v>109</v>
      </c>
      <c r="B1847">
        <v>66489425</v>
      </c>
      <c r="C1847" t="s">
        <v>1805</v>
      </c>
      <c r="D1847" t="s">
        <v>1</v>
      </c>
      <c r="E1847" t="s">
        <v>2</v>
      </c>
      <c r="F1847">
        <v>25000000</v>
      </c>
      <c r="G1847">
        <v>2012</v>
      </c>
      <c r="H1847">
        <v>6.5</v>
      </c>
    </row>
    <row r="1848" spans="1:8" x14ac:dyDescent="0.25">
      <c r="A1848">
        <v>97</v>
      </c>
      <c r="B1848">
        <v>41067398</v>
      </c>
      <c r="C1848" t="s">
        <v>1806</v>
      </c>
      <c r="D1848" t="s">
        <v>1</v>
      </c>
      <c r="E1848" t="s">
        <v>2</v>
      </c>
      <c r="F1848">
        <v>25000000</v>
      </c>
      <c r="G1848">
        <v>1997</v>
      </c>
      <c r="H1848">
        <v>6.1</v>
      </c>
    </row>
    <row r="1849" spans="1:8" x14ac:dyDescent="0.25">
      <c r="A1849">
        <v>158</v>
      </c>
      <c r="B1849">
        <v>40218903</v>
      </c>
      <c r="C1849" t="s">
        <v>1807</v>
      </c>
      <c r="D1849" t="s">
        <v>1</v>
      </c>
      <c r="E1849" t="s">
        <v>2</v>
      </c>
      <c r="F1849">
        <v>25000000</v>
      </c>
      <c r="G1849">
        <v>2007</v>
      </c>
      <c r="H1849">
        <v>8.1</v>
      </c>
    </row>
    <row r="1850" spans="1:8" x14ac:dyDescent="0.25">
      <c r="A1850">
        <v>85</v>
      </c>
      <c r="B1850">
        <v>39880476</v>
      </c>
      <c r="C1850" t="s">
        <v>1808</v>
      </c>
      <c r="D1850" t="s">
        <v>1</v>
      </c>
      <c r="E1850" t="s">
        <v>2</v>
      </c>
      <c r="F1850">
        <v>25000000</v>
      </c>
      <c r="G1850">
        <v>2002</v>
      </c>
      <c r="H1850">
        <v>5.2</v>
      </c>
    </row>
    <row r="1851" spans="1:8" x14ac:dyDescent="0.25">
      <c r="A1851">
        <v>80</v>
      </c>
      <c r="B1851">
        <v>39399750</v>
      </c>
      <c r="C1851" t="s">
        <v>1809</v>
      </c>
      <c r="D1851" t="s">
        <v>1</v>
      </c>
      <c r="E1851" t="s">
        <v>2</v>
      </c>
      <c r="F1851">
        <v>25000000</v>
      </c>
      <c r="G1851">
        <v>2003</v>
      </c>
      <c r="H1851">
        <v>5.6</v>
      </c>
    </row>
    <row r="1852" spans="1:8" x14ac:dyDescent="0.25">
      <c r="A1852">
        <v>86</v>
      </c>
      <c r="B1852">
        <v>38230435</v>
      </c>
      <c r="C1852" t="s">
        <v>1810</v>
      </c>
      <c r="D1852" t="s">
        <v>1</v>
      </c>
      <c r="E1852" t="s">
        <v>2</v>
      </c>
      <c r="F1852">
        <v>25000000</v>
      </c>
      <c r="G1852">
        <v>2002</v>
      </c>
      <c r="H1852">
        <v>5.8</v>
      </c>
    </row>
    <row r="1853" spans="1:8" x14ac:dyDescent="0.25">
      <c r="A1853">
        <v>119</v>
      </c>
      <c r="B1853">
        <v>39008741</v>
      </c>
      <c r="C1853" t="s">
        <v>1811</v>
      </c>
      <c r="D1853" t="s">
        <v>1</v>
      </c>
      <c r="E1853" t="s">
        <v>2</v>
      </c>
      <c r="F1853">
        <v>25000000</v>
      </c>
      <c r="G1853">
        <v>2005</v>
      </c>
      <c r="H1853">
        <v>6.6</v>
      </c>
    </row>
    <row r="1854" spans="1:8" x14ac:dyDescent="0.25">
      <c r="A1854">
        <v>98</v>
      </c>
      <c r="B1854">
        <v>36833473</v>
      </c>
      <c r="C1854" t="s">
        <v>1812</v>
      </c>
      <c r="D1854" t="s">
        <v>1</v>
      </c>
      <c r="E1854" t="s">
        <v>244</v>
      </c>
      <c r="F1854">
        <v>25000000</v>
      </c>
      <c r="G1854">
        <v>2001</v>
      </c>
      <c r="H1854">
        <v>6.6</v>
      </c>
    </row>
    <row r="1855" spans="1:8" x14ac:dyDescent="0.25">
      <c r="A1855">
        <v>97</v>
      </c>
      <c r="B1855">
        <v>48237389</v>
      </c>
      <c r="C1855" t="s">
        <v>1813</v>
      </c>
      <c r="D1855" t="s">
        <v>1</v>
      </c>
      <c r="E1855" t="s">
        <v>2</v>
      </c>
      <c r="F1855">
        <v>25000000</v>
      </c>
      <c r="G1855">
        <v>2008</v>
      </c>
      <c r="H1855">
        <v>5.5</v>
      </c>
    </row>
    <row r="1856" spans="1:8" x14ac:dyDescent="0.25">
      <c r="A1856">
        <v>124</v>
      </c>
      <c r="B1856">
        <v>36447959</v>
      </c>
      <c r="C1856" t="s">
        <v>1814</v>
      </c>
      <c r="D1856" t="s">
        <v>1</v>
      </c>
      <c r="E1856" t="s">
        <v>2</v>
      </c>
      <c r="F1856">
        <v>25000000</v>
      </c>
      <c r="G1856">
        <v>2014</v>
      </c>
      <c r="H1856">
        <v>7</v>
      </c>
    </row>
    <row r="1857" spans="1:8" x14ac:dyDescent="0.25">
      <c r="A1857">
        <v>97</v>
      </c>
      <c r="B1857">
        <v>45089048</v>
      </c>
      <c r="C1857" t="s">
        <v>1815</v>
      </c>
      <c r="D1857" t="s">
        <v>1</v>
      </c>
      <c r="E1857" t="s">
        <v>1528</v>
      </c>
      <c r="F1857">
        <v>25000000</v>
      </c>
      <c r="G1857">
        <v>2014</v>
      </c>
      <c r="H1857">
        <v>6.5</v>
      </c>
    </row>
    <row r="1858" spans="1:8" x14ac:dyDescent="0.25">
      <c r="A1858">
        <v>101</v>
      </c>
      <c r="B1858">
        <v>35000629</v>
      </c>
      <c r="C1858" t="s">
        <v>1818</v>
      </c>
      <c r="D1858" t="s">
        <v>1</v>
      </c>
      <c r="E1858" t="s">
        <v>2</v>
      </c>
      <c r="F1858">
        <v>25000000</v>
      </c>
      <c r="G1858">
        <v>2007</v>
      </c>
      <c r="H1858">
        <v>5.6</v>
      </c>
    </row>
    <row r="1859" spans="1:8" x14ac:dyDescent="0.25">
      <c r="A1859">
        <v>114</v>
      </c>
      <c r="B1859">
        <v>41597830</v>
      </c>
      <c r="C1859" t="s">
        <v>1820</v>
      </c>
      <c r="D1859" t="s">
        <v>1</v>
      </c>
      <c r="E1859" t="s">
        <v>2</v>
      </c>
      <c r="F1859">
        <v>25000000</v>
      </c>
      <c r="G1859">
        <v>2002</v>
      </c>
      <c r="H1859">
        <v>7.6</v>
      </c>
    </row>
    <row r="1860" spans="1:8" x14ac:dyDescent="0.25">
      <c r="A1860">
        <v>90</v>
      </c>
      <c r="B1860">
        <v>32553210</v>
      </c>
      <c r="C1860" t="s">
        <v>1822</v>
      </c>
      <c r="D1860" t="s">
        <v>1</v>
      </c>
      <c r="E1860" t="s">
        <v>5</v>
      </c>
      <c r="F1860">
        <v>25000000</v>
      </c>
      <c r="G1860">
        <v>2007</v>
      </c>
      <c r="H1860">
        <v>6.3</v>
      </c>
    </row>
    <row r="1861" spans="1:8" x14ac:dyDescent="0.25">
      <c r="A1861">
        <v>97</v>
      </c>
      <c r="B1861">
        <v>31526393</v>
      </c>
      <c r="C1861" t="s">
        <v>1823</v>
      </c>
      <c r="D1861" t="s">
        <v>1</v>
      </c>
      <c r="E1861" t="s">
        <v>2</v>
      </c>
      <c r="F1861">
        <v>25000000</v>
      </c>
      <c r="G1861">
        <v>2004</v>
      </c>
      <c r="H1861">
        <v>4.5999999999999996</v>
      </c>
    </row>
    <row r="1862" spans="1:8" x14ac:dyDescent="0.25">
      <c r="A1862">
        <v>124</v>
      </c>
      <c r="B1862">
        <v>30012990</v>
      </c>
      <c r="C1862" t="s">
        <v>1826</v>
      </c>
      <c r="D1862" t="s">
        <v>1</v>
      </c>
      <c r="E1862" t="s">
        <v>5</v>
      </c>
      <c r="F1862">
        <v>25000000</v>
      </c>
      <c r="G1862">
        <v>1998</v>
      </c>
      <c r="H1862">
        <v>7.5</v>
      </c>
    </row>
    <row r="1863" spans="1:8" x14ac:dyDescent="0.25">
      <c r="A1863">
        <v>89</v>
      </c>
      <c r="B1863">
        <v>32368960</v>
      </c>
      <c r="C1863" t="s">
        <v>1827</v>
      </c>
      <c r="D1863" t="s">
        <v>1</v>
      </c>
      <c r="E1863" t="s">
        <v>38</v>
      </c>
      <c r="F1863">
        <v>25000000</v>
      </c>
      <c r="G1863">
        <v>1998</v>
      </c>
      <c r="H1863">
        <v>5.3</v>
      </c>
    </row>
    <row r="1864" spans="1:8" x14ac:dyDescent="0.25">
      <c r="A1864">
        <v>160</v>
      </c>
      <c r="B1864">
        <v>14500000</v>
      </c>
      <c r="C1864" t="s">
        <v>1828</v>
      </c>
      <c r="D1864" t="s">
        <v>1</v>
      </c>
      <c r="E1864" t="s">
        <v>103</v>
      </c>
      <c r="F1864">
        <v>25000000</v>
      </c>
      <c r="G1864">
        <v>1970</v>
      </c>
      <c r="H1864">
        <v>7.5</v>
      </c>
    </row>
    <row r="1865" spans="1:8" x14ac:dyDescent="0.25">
      <c r="A1865">
        <v>93</v>
      </c>
      <c r="B1865">
        <v>29247405</v>
      </c>
      <c r="C1865" t="s">
        <v>1829</v>
      </c>
      <c r="D1865" t="s">
        <v>1</v>
      </c>
      <c r="E1865" t="s">
        <v>5</v>
      </c>
      <c r="F1865">
        <v>25000000</v>
      </c>
      <c r="G1865">
        <v>1997</v>
      </c>
      <c r="H1865">
        <v>3.3</v>
      </c>
    </row>
    <row r="1866" spans="1:8" x14ac:dyDescent="0.25">
      <c r="A1866">
        <v>88</v>
      </c>
      <c r="B1866">
        <v>25615792</v>
      </c>
      <c r="C1866" t="s">
        <v>1830</v>
      </c>
      <c r="D1866" t="s">
        <v>1</v>
      </c>
      <c r="E1866" t="s">
        <v>2</v>
      </c>
      <c r="F1866">
        <v>25000000</v>
      </c>
      <c r="G1866">
        <v>2009</v>
      </c>
      <c r="H1866">
        <v>3.5</v>
      </c>
    </row>
    <row r="1867" spans="1:8" x14ac:dyDescent="0.25">
      <c r="A1867">
        <v>142</v>
      </c>
      <c r="B1867">
        <v>28341469</v>
      </c>
      <c r="C1867" t="s">
        <v>1831</v>
      </c>
      <c r="D1867" t="s">
        <v>1</v>
      </c>
      <c r="E1867" t="s">
        <v>2</v>
      </c>
      <c r="F1867">
        <v>25000000</v>
      </c>
      <c r="G1867">
        <v>1994</v>
      </c>
      <c r="H1867">
        <v>9.3000000000000007</v>
      </c>
    </row>
    <row r="1868" spans="1:8" x14ac:dyDescent="0.25">
      <c r="A1868">
        <v>111</v>
      </c>
      <c r="B1868">
        <v>33631221</v>
      </c>
      <c r="C1868" t="s">
        <v>1834</v>
      </c>
      <c r="D1868" t="s">
        <v>1</v>
      </c>
      <c r="E1868" t="s">
        <v>2</v>
      </c>
      <c r="F1868">
        <v>25000000</v>
      </c>
      <c r="G1868">
        <v>2014</v>
      </c>
      <c r="H1868">
        <v>6</v>
      </c>
    </row>
    <row r="1869" spans="1:8" x14ac:dyDescent="0.25">
      <c r="A1869">
        <v>121</v>
      </c>
      <c r="B1869">
        <v>37738400</v>
      </c>
      <c r="C1869" t="s">
        <v>1835</v>
      </c>
      <c r="D1869" t="s">
        <v>1</v>
      </c>
      <c r="E1869" t="s">
        <v>2</v>
      </c>
      <c r="F1869">
        <v>25000000</v>
      </c>
      <c r="G1869">
        <v>2013</v>
      </c>
      <c r="H1869">
        <v>7.3</v>
      </c>
    </row>
    <row r="1870" spans="1:8" x14ac:dyDescent="0.25">
      <c r="A1870">
        <v>136</v>
      </c>
      <c r="B1870">
        <v>21554585</v>
      </c>
      <c r="C1870" t="s">
        <v>1838</v>
      </c>
      <c r="D1870" t="s">
        <v>1</v>
      </c>
      <c r="E1870" t="s">
        <v>2</v>
      </c>
      <c r="F1870">
        <v>25000000</v>
      </c>
      <c r="G1870">
        <v>1998</v>
      </c>
      <c r="H1870">
        <v>6.9</v>
      </c>
    </row>
    <row r="1871" spans="1:8" x14ac:dyDescent="0.25">
      <c r="A1871">
        <v>97</v>
      </c>
      <c r="B1871">
        <v>22200000</v>
      </c>
      <c r="C1871" t="s">
        <v>1839</v>
      </c>
      <c r="D1871" t="s">
        <v>1</v>
      </c>
      <c r="E1871" t="s">
        <v>2</v>
      </c>
      <c r="F1871">
        <v>25000000</v>
      </c>
      <c r="G1871">
        <v>1994</v>
      </c>
      <c r="H1871">
        <v>6.8</v>
      </c>
    </row>
    <row r="1872" spans="1:8" x14ac:dyDescent="0.25">
      <c r="A1872">
        <v>108</v>
      </c>
      <c r="B1872">
        <v>80014842</v>
      </c>
      <c r="C1872" t="s">
        <v>1840</v>
      </c>
      <c r="D1872" t="s">
        <v>1</v>
      </c>
      <c r="E1872" t="s">
        <v>2</v>
      </c>
      <c r="F1872">
        <v>25000000</v>
      </c>
      <c r="G1872">
        <v>2010</v>
      </c>
      <c r="H1872">
        <v>6.3</v>
      </c>
    </row>
    <row r="1873" spans="1:8" x14ac:dyDescent="0.25">
      <c r="A1873">
        <v>97</v>
      </c>
      <c r="B1873">
        <v>23527955</v>
      </c>
      <c r="C1873" t="s">
        <v>1841</v>
      </c>
      <c r="D1873" t="s">
        <v>1</v>
      </c>
      <c r="E1873" t="s">
        <v>2</v>
      </c>
      <c r="F1873">
        <v>25000000</v>
      </c>
      <c r="G1873">
        <v>2010</v>
      </c>
      <c r="H1873">
        <v>6.4</v>
      </c>
    </row>
    <row r="1874" spans="1:8" x14ac:dyDescent="0.25">
      <c r="A1874">
        <v>99</v>
      </c>
      <c r="B1874">
        <v>24042490</v>
      </c>
      <c r="C1874" t="s">
        <v>1842</v>
      </c>
      <c r="D1874" t="s">
        <v>1</v>
      </c>
      <c r="E1874" t="s">
        <v>2</v>
      </c>
      <c r="F1874">
        <v>25000000</v>
      </c>
      <c r="G1874">
        <v>2010</v>
      </c>
      <c r="H1874">
        <v>5.6</v>
      </c>
    </row>
    <row r="1875" spans="1:8" x14ac:dyDescent="0.25">
      <c r="A1875">
        <v>103</v>
      </c>
      <c r="B1875">
        <v>22466994</v>
      </c>
      <c r="C1875" t="s">
        <v>1843</v>
      </c>
      <c r="D1875" t="s">
        <v>1</v>
      </c>
      <c r="E1875" t="s">
        <v>2</v>
      </c>
      <c r="F1875">
        <v>25000000</v>
      </c>
      <c r="G1875">
        <v>2007</v>
      </c>
      <c r="H1875">
        <v>6.3</v>
      </c>
    </row>
    <row r="1876" spans="1:8" x14ac:dyDescent="0.25">
      <c r="A1876">
        <v>95</v>
      </c>
      <c r="B1876">
        <v>17791031</v>
      </c>
      <c r="C1876" t="s">
        <v>1844</v>
      </c>
      <c r="D1876" t="s">
        <v>1</v>
      </c>
      <c r="E1876" t="s">
        <v>2</v>
      </c>
      <c r="F1876">
        <v>25000000</v>
      </c>
      <c r="G1876">
        <v>2002</v>
      </c>
      <c r="H1876">
        <v>7.3</v>
      </c>
    </row>
    <row r="1877" spans="1:8" x14ac:dyDescent="0.25">
      <c r="A1877">
        <v>93</v>
      </c>
      <c r="B1877">
        <v>17718223</v>
      </c>
      <c r="C1877" t="s">
        <v>1845</v>
      </c>
      <c r="D1877" t="s">
        <v>1</v>
      </c>
      <c r="E1877" t="s">
        <v>2</v>
      </c>
      <c r="F1877">
        <v>25000000</v>
      </c>
      <c r="G1877">
        <v>2004</v>
      </c>
      <c r="H1877">
        <v>6.6</v>
      </c>
    </row>
    <row r="1878" spans="1:8" x14ac:dyDescent="0.25">
      <c r="A1878">
        <v>107</v>
      </c>
      <c r="B1878">
        <v>16118077</v>
      </c>
      <c r="C1878" t="s">
        <v>1848</v>
      </c>
      <c r="D1878" t="s">
        <v>1</v>
      </c>
      <c r="E1878" t="s">
        <v>2</v>
      </c>
      <c r="F1878">
        <v>25000000</v>
      </c>
      <c r="G1878">
        <v>1988</v>
      </c>
      <c r="H1878">
        <v>5.6</v>
      </c>
    </row>
    <row r="1879" spans="1:8" x14ac:dyDescent="0.25">
      <c r="A1879">
        <v>90</v>
      </c>
      <c r="B1879">
        <v>15091542</v>
      </c>
      <c r="C1879" t="s">
        <v>1849</v>
      </c>
      <c r="D1879" t="s">
        <v>1850</v>
      </c>
      <c r="E1879" t="s">
        <v>5</v>
      </c>
      <c r="F1879">
        <v>25000000</v>
      </c>
      <c r="G1879">
        <v>1996</v>
      </c>
      <c r="H1879">
        <v>5.3</v>
      </c>
    </row>
    <row r="1880" spans="1:8" x14ac:dyDescent="0.25">
      <c r="A1880">
        <v>99</v>
      </c>
      <c r="B1880">
        <v>14983572</v>
      </c>
      <c r="C1880" t="s">
        <v>1853</v>
      </c>
      <c r="D1880" t="s">
        <v>1</v>
      </c>
      <c r="E1880" t="s">
        <v>2</v>
      </c>
      <c r="F1880">
        <v>25000000</v>
      </c>
      <c r="G1880">
        <v>2000</v>
      </c>
      <c r="H1880">
        <v>4.7</v>
      </c>
    </row>
    <row r="1881" spans="1:8" x14ac:dyDescent="0.25">
      <c r="A1881">
        <v>107</v>
      </c>
      <c r="B1881">
        <v>14637490</v>
      </c>
      <c r="C1881" t="s">
        <v>1854</v>
      </c>
      <c r="D1881" t="s">
        <v>1</v>
      </c>
      <c r="E1881" t="s">
        <v>2</v>
      </c>
      <c r="F1881">
        <v>25000000</v>
      </c>
      <c r="G1881">
        <v>2010</v>
      </c>
      <c r="H1881">
        <v>4.8</v>
      </c>
    </row>
    <row r="1882" spans="1:8" x14ac:dyDescent="0.25">
      <c r="A1882">
        <v>110</v>
      </c>
      <c r="B1882">
        <v>14589444</v>
      </c>
      <c r="C1882" t="s">
        <v>1855</v>
      </c>
      <c r="D1882" t="s">
        <v>1</v>
      </c>
      <c r="E1882" t="s">
        <v>2</v>
      </c>
      <c r="F1882">
        <v>25000000</v>
      </c>
      <c r="G1882">
        <v>2004</v>
      </c>
      <c r="H1882">
        <v>6.8</v>
      </c>
    </row>
    <row r="1883" spans="1:8" x14ac:dyDescent="0.25">
      <c r="A1883">
        <v>101</v>
      </c>
      <c r="B1883">
        <v>14095303</v>
      </c>
      <c r="C1883" t="s">
        <v>1856</v>
      </c>
      <c r="D1883" t="s">
        <v>1</v>
      </c>
      <c r="E1883" t="s">
        <v>2</v>
      </c>
      <c r="F1883">
        <v>25000000</v>
      </c>
      <c r="G1883">
        <v>1996</v>
      </c>
      <c r="H1883">
        <v>5.4</v>
      </c>
    </row>
    <row r="1884" spans="1:8" x14ac:dyDescent="0.25">
      <c r="A1884">
        <v>85</v>
      </c>
      <c r="B1884">
        <v>13973532</v>
      </c>
      <c r="C1884" t="s">
        <v>1857</v>
      </c>
      <c r="D1884" t="s">
        <v>1</v>
      </c>
      <c r="E1884" t="s">
        <v>2</v>
      </c>
      <c r="F1884">
        <v>25000000</v>
      </c>
      <c r="G1884">
        <v>2002</v>
      </c>
      <c r="H1884">
        <v>5.0999999999999996</v>
      </c>
    </row>
    <row r="1885" spans="1:8" x14ac:dyDescent="0.25">
      <c r="A1885">
        <v>90</v>
      </c>
      <c r="B1885">
        <v>18860403</v>
      </c>
      <c r="C1885" t="s">
        <v>1859</v>
      </c>
      <c r="D1885" t="s">
        <v>1</v>
      </c>
      <c r="E1885" t="s">
        <v>2</v>
      </c>
      <c r="F1885">
        <v>25000000</v>
      </c>
      <c r="G1885">
        <v>2011</v>
      </c>
      <c r="H1885">
        <v>4</v>
      </c>
    </row>
    <row r="1886" spans="1:8" x14ac:dyDescent="0.25">
      <c r="A1886">
        <v>145</v>
      </c>
      <c r="B1886">
        <v>13038660</v>
      </c>
      <c r="C1886" t="s">
        <v>1860</v>
      </c>
      <c r="D1886" t="s">
        <v>1</v>
      </c>
      <c r="E1886" t="s">
        <v>2</v>
      </c>
      <c r="F1886">
        <v>25000000</v>
      </c>
      <c r="G1886">
        <v>1999</v>
      </c>
      <c r="H1886">
        <v>7.3</v>
      </c>
    </row>
    <row r="1887" spans="1:8" x14ac:dyDescent="0.25">
      <c r="A1887">
        <v>110</v>
      </c>
      <c r="B1887">
        <v>28831145</v>
      </c>
      <c r="C1887" t="s">
        <v>1861</v>
      </c>
      <c r="D1887" t="s">
        <v>1</v>
      </c>
      <c r="E1887" t="s">
        <v>2</v>
      </c>
      <c r="F1887">
        <v>25000000</v>
      </c>
      <c r="G1887">
        <v>2014</v>
      </c>
      <c r="H1887">
        <v>6.8</v>
      </c>
    </row>
    <row r="1888" spans="1:8" x14ac:dyDescent="0.25">
      <c r="A1888">
        <v>122</v>
      </c>
      <c r="B1888">
        <v>11538204</v>
      </c>
      <c r="C1888" t="s">
        <v>1862</v>
      </c>
      <c r="D1888" t="s">
        <v>1</v>
      </c>
      <c r="E1888" t="s">
        <v>2</v>
      </c>
      <c r="F1888">
        <v>25000000</v>
      </c>
      <c r="G1888">
        <v>2010</v>
      </c>
      <c r="H1888">
        <v>7</v>
      </c>
    </row>
    <row r="1889" spans="1:8" x14ac:dyDescent="0.25">
      <c r="A1889">
        <v>107</v>
      </c>
      <c r="B1889">
        <v>11008432</v>
      </c>
      <c r="C1889" t="s">
        <v>1863</v>
      </c>
      <c r="D1889" t="s">
        <v>1</v>
      </c>
      <c r="E1889" t="s">
        <v>2</v>
      </c>
      <c r="F1889">
        <v>25000000</v>
      </c>
      <c r="G1889">
        <v>2005</v>
      </c>
      <c r="H1889">
        <v>7.1</v>
      </c>
    </row>
    <row r="1890" spans="1:8" x14ac:dyDescent="0.25">
      <c r="A1890">
        <v>99</v>
      </c>
      <c r="B1890">
        <v>11100000</v>
      </c>
      <c r="C1890" t="s">
        <v>1866</v>
      </c>
      <c r="D1890" t="s">
        <v>1</v>
      </c>
      <c r="E1890" t="s">
        <v>2</v>
      </c>
      <c r="F1890">
        <v>25000000</v>
      </c>
      <c r="G1890">
        <v>1986</v>
      </c>
      <c r="H1890">
        <v>7.3</v>
      </c>
    </row>
    <row r="1891" spans="1:8" x14ac:dyDescent="0.25">
      <c r="A1891">
        <v>140</v>
      </c>
      <c r="B1891">
        <v>13651662</v>
      </c>
      <c r="C1891" t="s">
        <v>1867</v>
      </c>
      <c r="D1891" t="s">
        <v>1</v>
      </c>
      <c r="E1891" t="s">
        <v>2</v>
      </c>
      <c r="F1891">
        <v>25000000</v>
      </c>
      <c r="G1891">
        <v>2011</v>
      </c>
      <c r="H1891">
        <v>8.1999999999999993</v>
      </c>
    </row>
    <row r="1892" spans="1:8" x14ac:dyDescent="0.25">
      <c r="A1892">
        <v>271</v>
      </c>
      <c r="B1892">
        <v>10769960</v>
      </c>
      <c r="C1892" t="s">
        <v>1869</v>
      </c>
      <c r="D1892" t="s">
        <v>1</v>
      </c>
      <c r="E1892" t="s">
        <v>2</v>
      </c>
      <c r="F1892">
        <v>25000000</v>
      </c>
      <c r="G1892">
        <v>1993</v>
      </c>
      <c r="H1892">
        <v>7.7</v>
      </c>
    </row>
    <row r="1893" spans="1:8" x14ac:dyDescent="0.25">
      <c r="A1893">
        <v>112</v>
      </c>
      <c r="B1893">
        <v>10911750</v>
      </c>
      <c r="C1893" t="s">
        <v>1870</v>
      </c>
      <c r="D1893" t="s">
        <v>1</v>
      </c>
      <c r="E1893" t="s">
        <v>2</v>
      </c>
      <c r="F1893">
        <v>25000000</v>
      </c>
      <c r="G1893">
        <v>2008</v>
      </c>
      <c r="H1893">
        <v>6.5</v>
      </c>
    </row>
    <row r="1894" spans="1:8" x14ac:dyDescent="0.25">
      <c r="A1894">
        <v>99</v>
      </c>
      <c r="B1894">
        <v>10719367</v>
      </c>
      <c r="C1894" t="s">
        <v>1871</v>
      </c>
      <c r="D1894" t="s">
        <v>1</v>
      </c>
      <c r="E1894" t="s">
        <v>2</v>
      </c>
      <c r="F1894">
        <v>25000000</v>
      </c>
      <c r="G1894">
        <v>2002</v>
      </c>
      <c r="H1894">
        <v>4.9000000000000004</v>
      </c>
    </row>
    <row r="1895" spans="1:8" x14ac:dyDescent="0.25">
      <c r="A1895">
        <v>100</v>
      </c>
      <c r="B1895">
        <v>10114315</v>
      </c>
      <c r="C1895" t="s">
        <v>1872</v>
      </c>
      <c r="D1895" t="s">
        <v>1</v>
      </c>
      <c r="E1895" t="s">
        <v>2</v>
      </c>
      <c r="F1895">
        <v>25000000</v>
      </c>
      <c r="G1895">
        <v>1999</v>
      </c>
      <c r="H1895">
        <v>6.4</v>
      </c>
    </row>
    <row r="1896" spans="1:8" x14ac:dyDescent="0.25">
      <c r="A1896">
        <v>105</v>
      </c>
      <c r="B1896">
        <v>10070000</v>
      </c>
      <c r="C1896" t="s">
        <v>1874</v>
      </c>
      <c r="D1896" t="s">
        <v>1</v>
      </c>
      <c r="E1896" t="s">
        <v>2</v>
      </c>
      <c r="F1896">
        <v>25000000</v>
      </c>
      <c r="G1896">
        <v>1996</v>
      </c>
      <c r="H1896">
        <v>6.2</v>
      </c>
    </row>
    <row r="1897" spans="1:8" x14ac:dyDescent="0.25">
      <c r="A1897">
        <v>110</v>
      </c>
      <c r="B1897">
        <v>10324441</v>
      </c>
      <c r="C1897" t="s">
        <v>1875</v>
      </c>
      <c r="D1897" t="s">
        <v>1</v>
      </c>
      <c r="E1897" t="s">
        <v>2</v>
      </c>
      <c r="F1897">
        <v>25000000</v>
      </c>
      <c r="G1897">
        <v>2011</v>
      </c>
      <c r="H1897">
        <v>5.8</v>
      </c>
    </row>
    <row r="1898" spans="1:8" x14ac:dyDescent="0.25">
      <c r="A1898">
        <v>116</v>
      </c>
      <c r="B1898">
        <v>7156933</v>
      </c>
      <c r="C1898" t="s">
        <v>1876</v>
      </c>
      <c r="D1898" t="s">
        <v>1</v>
      </c>
      <c r="E1898" t="s">
        <v>2</v>
      </c>
      <c r="F1898">
        <v>25000000</v>
      </c>
      <c r="G1898">
        <v>2006</v>
      </c>
      <c r="H1898">
        <v>6.7</v>
      </c>
    </row>
    <row r="1899" spans="1:8" x14ac:dyDescent="0.25">
      <c r="A1899">
        <v>111</v>
      </c>
      <c r="B1899">
        <v>56692</v>
      </c>
      <c r="C1899" t="s">
        <v>1878</v>
      </c>
      <c r="D1899" t="s">
        <v>1</v>
      </c>
      <c r="E1899" t="s">
        <v>2</v>
      </c>
      <c r="F1899">
        <v>25000000</v>
      </c>
      <c r="G1899">
        <v>2009</v>
      </c>
      <c r="H1899">
        <v>7.3</v>
      </c>
    </row>
    <row r="1900" spans="1:8" x14ac:dyDescent="0.25">
      <c r="A1900">
        <v>95</v>
      </c>
      <c r="B1900">
        <v>5654777</v>
      </c>
      <c r="C1900" t="s">
        <v>1879</v>
      </c>
      <c r="D1900" t="s">
        <v>1</v>
      </c>
      <c r="E1900" t="s">
        <v>2</v>
      </c>
      <c r="F1900">
        <v>25000000</v>
      </c>
      <c r="G1900">
        <v>2005</v>
      </c>
      <c r="H1900">
        <v>4.0999999999999996</v>
      </c>
    </row>
    <row r="1901" spans="1:8" x14ac:dyDescent="0.25">
      <c r="A1901">
        <v>95</v>
      </c>
      <c r="B1901">
        <v>5516708</v>
      </c>
      <c r="C1901" t="s">
        <v>1880</v>
      </c>
      <c r="D1901" t="s">
        <v>1</v>
      </c>
      <c r="E1901" t="s">
        <v>2</v>
      </c>
      <c r="F1901">
        <v>25000000</v>
      </c>
      <c r="G1901">
        <v>2001</v>
      </c>
      <c r="H1901">
        <v>4.9000000000000004</v>
      </c>
    </row>
    <row r="1902" spans="1:8" x14ac:dyDescent="0.25">
      <c r="A1902">
        <v>127</v>
      </c>
      <c r="B1902">
        <v>5128124</v>
      </c>
      <c r="C1902" t="s">
        <v>1881</v>
      </c>
      <c r="D1902" t="s">
        <v>1</v>
      </c>
      <c r="E1902" t="s">
        <v>23</v>
      </c>
      <c r="F1902">
        <v>25000000</v>
      </c>
      <c r="G1902">
        <v>2005</v>
      </c>
      <c r="H1902">
        <v>7.9</v>
      </c>
    </row>
    <row r="1903" spans="1:8" x14ac:dyDescent="0.25">
      <c r="A1903">
        <v>104</v>
      </c>
      <c r="B1903">
        <v>4064333</v>
      </c>
      <c r="C1903" t="s">
        <v>1882</v>
      </c>
      <c r="D1903" t="s">
        <v>1</v>
      </c>
      <c r="E1903" t="s">
        <v>2</v>
      </c>
      <c r="F1903">
        <v>25000000</v>
      </c>
      <c r="G1903">
        <v>1995</v>
      </c>
      <c r="H1903">
        <v>5.2</v>
      </c>
    </row>
    <row r="1904" spans="1:8" x14ac:dyDescent="0.25">
      <c r="A1904">
        <v>121</v>
      </c>
      <c r="B1904">
        <v>3073392</v>
      </c>
      <c r="C1904" t="s">
        <v>1884</v>
      </c>
      <c r="D1904" t="s">
        <v>1</v>
      </c>
      <c r="E1904" t="s">
        <v>38</v>
      </c>
      <c r="F1904">
        <v>25000000</v>
      </c>
      <c r="G1904">
        <v>2008</v>
      </c>
      <c r="H1904">
        <v>6.6</v>
      </c>
    </row>
    <row r="1905" spans="1:8" x14ac:dyDescent="0.25">
      <c r="A1905">
        <v>92</v>
      </c>
      <c r="B1905">
        <v>1550000</v>
      </c>
      <c r="C1905" t="s">
        <v>1885</v>
      </c>
      <c r="D1905" t="s">
        <v>1</v>
      </c>
      <c r="E1905" t="s">
        <v>2</v>
      </c>
      <c r="F1905">
        <v>25000000</v>
      </c>
      <c r="G1905">
        <v>2005</v>
      </c>
      <c r="H1905">
        <v>2.9</v>
      </c>
    </row>
    <row r="1906" spans="1:8" x14ac:dyDescent="0.25">
      <c r="A1906">
        <v>107</v>
      </c>
      <c r="B1906">
        <v>871527</v>
      </c>
      <c r="C1906" t="s">
        <v>1886</v>
      </c>
      <c r="D1906" t="s">
        <v>1</v>
      </c>
      <c r="E1906" t="s">
        <v>38</v>
      </c>
      <c r="F1906">
        <v>25000000</v>
      </c>
      <c r="G1906">
        <v>2005</v>
      </c>
      <c r="H1906">
        <v>6.5</v>
      </c>
    </row>
    <row r="1907" spans="1:8" x14ac:dyDescent="0.25">
      <c r="A1907">
        <v>117</v>
      </c>
      <c r="B1907">
        <v>777423</v>
      </c>
      <c r="C1907" t="s">
        <v>1887</v>
      </c>
      <c r="D1907" t="s">
        <v>1</v>
      </c>
      <c r="E1907" t="s">
        <v>2</v>
      </c>
      <c r="F1907">
        <v>25000000</v>
      </c>
      <c r="G1907">
        <v>1998</v>
      </c>
      <c r="H1907">
        <v>7.2</v>
      </c>
    </row>
    <row r="1908" spans="1:8" x14ac:dyDescent="0.25">
      <c r="A1908">
        <v>107</v>
      </c>
      <c r="B1908">
        <v>1186957</v>
      </c>
      <c r="C1908" t="s">
        <v>1888</v>
      </c>
      <c r="D1908" t="s">
        <v>1</v>
      </c>
      <c r="E1908" t="s">
        <v>5</v>
      </c>
      <c r="F1908">
        <v>25000000</v>
      </c>
      <c r="G1908">
        <v>2008</v>
      </c>
      <c r="H1908">
        <v>6.8</v>
      </c>
    </row>
    <row r="1909" spans="1:8" x14ac:dyDescent="0.25">
      <c r="A1909">
        <v>134</v>
      </c>
      <c r="B1909">
        <v>183662</v>
      </c>
      <c r="C1909" t="s">
        <v>1891</v>
      </c>
      <c r="D1909" t="s">
        <v>243</v>
      </c>
      <c r="E1909" t="s">
        <v>244</v>
      </c>
      <c r="F1909">
        <v>25000000</v>
      </c>
      <c r="G1909">
        <v>2010</v>
      </c>
      <c r="H1909">
        <v>7.1</v>
      </c>
    </row>
    <row r="1910" spans="1:8" x14ac:dyDescent="0.25">
      <c r="A1910">
        <v>117</v>
      </c>
      <c r="B1910">
        <v>134904</v>
      </c>
      <c r="C1910" t="s">
        <v>1892</v>
      </c>
      <c r="D1910" t="s">
        <v>1</v>
      </c>
      <c r="E1910" t="s">
        <v>2</v>
      </c>
      <c r="F1910">
        <v>25000000</v>
      </c>
      <c r="G1910">
        <v>2010</v>
      </c>
      <c r="H1910">
        <v>5.7</v>
      </c>
    </row>
    <row r="1911" spans="1:8" x14ac:dyDescent="0.25">
      <c r="A1911">
        <v>138</v>
      </c>
      <c r="B1911">
        <v>16969390</v>
      </c>
      <c r="C1911" t="s">
        <v>1893</v>
      </c>
      <c r="D1911" t="s">
        <v>1</v>
      </c>
      <c r="E1911" t="s">
        <v>2</v>
      </c>
      <c r="F1911">
        <v>25000000</v>
      </c>
      <c r="G1911">
        <v>2013</v>
      </c>
      <c r="H1911">
        <v>5.3</v>
      </c>
    </row>
    <row r="1912" spans="1:8" x14ac:dyDescent="0.25">
      <c r="A1912">
        <v>100</v>
      </c>
      <c r="B1912">
        <v>129115</v>
      </c>
      <c r="C1912" t="s">
        <v>1894</v>
      </c>
      <c r="D1912" t="s">
        <v>1341</v>
      </c>
      <c r="E1912" t="s">
        <v>142</v>
      </c>
      <c r="F1912">
        <v>25000000</v>
      </c>
      <c r="G1912">
        <v>2014</v>
      </c>
      <c r="H1912">
        <v>6.5</v>
      </c>
    </row>
    <row r="1913" spans="1:8" x14ac:dyDescent="0.25">
      <c r="A1913">
        <v>137</v>
      </c>
      <c r="B1913">
        <v>717753</v>
      </c>
      <c r="C1913" t="s">
        <v>1896</v>
      </c>
      <c r="D1913" t="s">
        <v>1</v>
      </c>
      <c r="E1913" t="s">
        <v>244</v>
      </c>
      <c r="F1913">
        <v>25000000</v>
      </c>
      <c r="G1913">
        <v>2012</v>
      </c>
      <c r="H1913">
        <v>6.1</v>
      </c>
    </row>
    <row r="1914" spans="1:8" x14ac:dyDescent="0.25">
      <c r="A1914">
        <v>119</v>
      </c>
      <c r="B1914">
        <v>109713132</v>
      </c>
      <c r="C1914" t="s">
        <v>1897</v>
      </c>
      <c r="D1914" t="s">
        <v>1</v>
      </c>
      <c r="E1914" t="s">
        <v>2</v>
      </c>
      <c r="F1914">
        <v>25000000</v>
      </c>
      <c r="G1914">
        <v>1986</v>
      </c>
      <c r="H1914">
        <v>7.3</v>
      </c>
    </row>
    <row r="1915" spans="1:8" x14ac:dyDescent="0.25">
      <c r="A1915">
        <v>98</v>
      </c>
      <c r="B1915">
        <v>1512815</v>
      </c>
      <c r="C1915" t="s">
        <v>1900</v>
      </c>
      <c r="D1915" t="s">
        <v>1</v>
      </c>
      <c r="E1915" t="s">
        <v>2</v>
      </c>
      <c r="F1915">
        <v>25000000</v>
      </c>
      <c r="G1915">
        <v>2016</v>
      </c>
      <c r="H1915">
        <v>5.8</v>
      </c>
    </row>
    <row r="1916" spans="1:8" x14ac:dyDescent="0.25">
      <c r="A1916">
        <v>94</v>
      </c>
      <c r="B1916">
        <v>32416109</v>
      </c>
      <c r="C1916" t="s">
        <v>1910</v>
      </c>
      <c r="D1916" t="s">
        <v>1</v>
      </c>
      <c r="E1916" t="s">
        <v>2</v>
      </c>
      <c r="F1916">
        <v>25000000</v>
      </c>
      <c r="G1916">
        <v>2009</v>
      </c>
      <c r="H1916">
        <v>6.2</v>
      </c>
    </row>
    <row r="1917" spans="1:8" x14ac:dyDescent="0.25">
      <c r="A1917">
        <v>100</v>
      </c>
      <c r="B1917">
        <v>4756</v>
      </c>
      <c r="C1917" t="s">
        <v>1936</v>
      </c>
      <c r="D1917" t="s">
        <v>1</v>
      </c>
      <c r="E1917" t="s">
        <v>5</v>
      </c>
      <c r="F1917">
        <v>25000000</v>
      </c>
      <c r="G1917">
        <v>2013</v>
      </c>
      <c r="H1917">
        <v>5.4</v>
      </c>
    </row>
    <row r="1918" spans="1:8" x14ac:dyDescent="0.25">
      <c r="A1918">
        <v>114</v>
      </c>
      <c r="B1918">
        <v>71975611</v>
      </c>
      <c r="C1918" t="s">
        <v>1948</v>
      </c>
      <c r="D1918" t="s">
        <v>1</v>
      </c>
      <c r="E1918" t="s">
        <v>2</v>
      </c>
      <c r="F1918">
        <v>25000000</v>
      </c>
      <c r="G1918">
        <v>2007</v>
      </c>
      <c r="H1918">
        <v>6.8</v>
      </c>
    </row>
    <row r="1919" spans="1:8" x14ac:dyDescent="0.25">
      <c r="A1919">
        <v>143</v>
      </c>
      <c r="B1919">
        <v>5000000</v>
      </c>
      <c r="C1919" t="s">
        <v>1980</v>
      </c>
      <c r="D1919" t="s">
        <v>1</v>
      </c>
      <c r="E1919" t="s">
        <v>2</v>
      </c>
      <c r="F1919">
        <v>25000000</v>
      </c>
      <c r="G1919">
        <v>1970</v>
      </c>
      <c r="H1919">
        <v>6.2</v>
      </c>
    </row>
    <row r="1920" spans="1:8" x14ac:dyDescent="0.25">
      <c r="A1920">
        <v>96</v>
      </c>
      <c r="B1920">
        <v>16027866</v>
      </c>
      <c r="C1920" t="s">
        <v>1982</v>
      </c>
      <c r="D1920" t="s">
        <v>1</v>
      </c>
      <c r="E1920" t="s">
        <v>244</v>
      </c>
      <c r="F1920">
        <v>25000000</v>
      </c>
      <c r="G1920">
        <v>2015</v>
      </c>
      <c r="H1920">
        <v>5.0999999999999996</v>
      </c>
    </row>
    <row r="1921" spans="1:8" x14ac:dyDescent="0.25">
      <c r="A1921">
        <v>119</v>
      </c>
      <c r="B1921">
        <v>49024969</v>
      </c>
      <c r="C1921" t="s">
        <v>1993</v>
      </c>
      <c r="D1921" t="s">
        <v>1</v>
      </c>
      <c r="E1921" t="s">
        <v>2</v>
      </c>
      <c r="F1921">
        <v>25000000</v>
      </c>
      <c r="G1921">
        <v>2007</v>
      </c>
      <c r="H1921">
        <v>7.3</v>
      </c>
    </row>
    <row r="1922" spans="1:8" x14ac:dyDescent="0.25">
      <c r="A1922">
        <v>143</v>
      </c>
      <c r="B1922">
        <v>34300771</v>
      </c>
      <c r="C1922" t="s">
        <v>2059</v>
      </c>
      <c r="D1922" t="s">
        <v>1</v>
      </c>
      <c r="E1922" t="s">
        <v>244</v>
      </c>
      <c r="F1922">
        <v>25000000</v>
      </c>
      <c r="G1922">
        <v>2006</v>
      </c>
      <c r="H1922">
        <v>7.5</v>
      </c>
    </row>
    <row r="1923" spans="1:8" x14ac:dyDescent="0.25">
      <c r="A1923">
        <v>88</v>
      </c>
      <c r="B1923">
        <v>14174654</v>
      </c>
      <c r="C1923" t="s">
        <v>2114</v>
      </c>
      <c r="D1923" t="s">
        <v>1</v>
      </c>
      <c r="E1923" t="s">
        <v>2</v>
      </c>
      <c r="F1923">
        <v>25000000</v>
      </c>
      <c r="G1923">
        <v>2008</v>
      </c>
      <c r="H1923">
        <v>1.9</v>
      </c>
    </row>
    <row r="1924" spans="1:8" x14ac:dyDescent="0.25">
      <c r="A1924">
        <v>132</v>
      </c>
      <c r="B1924">
        <v>8600000</v>
      </c>
      <c r="C1924" t="s">
        <v>2199</v>
      </c>
      <c r="D1924" t="s">
        <v>1</v>
      </c>
      <c r="E1924" t="s">
        <v>5</v>
      </c>
      <c r="F1924">
        <v>25000000</v>
      </c>
      <c r="G1924">
        <v>1984</v>
      </c>
      <c r="H1924">
        <v>7</v>
      </c>
    </row>
    <row r="1925" spans="1:8" x14ac:dyDescent="0.25">
      <c r="A1925">
        <v>94</v>
      </c>
      <c r="B1925">
        <v>30222640</v>
      </c>
      <c r="C1925" t="s">
        <v>2237</v>
      </c>
      <c r="D1925" t="s">
        <v>1</v>
      </c>
      <c r="E1925" t="s">
        <v>2</v>
      </c>
      <c r="F1925">
        <v>25000000</v>
      </c>
      <c r="G1925">
        <v>2003</v>
      </c>
      <c r="H1925">
        <v>5.3</v>
      </c>
    </row>
    <row r="1926" spans="1:8" x14ac:dyDescent="0.25">
      <c r="A1926">
        <v>105</v>
      </c>
      <c r="B1926">
        <v>22723</v>
      </c>
      <c r="C1926" t="s">
        <v>2512</v>
      </c>
      <c r="D1926" t="s">
        <v>1</v>
      </c>
      <c r="E1926" t="s">
        <v>119</v>
      </c>
      <c r="F1926">
        <v>25000000</v>
      </c>
      <c r="G1926">
        <v>2001</v>
      </c>
      <c r="H1926">
        <v>4.5</v>
      </c>
    </row>
    <row r="1927" spans="1:8" x14ac:dyDescent="0.25">
      <c r="A1927">
        <v>94</v>
      </c>
      <c r="B1927">
        <v>79817937</v>
      </c>
      <c r="C1927" t="s">
        <v>2652</v>
      </c>
      <c r="D1927" t="s">
        <v>1</v>
      </c>
      <c r="E1927" t="s">
        <v>2</v>
      </c>
      <c r="F1927">
        <v>25000000</v>
      </c>
      <c r="G1927">
        <v>1986</v>
      </c>
      <c r="H1927">
        <v>5.9</v>
      </c>
    </row>
    <row r="1928" spans="1:8" x14ac:dyDescent="0.25">
      <c r="A1928">
        <v>116</v>
      </c>
      <c r="B1928">
        <v>93571803</v>
      </c>
      <c r="C1928" t="s">
        <v>2739</v>
      </c>
      <c r="D1928" t="s">
        <v>1</v>
      </c>
      <c r="E1928" t="s">
        <v>2</v>
      </c>
      <c r="F1928">
        <v>25000000</v>
      </c>
      <c r="G1928">
        <v>2010</v>
      </c>
      <c r="H1928">
        <v>7.9</v>
      </c>
    </row>
    <row r="1929" spans="1:8" x14ac:dyDescent="0.25">
      <c r="A1929">
        <v>100</v>
      </c>
      <c r="B1929">
        <v>16247775</v>
      </c>
      <c r="C1929" t="s">
        <v>2826</v>
      </c>
      <c r="D1929" t="s">
        <v>1</v>
      </c>
      <c r="E1929" t="s">
        <v>2</v>
      </c>
      <c r="F1929">
        <v>25000000</v>
      </c>
      <c r="G1929">
        <v>2005</v>
      </c>
      <c r="H1929">
        <v>5.5</v>
      </c>
    </row>
    <row r="1930" spans="1:8" x14ac:dyDescent="0.25">
      <c r="A1930">
        <v>107</v>
      </c>
      <c r="B1930">
        <v>14637490</v>
      </c>
      <c r="C1930" t="s">
        <v>1854</v>
      </c>
      <c r="D1930" t="s">
        <v>1</v>
      </c>
      <c r="E1930" t="s">
        <v>2</v>
      </c>
      <c r="F1930">
        <v>25000000</v>
      </c>
      <c r="G1930">
        <v>2010</v>
      </c>
      <c r="H1930">
        <v>4.8</v>
      </c>
    </row>
    <row r="1931" spans="1:8" x14ac:dyDescent="0.25">
      <c r="A1931">
        <v>111</v>
      </c>
      <c r="B1931">
        <v>33631221</v>
      </c>
      <c r="C1931" t="s">
        <v>1834</v>
      </c>
      <c r="D1931" t="s">
        <v>1</v>
      </c>
      <c r="E1931" t="s">
        <v>2</v>
      </c>
      <c r="F1931">
        <v>25000000</v>
      </c>
      <c r="G1931">
        <v>2014</v>
      </c>
      <c r="H1931">
        <v>6</v>
      </c>
    </row>
    <row r="1932" spans="1:8" x14ac:dyDescent="0.25">
      <c r="A1932">
        <v>85</v>
      </c>
      <c r="B1932">
        <v>13973532</v>
      </c>
      <c r="C1932" t="s">
        <v>1857</v>
      </c>
      <c r="D1932" t="s">
        <v>1</v>
      </c>
      <c r="E1932" t="s">
        <v>2</v>
      </c>
      <c r="F1932">
        <v>25000000</v>
      </c>
      <c r="G1932">
        <v>2002</v>
      </c>
      <c r="H1932">
        <v>5.0999999999999996</v>
      </c>
    </row>
    <row r="1933" spans="1:8" x14ac:dyDescent="0.25">
      <c r="A1933">
        <v>133</v>
      </c>
      <c r="B1933">
        <v>9910</v>
      </c>
      <c r="C1933" t="s">
        <v>3741</v>
      </c>
      <c r="D1933" t="s">
        <v>2353</v>
      </c>
      <c r="E1933" t="s">
        <v>2354</v>
      </c>
      <c r="F1933">
        <v>25000000</v>
      </c>
      <c r="G1933">
        <v>2004</v>
      </c>
      <c r="H1933">
        <v>7.6</v>
      </c>
    </row>
    <row r="1934" spans="1:8" x14ac:dyDescent="0.25">
      <c r="A1934">
        <v>83</v>
      </c>
      <c r="B1934">
        <v>10431220</v>
      </c>
      <c r="C1934" t="s">
        <v>1255</v>
      </c>
      <c r="D1934" t="s">
        <v>1</v>
      </c>
      <c r="E1934" t="s">
        <v>2</v>
      </c>
      <c r="F1934">
        <v>24000000</v>
      </c>
      <c r="G1934">
        <v>1999</v>
      </c>
      <c r="H1934">
        <v>4.0999999999999996</v>
      </c>
    </row>
    <row r="1935" spans="1:8" x14ac:dyDescent="0.25">
      <c r="A1935">
        <v>83</v>
      </c>
      <c r="B1935">
        <v>100491683</v>
      </c>
      <c r="C1935" t="s">
        <v>1660</v>
      </c>
      <c r="D1935" t="s">
        <v>1</v>
      </c>
      <c r="E1935" t="s">
        <v>2</v>
      </c>
      <c r="F1935">
        <v>24000000</v>
      </c>
      <c r="G1935">
        <v>1998</v>
      </c>
      <c r="H1935">
        <v>5.9</v>
      </c>
    </row>
    <row r="1936" spans="1:8" x14ac:dyDescent="0.25">
      <c r="A1936">
        <v>139</v>
      </c>
      <c r="B1936">
        <v>70269171</v>
      </c>
      <c r="C1936" t="s">
        <v>1898</v>
      </c>
      <c r="D1936" t="s">
        <v>1</v>
      </c>
      <c r="E1936" t="s">
        <v>2</v>
      </c>
      <c r="F1936">
        <v>24000000</v>
      </c>
      <c r="G1936">
        <v>2006</v>
      </c>
      <c r="H1936">
        <v>7.2</v>
      </c>
    </row>
    <row r="1937" spans="1:8" x14ac:dyDescent="0.25">
      <c r="A1937">
        <v>120</v>
      </c>
      <c r="B1937">
        <v>101334374</v>
      </c>
      <c r="C1937" t="s">
        <v>1899</v>
      </c>
      <c r="D1937" t="s">
        <v>1</v>
      </c>
      <c r="E1937" t="s">
        <v>2</v>
      </c>
      <c r="F1937">
        <v>24000000</v>
      </c>
      <c r="G1937">
        <v>1997</v>
      </c>
      <c r="H1937">
        <v>6.1</v>
      </c>
    </row>
    <row r="1938" spans="1:8" x14ac:dyDescent="0.25">
      <c r="A1938">
        <v>106</v>
      </c>
      <c r="B1938">
        <v>65182182</v>
      </c>
      <c r="C1938" t="s">
        <v>1901</v>
      </c>
      <c r="D1938" t="s">
        <v>1</v>
      </c>
      <c r="E1938" t="s">
        <v>2</v>
      </c>
      <c r="F1938">
        <v>24000000</v>
      </c>
      <c r="G1938">
        <v>2014</v>
      </c>
      <c r="H1938">
        <v>5.7</v>
      </c>
    </row>
    <row r="1939" spans="1:8" x14ac:dyDescent="0.25">
      <c r="A1939">
        <v>98</v>
      </c>
      <c r="B1939">
        <v>57262492</v>
      </c>
      <c r="C1939" t="s">
        <v>1902</v>
      </c>
      <c r="D1939" t="s">
        <v>1</v>
      </c>
      <c r="E1939" t="s">
        <v>2</v>
      </c>
      <c r="F1939">
        <v>24000000</v>
      </c>
      <c r="G1939">
        <v>2000</v>
      </c>
      <c r="H1939">
        <v>6.7</v>
      </c>
    </row>
    <row r="1940" spans="1:8" x14ac:dyDescent="0.25">
      <c r="A1940">
        <v>88</v>
      </c>
      <c r="B1940">
        <v>74608545</v>
      </c>
      <c r="C1940" t="s">
        <v>1904</v>
      </c>
      <c r="D1940" t="s">
        <v>1</v>
      </c>
      <c r="E1940" t="s">
        <v>2</v>
      </c>
      <c r="F1940">
        <v>24000000</v>
      </c>
      <c r="G1940">
        <v>2003</v>
      </c>
      <c r="H1940">
        <v>7.2</v>
      </c>
    </row>
    <row r="1941" spans="1:8" x14ac:dyDescent="0.25">
      <c r="A1941">
        <v>137</v>
      </c>
      <c r="B1941">
        <v>41895491</v>
      </c>
      <c r="C1941" t="s">
        <v>1905</v>
      </c>
      <c r="D1941" t="s">
        <v>1</v>
      </c>
      <c r="E1941" t="s">
        <v>2</v>
      </c>
      <c r="F1941">
        <v>24000000</v>
      </c>
      <c r="G1941">
        <v>1991</v>
      </c>
      <c r="H1941">
        <v>7.6</v>
      </c>
    </row>
    <row r="1942" spans="1:8" x14ac:dyDescent="0.25">
      <c r="A1942">
        <v>100</v>
      </c>
      <c r="B1942">
        <v>39989008</v>
      </c>
      <c r="C1942" t="s">
        <v>1906</v>
      </c>
      <c r="D1942" t="s">
        <v>1</v>
      </c>
      <c r="E1942" t="s">
        <v>2</v>
      </c>
      <c r="F1942">
        <v>24000000</v>
      </c>
      <c r="G1942">
        <v>1998</v>
      </c>
      <c r="H1942">
        <v>4.5999999999999996</v>
      </c>
    </row>
    <row r="1943" spans="1:8" x14ac:dyDescent="0.25">
      <c r="A1943">
        <v>115</v>
      </c>
      <c r="B1943">
        <v>32662299</v>
      </c>
      <c r="C1943" t="s">
        <v>1907</v>
      </c>
      <c r="D1943" t="s">
        <v>1</v>
      </c>
      <c r="E1943" t="s">
        <v>2</v>
      </c>
      <c r="F1943">
        <v>24000000</v>
      </c>
      <c r="G1943">
        <v>2000</v>
      </c>
      <c r="H1943">
        <v>6.9</v>
      </c>
    </row>
    <row r="1944" spans="1:8" x14ac:dyDescent="0.25">
      <c r="A1944">
        <v>101</v>
      </c>
      <c r="B1944">
        <v>31452765</v>
      </c>
      <c r="C1944" t="s">
        <v>1908</v>
      </c>
      <c r="D1944" t="s">
        <v>1</v>
      </c>
      <c r="E1944" t="s">
        <v>2</v>
      </c>
      <c r="F1944">
        <v>24000000</v>
      </c>
      <c r="G1944">
        <v>2008</v>
      </c>
      <c r="H1944">
        <v>6.6</v>
      </c>
    </row>
    <row r="1945" spans="1:8" x14ac:dyDescent="0.25">
      <c r="A1945">
        <v>110</v>
      </c>
      <c r="B1945">
        <v>25167270</v>
      </c>
      <c r="C1945" t="s">
        <v>1909</v>
      </c>
      <c r="D1945" t="s">
        <v>1</v>
      </c>
      <c r="E1945" t="s">
        <v>119</v>
      </c>
      <c r="F1945">
        <v>24000000</v>
      </c>
      <c r="G1945">
        <v>2000</v>
      </c>
      <c r="H1945">
        <v>6.3</v>
      </c>
    </row>
    <row r="1946" spans="1:8" x14ac:dyDescent="0.25">
      <c r="A1946">
        <v>88</v>
      </c>
      <c r="B1946">
        <v>20218</v>
      </c>
      <c r="C1946" t="s">
        <v>1911</v>
      </c>
      <c r="D1946" t="s">
        <v>1</v>
      </c>
      <c r="E1946" t="s">
        <v>2</v>
      </c>
      <c r="F1946">
        <v>24000000</v>
      </c>
      <c r="G1946">
        <v>2001</v>
      </c>
      <c r="H1946">
        <v>5.3</v>
      </c>
    </row>
    <row r="1947" spans="1:8" x14ac:dyDescent="0.25">
      <c r="A1947">
        <v>127</v>
      </c>
      <c r="B1947">
        <v>28871190</v>
      </c>
      <c r="C1947" t="s">
        <v>1912</v>
      </c>
      <c r="D1947" t="s">
        <v>1</v>
      </c>
      <c r="E1947" t="s">
        <v>2</v>
      </c>
      <c r="F1947">
        <v>24000000</v>
      </c>
      <c r="G1947">
        <v>1999</v>
      </c>
      <c r="H1947">
        <v>7.3</v>
      </c>
    </row>
    <row r="1948" spans="1:8" x14ac:dyDescent="0.25">
      <c r="A1948">
        <v>95</v>
      </c>
      <c r="B1948">
        <v>16964743</v>
      </c>
      <c r="C1948" t="s">
        <v>1913</v>
      </c>
      <c r="D1948" t="s">
        <v>1</v>
      </c>
      <c r="E1948" t="s">
        <v>2</v>
      </c>
      <c r="F1948">
        <v>24000000</v>
      </c>
      <c r="G1948">
        <v>2004</v>
      </c>
      <c r="H1948">
        <v>5.6</v>
      </c>
    </row>
    <row r="1949" spans="1:8" x14ac:dyDescent="0.25">
      <c r="A1949">
        <v>87</v>
      </c>
      <c r="B1949">
        <v>16290976</v>
      </c>
      <c r="C1949" t="s">
        <v>1914</v>
      </c>
      <c r="D1949" t="s">
        <v>1</v>
      </c>
      <c r="E1949" t="s">
        <v>2</v>
      </c>
      <c r="F1949">
        <v>24000000</v>
      </c>
      <c r="G1949">
        <v>1999</v>
      </c>
      <c r="H1949">
        <v>6.2</v>
      </c>
    </row>
    <row r="1950" spans="1:8" x14ac:dyDescent="0.25">
      <c r="A1950">
        <v>118</v>
      </c>
      <c r="B1950">
        <v>13000000</v>
      </c>
      <c r="C1950" t="s">
        <v>1915</v>
      </c>
      <c r="D1950" t="s">
        <v>1</v>
      </c>
      <c r="E1950" t="s">
        <v>2</v>
      </c>
      <c r="F1950">
        <v>24000000</v>
      </c>
      <c r="G1950">
        <v>1978</v>
      </c>
      <c r="H1950">
        <v>5.2</v>
      </c>
    </row>
    <row r="1951" spans="1:8" x14ac:dyDescent="0.25">
      <c r="A1951">
        <v>107</v>
      </c>
      <c r="B1951">
        <v>12372410</v>
      </c>
      <c r="C1951" t="s">
        <v>1916</v>
      </c>
      <c r="D1951" t="s">
        <v>1</v>
      </c>
      <c r="E1951" t="s">
        <v>2</v>
      </c>
      <c r="F1951">
        <v>24000000</v>
      </c>
      <c r="G1951">
        <v>2000</v>
      </c>
      <c r="H1951">
        <v>5.3</v>
      </c>
    </row>
    <row r="1952" spans="1:8" x14ac:dyDescent="0.25">
      <c r="A1952">
        <v>124</v>
      </c>
      <c r="B1952">
        <v>8427204</v>
      </c>
      <c r="C1952" t="s">
        <v>1917</v>
      </c>
      <c r="D1952" t="s">
        <v>1</v>
      </c>
      <c r="E1952" t="s">
        <v>2</v>
      </c>
      <c r="F1952">
        <v>24000000</v>
      </c>
      <c r="G1952">
        <v>1999</v>
      </c>
      <c r="H1952">
        <v>5.4</v>
      </c>
    </row>
    <row r="1953" spans="1:8" x14ac:dyDescent="0.25">
      <c r="A1953">
        <v>89</v>
      </c>
      <c r="B1953">
        <v>9639242</v>
      </c>
      <c r="C1953" t="s">
        <v>1918</v>
      </c>
      <c r="D1953" t="s">
        <v>1</v>
      </c>
      <c r="E1953" t="s">
        <v>2</v>
      </c>
      <c r="F1953">
        <v>24000000</v>
      </c>
      <c r="G1953">
        <v>2011</v>
      </c>
      <c r="H1953">
        <v>4.9000000000000004</v>
      </c>
    </row>
    <row r="1954" spans="1:8" x14ac:dyDescent="0.25">
      <c r="A1954">
        <v>88</v>
      </c>
      <c r="B1954">
        <v>25003072</v>
      </c>
      <c r="C1954" t="s">
        <v>1919</v>
      </c>
      <c r="D1954" t="s">
        <v>1</v>
      </c>
      <c r="E1954" t="s">
        <v>2</v>
      </c>
      <c r="F1954">
        <v>24000000</v>
      </c>
      <c r="G1954">
        <v>2010</v>
      </c>
      <c r="H1954">
        <v>5.5</v>
      </c>
    </row>
    <row r="1955" spans="1:8" x14ac:dyDescent="0.25">
      <c r="A1955">
        <v>120</v>
      </c>
      <c r="B1955">
        <v>42880</v>
      </c>
      <c r="C1955" t="s">
        <v>1922</v>
      </c>
      <c r="D1955" t="s">
        <v>1</v>
      </c>
      <c r="E1955" t="s">
        <v>5</v>
      </c>
      <c r="F1955">
        <v>24000000</v>
      </c>
      <c r="G1955">
        <v>2004</v>
      </c>
      <c r="H1955">
        <v>5.0999999999999996</v>
      </c>
    </row>
    <row r="1956" spans="1:8" x14ac:dyDescent="0.25">
      <c r="A1956">
        <v>98</v>
      </c>
      <c r="B1956">
        <v>23225911</v>
      </c>
      <c r="C1956" t="s">
        <v>1923</v>
      </c>
      <c r="D1956" t="s">
        <v>1</v>
      </c>
      <c r="E1956" t="s">
        <v>2</v>
      </c>
      <c r="F1956">
        <v>24000000</v>
      </c>
      <c r="G1956">
        <v>2010</v>
      </c>
      <c r="H1956">
        <v>6.5</v>
      </c>
    </row>
    <row r="1957" spans="1:8" x14ac:dyDescent="0.25">
      <c r="A1957">
        <v>119</v>
      </c>
      <c r="B1957">
        <v>4710455</v>
      </c>
      <c r="C1957" t="s">
        <v>1924</v>
      </c>
      <c r="D1957" t="s">
        <v>102</v>
      </c>
      <c r="E1957" t="s">
        <v>103</v>
      </c>
      <c r="F1957">
        <v>24000000</v>
      </c>
      <c r="G1957">
        <v>2004</v>
      </c>
      <c r="H1957">
        <v>8.1999999999999993</v>
      </c>
    </row>
    <row r="1958" spans="1:8" x14ac:dyDescent="0.25">
      <c r="A1958">
        <v>115</v>
      </c>
      <c r="B1958">
        <v>882710</v>
      </c>
      <c r="C1958" t="s">
        <v>2173</v>
      </c>
      <c r="D1958" t="s">
        <v>1</v>
      </c>
      <c r="E1958" t="s">
        <v>2</v>
      </c>
      <c r="F1958">
        <v>24000000</v>
      </c>
      <c r="G1958">
        <v>2000</v>
      </c>
      <c r="H1958">
        <v>6.4</v>
      </c>
    </row>
    <row r="1959" spans="1:8" x14ac:dyDescent="0.25">
      <c r="A1959">
        <v>94</v>
      </c>
      <c r="B1959">
        <v>39687528</v>
      </c>
      <c r="C1959" t="s">
        <v>2286</v>
      </c>
      <c r="D1959" t="s">
        <v>1</v>
      </c>
      <c r="E1959" t="s">
        <v>244</v>
      </c>
      <c r="F1959">
        <v>24000000</v>
      </c>
      <c r="G1959">
        <v>2007</v>
      </c>
      <c r="H1959">
        <v>6.3</v>
      </c>
    </row>
    <row r="1960" spans="1:8" x14ac:dyDescent="0.25">
      <c r="A1960">
        <v>90</v>
      </c>
      <c r="B1960">
        <v>5108820</v>
      </c>
      <c r="C1960" t="s">
        <v>2550</v>
      </c>
      <c r="D1960" t="s">
        <v>1</v>
      </c>
      <c r="E1960" t="s">
        <v>2</v>
      </c>
      <c r="F1960">
        <v>24000000</v>
      </c>
      <c r="G1960">
        <v>2000</v>
      </c>
      <c r="H1960">
        <v>5.9</v>
      </c>
    </row>
    <row r="1961" spans="1:8" x14ac:dyDescent="0.25">
      <c r="A1961">
        <v>88</v>
      </c>
      <c r="B1961">
        <v>75590286</v>
      </c>
      <c r="C1961" t="s">
        <v>1925</v>
      </c>
      <c r="D1961" t="s">
        <v>1</v>
      </c>
      <c r="E1961" t="s">
        <v>2</v>
      </c>
      <c r="F1961">
        <v>23600000</v>
      </c>
      <c r="G1961">
        <v>2009</v>
      </c>
      <c r="H1961">
        <v>7.7</v>
      </c>
    </row>
    <row r="1962" spans="1:8" x14ac:dyDescent="0.25">
      <c r="A1962">
        <v>104</v>
      </c>
      <c r="B1962">
        <v>10696210</v>
      </c>
      <c r="C1962" t="s">
        <v>1978</v>
      </c>
      <c r="D1962" t="s">
        <v>1</v>
      </c>
      <c r="E1962" t="s">
        <v>2</v>
      </c>
      <c r="F1962">
        <v>23500000</v>
      </c>
      <c r="G1962">
        <v>1993</v>
      </c>
      <c r="H1962">
        <v>3.9</v>
      </c>
    </row>
    <row r="1963" spans="1:8" x14ac:dyDescent="0.25">
      <c r="A1963">
        <v>98</v>
      </c>
      <c r="B1963">
        <v>50693162</v>
      </c>
      <c r="C1963" t="s">
        <v>1273</v>
      </c>
      <c r="D1963" t="s">
        <v>1</v>
      </c>
      <c r="E1963" t="s">
        <v>2</v>
      </c>
      <c r="F1963">
        <v>23000000</v>
      </c>
      <c r="G1963">
        <v>1994</v>
      </c>
      <c r="H1963">
        <v>7.6</v>
      </c>
    </row>
    <row r="1964" spans="1:8" x14ac:dyDescent="0.25">
      <c r="A1964">
        <v>101</v>
      </c>
      <c r="B1964">
        <v>12189514</v>
      </c>
      <c r="C1964" t="s">
        <v>1625</v>
      </c>
      <c r="D1964" t="s">
        <v>1</v>
      </c>
      <c r="E1964" t="s">
        <v>2</v>
      </c>
      <c r="F1964">
        <v>23000000</v>
      </c>
      <c r="G1964">
        <v>2004</v>
      </c>
      <c r="H1964">
        <v>6.1</v>
      </c>
    </row>
    <row r="1965" spans="1:8" x14ac:dyDescent="0.25">
      <c r="A1965">
        <v>120</v>
      </c>
      <c r="B1965">
        <v>763044</v>
      </c>
      <c r="C1965" t="s">
        <v>1732</v>
      </c>
      <c r="D1965" t="s">
        <v>1</v>
      </c>
      <c r="E1965" t="s">
        <v>38</v>
      </c>
      <c r="F1965">
        <v>23000000</v>
      </c>
      <c r="G1965">
        <v>2003</v>
      </c>
      <c r="H1965">
        <v>6.2</v>
      </c>
    </row>
    <row r="1966" spans="1:8" x14ac:dyDescent="0.25">
      <c r="A1966">
        <v>219</v>
      </c>
      <c r="B1966">
        <v>43984230</v>
      </c>
      <c r="C1966" t="s">
        <v>1804</v>
      </c>
      <c r="D1966" t="s">
        <v>1</v>
      </c>
      <c r="E1966" t="s">
        <v>142</v>
      </c>
      <c r="F1966">
        <v>23000000</v>
      </c>
      <c r="G1966">
        <v>1987</v>
      </c>
      <c r="H1966">
        <v>7.8</v>
      </c>
    </row>
    <row r="1967" spans="1:8" x14ac:dyDescent="0.25">
      <c r="A1967">
        <v>106</v>
      </c>
      <c r="B1967">
        <v>15785632</v>
      </c>
      <c r="C1967" t="s">
        <v>1837</v>
      </c>
      <c r="D1967" t="s">
        <v>1</v>
      </c>
      <c r="E1967" t="s">
        <v>5</v>
      </c>
      <c r="F1967">
        <v>23000000</v>
      </c>
      <c r="G1967">
        <v>2016</v>
      </c>
      <c r="H1967">
        <v>7.5</v>
      </c>
    </row>
    <row r="1968" spans="1:8" x14ac:dyDescent="0.25">
      <c r="A1968">
        <v>118</v>
      </c>
      <c r="B1968">
        <v>6144806</v>
      </c>
      <c r="C1968" t="s">
        <v>1920</v>
      </c>
      <c r="D1968" t="s">
        <v>1</v>
      </c>
      <c r="E1968" t="s">
        <v>2</v>
      </c>
      <c r="F1968">
        <v>23000000</v>
      </c>
      <c r="G1968">
        <v>2004</v>
      </c>
      <c r="H1968">
        <v>6.7</v>
      </c>
    </row>
    <row r="1969" spans="1:8" x14ac:dyDescent="0.25">
      <c r="A1969">
        <v>85</v>
      </c>
      <c r="B1969">
        <v>86930411</v>
      </c>
      <c r="C1969" t="s">
        <v>1929</v>
      </c>
      <c r="D1969" t="s">
        <v>1</v>
      </c>
      <c r="E1969" t="s">
        <v>2</v>
      </c>
      <c r="F1969">
        <v>23000000</v>
      </c>
      <c r="G1969">
        <v>1991</v>
      </c>
      <c r="H1969">
        <v>6.8</v>
      </c>
    </row>
    <row r="1970" spans="1:8" x14ac:dyDescent="0.25">
      <c r="A1970">
        <v>98</v>
      </c>
      <c r="B1970">
        <v>53302314</v>
      </c>
      <c r="C1970" t="s">
        <v>1930</v>
      </c>
      <c r="D1970" t="s">
        <v>1</v>
      </c>
      <c r="E1970" t="s">
        <v>2</v>
      </c>
      <c r="F1970">
        <v>23000000</v>
      </c>
      <c r="G1970">
        <v>2000</v>
      </c>
      <c r="H1970">
        <v>6.7</v>
      </c>
    </row>
    <row r="1971" spans="1:8" x14ac:dyDescent="0.25">
      <c r="A1971">
        <v>112</v>
      </c>
      <c r="B1971">
        <v>39235088</v>
      </c>
      <c r="C1971" t="s">
        <v>1932</v>
      </c>
      <c r="D1971" t="s">
        <v>1</v>
      </c>
      <c r="E1971" t="s">
        <v>2</v>
      </c>
      <c r="F1971">
        <v>23000000</v>
      </c>
      <c r="G1971">
        <v>2000</v>
      </c>
      <c r="H1971">
        <v>7.1</v>
      </c>
    </row>
    <row r="1972" spans="1:8" x14ac:dyDescent="0.25">
      <c r="A1972">
        <v>97</v>
      </c>
      <c r="B1972">
        <v>27338033</v>
      </c>
      <c r="C1972" t="s">
        <v>1933</v>
      </c>
      <c r="D1972" t="s">
        <v>1</v>
      </c>
      <c r="E1972" t="s">
        <v>2</v>
      </c>
      <c r="F1972">
        <v>23000000</v>
      </c>
      <c r="G1972">
        <v>2001</v>
      </c>
      <c r="H1972">
        <v>6.1</v>
      </c>
    </row>
    <row r="1973" spans="1:8" x14ac:dyDescent="0.25">
      <c r="A1973">
        <v>126</v>
      </c>
      <c r="B1973">
        <v>25556065</v>
      </c>
      <c r="C1973" t="s">
        <v>1934</v>
      </c>
      <c r="D1973" t="s">
        <v>1</v>
      </c>
      <c r="E1973" t="s">
        <v>2</v>
      </c>
      <c r="F1973">
        <v>23000000</v>
      </c>
      <c r="G1973">
        <v>2013</v>
      </c>
      <c r="H1973">
        <v>8</v>
      </c>
    </row>
    <row r="1974" spans="1:8" x14ac:dyDescent="0.25">
      <c r="A1974">
        <v>106</v>
      </c>
      <c r="B1974">
        <v>15785632</v>
      </c>
      <c r="C1974" t="s">
        <v>1837</v>
      </c>
      <c r="D1974" t="s">
        <v>1</v>
      </c>
      <c r="E1974" t="s">
        <v>5</v>
      </c>
      <c r="F1974">
        <v>23000000</v>
      </c>
      <c r="G1974">
        <v>2016</v>
      </c>
      <c r="H1974">
        <v>7.5</v>
      </c>
    </row>
    <row r="1975" spans="1:8" x14ac:dyDescent="0.25">
      <c r="A1975">
        <v>97</v>
      </c>
      <c r="B1975">
        <v>21973182</v>
      </c>
      <c r="C1975" t="s">
        <v>1935</v>
      </c>
      <c r="D1975" t="s">
        <v>1</v>
      </c>
      <c r="E1975" t="s">
        <v>2</v>
      </c>
      <c r="F1975">
        <v>23000000</v>
      </c>
      <c r="G1975">
        <v>2001</v>
      </c>
      <c r="H1975">
        <v>6.6</v>
      </c>
    </row>
    <row r="1976" spans="1:8" x14ac:dyDescent="0.25">
      <c r="A1976">
        <v>114</v>
      </c>
      <c r="B1976">
        <v>18653615</v>
      </c>
      <c r="C1976" t="s">
        <v>1937</v>
      </c>
      <c r="D1976" t="s">
        <v>1</v>
      </c>
      <c r="E1976" t="s">
        <v>2</v>
      </c>
      <c r="F1976">
        <v>23000000</v>
      </c>
      <c r="G1976">
        <v>1999</v>
      </c>
      <c r="H1976">
        <v>6.1</v>
      </c>
    </row>
    <row r="1977" spans="1:8" x14ac:dyDescent="0.25">
      <c r="A1977">
        <v>101</v>
      </c>
      <c r="B1977">
        <v>12189514</v>
      </c>
      <c r="C1977" t="s">
        <v>1625</v>
      </c>
      <c r="D1977" t="s">
        <v>1</v>
      </c>
      <c r="E1977" t="s">
        <v>2</v>
      </c>
      <c r="F1977">
        <v>23000000</v>
      </c>
      <c r="G1977">
        <v>2004</v>
      </c>
      <c r="H1977">
        <v>6.1</v>
      </c>
    </row>
    <row r="1978" spans="1:8" x14ac:dyDescent="0.25">
      <c r="A1978">
        <v>88</v>
      </c>
      <c r="B1978">
        <v>13019253</v>
      </c>
      <c r="C1978" t="s">
        <v>1938</v>
      </c>
      <c r="D1978" t="s">
        <v>1</v>
      </c>
      <c r="E1978" t="s">
        <v>2</v>
      </c>
      <c r="F1978">
        <v>23000000</v>
      </c>
      <c r="G1978">
        <v>2000</v>
      </c>
      <c r="H1978">
        <v>5.6</v>
      </c>
    </row>
    <row r="1979" spans="1:8" x14ac:dyDescent="0.25">
      <c r="A1979">
        <v>93</v>
      </c>
      <c r="B1979">
        <v>18934858</v>
      </c>
      <c r="C1979" t="s">
        <v>1939</v>
      </c>
      <c r="D1979" t="s">
        <v>1</v>
      </c>
      <c r="E1979" t="s">
        <v>1489</v>
      </c>
      <c r="F1979">
        <v>23000000</v>
      </c>
      <c r="G1979">
        <v>2011</v>
      </c>
      <c r="H1979">
        <v>5.8</v>
      </c>
    </row>
    <row r="1980" spans="1:8" x14ac:dyDescent="0.25">
      <c r="A1980">
        <v>92</v>
      </c>
      <c r="B1980">
        <v>20763013</v>
      </c>
      <c r="C1980" t="s">
        <v>1940</v>
      </c>
      <c r="D1980" t="s">
        <v>1</v>
      </c>
      <c r="E1980" t="s">
        <v>2</v>
      </c>
      <c r="F1980">
        <v>23000000</v>
      </c>
      <c r="G1980">
        <v>1987</v>
      </c>
      <c r="H1980">
        <v>2.8</v>
      </c>
    </row>
    <row r="1981" spans="1:8" x14ac:dyDescent="0.25">
      <c r="A1981">
        <v>98</v>
      </c>
      <c r="B1981">
        <v>12782508</v>
      </c>
      <c r="C1981" t="s">
        <v>1941</v>
      </c>
      <c r="D1981" t="s">
        <v>1</v>
      </c>
      <c r="E1981" t="s">
        <v>2</v>
      </c>
      <c r="F1981">
        <v>23000000</v>
      </c>
      <c r="G1981">
        <v>1996</v>
      </c>
      <c r="H1981">
        <v>6.7</v>
      </c>
    </row>
    <row r="1982" spans="1:8" x14ac:dyDescent="0.25">
      <c r="A1982">
        <v>94</v>
      </c>
      <c r="B1982">
        <v>11508423</v>
      </c>
      <c r="C1982" t="s">
        <v>1942</v>
      </c>
      <c r="D1982" t="s">
        <v>1</v>
      </c>
      <c r="E1982" t="s">
        <v>2</v>
      </c>
      <c r="F1982">
        <v>23000000</v>
      </c>
      <c r="G1982">
        <v>2008</v>
      </c>
      <c r="H1982">
        <v>5.0999999999999996</v>
      </c>
    </row>
    <row r="1983" spans="1:8" x14ac:dyDescent="0.25">
      <c r="A1983">
        <v>102</v>
      </c>
      <c r="B1983">
        <v>10660147</v>
      </c>
      <c r="C1983" t="s">
        <v>1943</v>
      </c>
      <c r="D1983" t="s">
        <v>1</v>
      </c>
      <c r="E1983" t="s">
        <v>5</v>
      </c>
      <c r="F1983">
        <v>23000000</v>
      </c>
      <c r="G1983">
        <v>1999</v>
      </c>
      <c r="H1983">
        <v>7.2</v>
      </c>
    </row>
    <row r="1984" spans="1:8" x14ac:dyDescent="0.25">
      <c r="A1984">
        <v>98</v>
      </c>
      <c r="B1984">
        <v>7434726</v>
      </c>
      <c r="C1984" t="s">
        <v>1944</v>
      </c>
      <c r="D1984" t="s">
        <v>1</v>
      </c>
      <c r="E1984" t="s">
        <v>2</v>
      </c>
      <c r="F1984">
        <v>23000000</v>
      </c>
      <c r="G1984">
        <v>1991</v>
      </c>
      <c r="H1984">
        <v>6</v>
      </c>
    </row>
    <row r="1985" spans="1:8" x14ac:dyDescent="0.25">
      <c r="A1985">
        <v>100</v>
      </c>
      <c r="B1985">
        <v>2708188</v>
      </c>
      <c r="C1985" t="s">
        <v>1946</v>
      </c>
      <c r="D1985" t="s">
        <v>1</v>
      </c>
      <c r="E1985" t="s">
        <v>5</v>
      </c>
      <c r="F1985">
        <v>23000000</v>
      </c>
      <c r="G1985">
        <v>2009</v>
      </c>
      <c r="H1985">
        <v>6.2</v>
      </c>
    </row>
    <row r="1986" spans="1:8" x14ac:dyDescent="0.25">
      <c r="A1986">
        <v>141</v>
      </c>
      <c r="B1986">
        <v>16123851</v>
      </c>
      <c r="C1986" t="s">
        <v>1947</v>
      </c>
      <c r="D1986" t="s">
        <v>1</v>
      </c>
      <c r="E1986" t="s">
        <v>2</v>
      </c>
      <c r="F1986">
        <v>23000000</v>
      </c>
      <c r="G1986">
        <v>2004</v>
      </c>
      <c r="H1986">
        <v>6.2</v>
      </c>
    </row>
    <row r="1987" spans="1:8" x14ac:dyDescent="0.25">
      <c r="A1987">
        <v>107</v>
      </c>
      <c r="B1987">
        <v>176483808</v>
      </c>
      <c r="C1987" t="s">
        <v>1952</v>
      </c>
      <c r="D1987" t="s">
        <v>1</v>
      </c>
      <c r="E1987" t="s">
        <v>2</v>
      </c>
      <c r="F1987">
        <v>23000000</v>
      </c>
      <c r="G1987">
        <v>1998</v>
      </c>
      <c r="H1987">
        <v>7.1</v>
      </c>
    </row>
    <row r="1988" spans="1:8" x14ac:dyDescent="0.25">
      <c r="A1988">
        <v>97</v>
      </c>
      <c r="B1988">
        <v>6923891</v>
      </c>
      <c r="C1988" t="s">
        <v>2203</v>
      </c>
      <c r="D1988" t="s">
        <v>1</v>
      </c>
      <c r="E1988" t="s">
        <v>2</v>
      </c>
      <c r="F1988">
        <v>23000000</v>
      </c>
      <c r="G1988">
        <v>2011</v>
      </c>
      <c r="H1988">
        <v>6.3</v>
      </c>
    </row>
    <row r="1989" spans="1:8" x14ac:dyDescent="0.25">
      <c r="A1989">
        <v>98</v>
      </c>
      <c r="B1989">
        <v>58006147</v>
      </c>
      <c r="C1989" t="s">
        <v>2283</v>
      </c>
      <c r="D1989" t="s">
        <v>1</v>
      </c>
      <c r="E1989" t="s">
        <v>2</v>
      </c>
      <c r="F1989">
        <v>23000000</v>
      </c>
      <c r="G1989">
        <v>2008</v>
      </c>
      <c r="H1989">
        <v>6.2</v>
      </c>
    </row>
    <row r="1990" spans="1:8" x14ac:dyDescent="0.25">
      <c r="A1990">
        <v>82</v>
      </c>
      <c r="B1990">
        <v>36696761</v>
      </c>
      <c r="C1990" t="s">
        <v>2798</v>
      </c>
      <c r="D1990" t="s">
        <v>1</v>
      </c>
      <c r="E1990" t="s">
        <v>2</v>
      </c>
      <c r="F1990">
        <v>23000000</v>
      </c>
      <c r="G1990">
        <v>2001</v>
      </c>
      <c r="H1990">
        <v>6.5</v>
      </c>
    </row>
    <row r="1991" spans="1:8" x14ac:dyDescent="0.25">
      <c r="A1991">
        <v>96</v>
      </c>
      <c r="B1991">
        <v>38119483</v>
      </c>
      <c r="C1991" t="s">
        <v>1949</v>
      </c>
      <c r="D1991" t="s">
        <v>1</v>
      </c>
      <c r="E1991" t="s">
        <v>2</v>
      </c>
      <c r="F1991">
        <v>22700000</v>
      </c>
      <c r="G1991">
        <v>1987</v>
      </c>
      <c r="H1991">
        <v>7.1</v>
      </c>
    </row>
    <row r="1992" spans="1:8" x14ac:dyDescent="0.25">
      <c r="A1992">
        <v>111</v>
      </c>
      <c r="B1992">
        <v>4190530</v>
      </c>
      <c r="C1992" t="s">
        <v>1950</v>
      </c>
      <c r="D1992" t="s">
        <v>1</v>
      </c>
      <c r="E1992" t="s">
        <v>55</v>
      </c>
      <c r="F1992">
        <v>22500000</v>
      </c>
      <c r="G1992">
        <v>2014</v>
      </c>
      <c r="H1992">
        <v>7.1</v>
      </c>
    </row>
    <row r="1993" spans="1:8" x14ac:dyDescent="0.25">
      <c r="A1993">
        <v>108</v>
      </c>
      <c r="B1993">
        <v>9528092</v>
      </c>
      <c r="C1993" t="s">
        <v>982</v>
      </c>
      <c r="D1993" t="s">
        <v>1</v>
      </c>
      <c r="E1993" t="s">
        <v>2</v>
      </c>
      <c r="F1993">
        <v>22000000</v>
      </c>
      <c r="G1993">
        <v>2010</v>
      </c>
      <c r="H1993">
        <v>6.8</v>
      </c>
    </row>
    <row r="1994" spans="1:8" x14ac:dyDescent="0.25">
      <c r="A1994">
        <v>139</v>
      </c>
      <c r="B1994">
        <v>58328680</v>
      </c>
      <c r="C1994" t="s">
        <v>1741</v>
      </c>
      <c r="D1994" t="s">
        <v>1</v>
      </c>
      <c r="E1994" t="s">
        <v>2</v>
      </c>
      <c r="F1994">
        <v>22000000</v>
      </c>
      <c r="G1994">
        <v>2003</v>
      </c>
      <c r="H1994">
        <v>7.5</v>
      </c>
    </row>
    <row r="1995" spans="1:8" x14ac:dyDescent="0.25">
      <c r="A1995">
        <v>101</v>
      </c>
      <c r="B1995">
        <v>1075288</v>
      </c>
      <c r="C1995" t="s">
        <v>1759</v>
      </c>
      <c r="D1995" t="s">
        <v>1</v>
      </c>
      <c r="E1995" t="s">
        <v>2</v>
      </c>
      <c r="F1995">
        <v>22000000</v>
      </c>
      <c r="G1995">
        <v>1996</v>
      </c>
      <c r="H1995">
        <v>6.1</v>
      </c>
    </row>
    <row r="1996" spans="1:8" x14ac:dyDescent="0.25">
      <c r="A1996">
        <v>185</v>
      </c>
      <c r="B1996">
        <v>96067179</v>
      </c>
      <c r="C1996" t="s">
        <v>1773</v>
      </c>
      <c r="D1996" t="s">
        <v>1</v>
      </c>
      <c r="E1996" t="s">
        <v>2</v>
      </c>
      <c r="F1996">
        <v>22000000</v>
      </c>
      <c r="G1996">
        <v>1993</v>
      </c>
      <c r="H1996">
        <v>8.9</v>
      </c>
    </row>
    <row r="1997" spans="1:8" x14ac:dyDescent="0.25">
      <c r="A1997">
        <v>127</v>
      </c>
      <c r="B1997">
        <v>217631306</v>
      </c>
      <c r="C1997" t="s">
        <v>1951</v>
      </c>
      <c r="D1997" t="s">
        <v>1</v>
      </c>
      <c r="E1997" t="s">
        <v>2</v>
      </c>
      <c r="F1997">
        <v>22000000</v>
      </c>
      <c r="G1997">
        <v>1990</v>
      </c>
      <c r="H1997">
        <v>7</v>
      </c>
    </row>
    <row r="1998" spans="1:8" x14ac:dyDescent="0.25">
      <c r="A1998">
        <v>97</v>
      </c>
      <c r="B1998">
        <v>144833357</v>
      </c>
      <c r="C1998" t="s">
        <v>1953</v>
      </c>
      <c r="D1998" t="s">
        <v>1</v>
      </c>
      <c r="E1998" t="s">
        <v>2</v>
      </c>
      <c r="F1998">
        <v>22000000</v>
      </c>
      <c r="G1998">
        <v>1994</v>
      </c>
      <c r="H1998">
        <v>6.4</v>
      </c>
    </row>
    <row r="1999" spans="1:8" x14ac:dyDescent="0.25">
      <c r="A1999">
        <v>110</v>
      </c>
      <c r="B1999">
        <v>90636983</v>
      </c>
      <c r="C1999" t="s">
        <v>1955</v>
      </c>
      <c r="D1999" t="s">
        <v>1</v>
      </c>
      <c r="E1999" t="s">
        <v>2</v>
      </c>
      <c r="F1999">
        <v>22000000</v>
      </c>
      <c r="G1999">
        <v>2007</v>
      </c>
      <c r="H1999">
        <v>6.2</v>
      </c>
    </row>
    <row r="2000" spans="1:8" x14ac:dyDescent="0.25">
      <c r="A2000">
        <v>84</v>
      </c>
      <c r="B2000">
        <v>55762229</v>
      </c>
      <c r="C2000" t="s">
        <v>1957</v>
      </c>
      <c r="D2000" t="s">
        <v>1</v>
      </c>
      <c r="E2000" t="s">
        <v>2</v>
      </c>
      <c r="F2000">
        <v>22000000</v>
      </c>
      <c r="G2000">
        <v>2001</v>
      </c>
      <c r="H2000">
        <v>4.8</v>
      </c>
    </row>
    <row r="2001" spans="1:8" x14ac:dyDescent="0.25">
      <c r="A2001">
        <v>122</v>
      </c>
      <c r="B2001">
        <v>54235441</v>
      </c>
      <c r="C2001" t="s">
        <v>1958</v>
      </c>
      <c r="D2001" t="s">
        <v>1</v>
      </c>
      <c r="E2001" t="s">
        <v>2</v>
      </c>
      <c r="F2001">
        <v>22000000</v>
      </c>
      <c r="G2001">
        <v>2014</v>
      </c>
      <c r="H2001">
        <v>7.3</v>
      </c>
    </row>
    <row r="2002" spans="1:8" x14ac:dyDescent="0.25">
      <c r="A2002">
        <v>114</v>
      </c>
      <c r="B2002">
        <v>50728000</v>
      </c>
      <c r="C2002" t="s">
        <v>1959</v>
      </c>
      <c r="D2002" t="s">
        <v>1</v>
      </c>
      <c r="E2002" t="s">
        <v>2</v>
      </c>
      <c r="F2002">
        <v>22000000</v>
      </c>
      <c r="G2002">
        <v>1995</v>
      </c>
      <c r="H2002">
        <v>5.8</v>
      </c>
    </row>
    <row r="2003" spans="1:8" x14ac:dyDescent="0.25">
      <c r="A2003">
        <v>132</v>
      </c>
      <c r="B2003">
        <v>40270895</v>
      </c>
      <c r="C2003" t="s">
        <v>1960</v>
      </c>
      <c r="D2003" t="s">
        <v>1</v>
      </c>
      <c r="E2003" t="s">
        <v>2</v>
      </c>
      <c r="F2003">
        <v>22000000</v>
      </c>
      <c r="G2003">
        <v>2001</v>
      </c>
      <c r="H2003">
        <v>7.6</v>
      </c>
    </row>
    <row r="2004" spans="1:8" x14ac:dyDescent="0.25">
      <c r="A2004">
        <v>170</v>
      </c>
      <c r="B2004">
        <v>59696176</v>
      </c>
      <c r="C2004" t="s">
        <v>1961</v>
      </c>
      <c r="D2004" t="s">
        <v>1</v>
      </c>
      <c r="E2004" t="s">
        <v>2</v>
      </c>
      <c r="F2004">
        <v>22000000</v>
      </c>
      <c r="G2004">
        <v>2014</v>
      </c>
      <c r="H2004">
        <v>5.6</v>
      </c>
    </row>
    <row r="2005" spans="1:8" x14ac:dyDescent="0.25">
      <c r="A2005">
        <v>133</v>
      </c>
      <c r="B2005">
        <v>51483949</v>
      </c>
      <c r="C2005" t="s">
        <v>1962</v>
      </c>
      <c r="D2005" t="s">
        <v>1</v>
      </c>
      <c r="E2005" t="s">
        <v>5</v>
      </c>
      <c r="F2005">
        <v>22000000</v>
      </c>
      <c r="G2005">
        <v>2003</v>
      </c>
      <c r="H2005">
        <v>7</v>
      </c>
    </row>
    <row r="2006" spans="1:8" x14ac:dyDescent="0.25">
      <c r="A2006">
        <v>112</v>
      </c>
      <c r="B2006">
        <v>36020063</v>
      </c>
      <c r="C2006" t="s">
        <v>1963</v>
      </c>
      <c r="D2006" t="s">
        <v>1</v>
      </c>
      <c r="E2006" t="s">
        <v>2</v>
      </c>
      <c r="F2006">
        <v>22000000</v>
      </c>
      <c r="G2006">
        <v>2005</v>
      </c>
      <c r="H2006">
        <v>6.6</v>
      </c>
    </row>
    <row r="2007" spans="1:8" x14ac:dyDescent="0.25">
      <c r="A2007">
        <v>115</v>
      </c>
      <c r="B2007">
        <v>25842000</v>
      </c>
      <c r="C2007" t="s">
        <v>1965</v>
      </c>
      <c r="D2007" t="s">
        <v>1</v>
      </c>
      <c r="E2007" t="s">
        <v>5</v>
      </c>
      <c r="F2007">
        <v>22000000</v>
      </c>
      <c r="G2007">
        <v>1993</v>
      </c>
      <c r="H2007">
        <v>7.4</v>
      </c>
    </row>
    <row r="2008" spans="1:8" x14ac:dyDescent="0.25">
      <c r="A2008">
        <v>83</v>
      </c>
      <c r="B2008">
        <v>22264487</v>
      </c>
      <c r="C2008" t="s">
        <v>1966</v>
      </c>
      <c r="D2008" t="s">
        <v>1</v>
      </c>
      <c r="E2008" t="s">
        <v>2</v>
      </c>
      <c r="F2008">
        <v>22000000</v>
      </c>
      <c r="G2008">
        <v>2005</v>
      </c>
      <c r="H2008">
        <v>4.5999999999999996</v>
      </c>
    </row>
    <row r="2009" spans="1:8" x14ac:dyDescent="0.25">
      <c r="A2009">
        <v>96</v>
      </c>
      <c r="B2009">
        <v>19351569</v>
      </c>
      <c r="C2009" t="s">
        <v>1968</v>
      </c>
      <c r="D2009" t="s">
        <v>1</v>
      </c>
      <c r="E2009" t="s">
        <v>2</v>
      </c>
      <c r="F2009">
        <v>22000000</v>
      </c>
      <c r="G2009">
        <v>2001</v>
      </c>
      <c r="H2009">
        <v>5.9</v>
      </c>
    </row>
    <row r="2010" spans="1:8" x14ac:dyDescent="0.25">
      <c r="A2010">
        <v>94</v>
      </c>
      <c r="B2010">
        <v>49002815</v>
      </c>
      <c r="C2010" t="s">
        <v>1969</v>
      </c>
      <c r="D2010" t="s">
        <v>1</v>
      </c>
      <c r="E2010" t="s">
        <v>2</v>
      </c>
      <c r="F2010">
        <v>22000000</v>
      </c>
      <c r="G2010">
        <v>2012</v>
      </c>
      <c r="H2010">
        <v>6.4</v>
      </c>
    </row>
    <row r="2011" spans="1:8" x14ac:dyDescent="0.25">
      <c r="A2011">
        <v>142</v>
      </c>
      <c r="B2011">
        <v>19283782</v>
      </c>
      <c r="C2011" t="s">
        <v>1970</v>
      </c>
      <c r="D2011" t="s">
        <v>1</v>
      </c>
      <c r="E2011" t="s">
        <v>2</v>
      </c>
      <c r="F2011">
        <v>22000000</v>
      </c>
      <c r="G2011">
        <v>1999</v>
      </c>
      <c r="H2011">
        <v>6.6</v>
      </c>
    </row>
    <row r="2012" spans="1:8" x14ac:dyDescent="0.25">
      <c r="A2012">
        <v>104</v>
      </c>
      <c r="B2012">
        <v>30059386</v>
      </c>
      <c r="C2012" t="s">
        <v>1971</v>
      </c>
      <c r="D2012" t="s">
        <v>1</v>
      </c>
      <c r="E2012" t="s">
        <v>2</v>
      </c>
      <c r="F2012">
        <v>22000000</v>
      </c>
      <c r="G2012">
        <v>2001</v>
      </c>
      <c r="H2012">
        <v>6.9</v>
      </c>
    </row>
    <row r="2013" spans="1:8" x14ac:dyDescent="0.25">
      <c r="A2013">
        <v>106</v>
      </c>
      <c r="B2013">
        <v>29997095</v>
      </c>
      <c r="C2013" t="s">
        <v>1973</v>
      </c>
      <c r="D2013" t="s">
        <v>1</v>
      </c>
      <c r="E2013" t="s">
        <v>5</v>
      </c>
      <c r="F2013">
        <v>22000000</v>
      </c>
      <c r="G2013">
        <v>2016</v>
      </c>
      <c r="H2013">
        <v>6.4</v>
      </c>
    </row>
    <row r="2014" spans="1:8" x14ac:dyDescent="0.25">
      <c r="A2014">
        <v>98</v>
      </c>
      <c r="B2014">
        <v>14252830</v>
      </c>
      <c r="C2014" t="s">
        <v>1974</v>
      </c>
      <c r="D2014" t="s">
        <v>1</v>
      </c>
      <c r="E2014" t="s">
        <v>38</v>
      </c>
      <c r="F2014">
        <v>22000000</v>
      </c>
      <c r="G2014">
        <v>2001</v>
      </c>
      <c r="H2014">
        <v>5.3</v>
      </c>
    </row>
    <row r="2015" spans="1:8" x14ac:dyDescent="0.25">
      <c r="A2015">
        <v>100</v>
      </c>
      <c r="B2015">
        <v>19783777</v>
      </c>
      <c r="C2015" t="s">
        <v>1975</v>
      </c>
      <c r="D2015" t="s">
        <v>1</v>
      </c>
      <c r="E2015" t="s">
        <v>2</v>
      </c>
      <c r="F2015">
        <v>22000000</v>
      </c>
      <c r="G2015">
        <v>2013</v>
      </c>
      <c r="H2015">
        <v>6.5</v>
      </c>
    </row>
    <row r="2016" spans="1:8" x14ac:dyDescent="0.25">
      <c r="A2016">
        <v>95</v>
      </c>
      <c r="B2016">
        <v>13555988</v>
      </c>
      <c r="C2016" t="s">
        <v>1976</v>
      </c>
      <c r="D2016" t="s">
        <v>1</v>
      </c>
      <c r="E2016" t="s">
        <v>119</v>
      </c>
      <c r="F2016">
        <v>22000000</v>
      </c>
      <c r="G2016">
        <v>2000</v>
      </c>
      <c r="H2016">
        <v>5.7</v>
      </c>
    </row>
    <row r="2017" spans="1:8" x14ac:dyDescent="0.25">
      <c r="A2017">
        <v>107</v>
      </c>
      <c r="B2017">
        <v>12784713</v>
      </c>
      <c r="C2017" t="s">
        <v>1977</v>
      </c>
      <c r="D2017" t="s">
        <v>1</v>
      </c>
      <c r="E2017" t="s">
        <v>2</v>
      </c>
      <c r="F2017">
        <v>22000000</v>
      </c>
      <c r="G2017">
        <v>2004</v>
      </c>
      <c r="H2017">
        <v>6.7</v>
      </c>
    </row>
    <row r="2018" spans="1:8" x14ac:dyDescent="0.25">
      <c r="A2018">
        <v>104</v>
      </c>
      <c r="B2018">
        <v>5974653</v>
      </c>
      <c r="C2018" t="s">
        <v>1979</v>
      </c>
      <c r="D2018" t="s">
        <v>1</v>
      </c>
      <c r="E2018" t="s">
        <v>2</v>
      </c>
      <c r="F2018">
        <v>22000000</v>
      </c>
      <c r="G2018">
        <v>2001</v>
      </c>
      <c r="H2018">
        <v>4.0999999999999996</v>
      </c>
    </row>
    <row r="2019" spans="1:8" x14ac:dyDescent="0.25">
      <c r="A2019">
        <v>77</v>
      </c>
      <c r="B2019">
        <v>9694105</v>
      </c>
      <c r="C2019" t="s">
        <v>1981</v>
      </c>
      <c r="D2019" t="s">
        <v>1</v>
      </c>
      <c r="E2019" t="s">
        <v>2</v>
      </c>
      <c r="F2019">
        <v>22000000</v>
      </c>
      <c r="G2019">
        <v>1999</v>
      </c>
      <c r="H2019">
        <v>3.8</v>
      </c>
    </row>
    <row r="2020" spans="1:8" x14ac:dyDescent="0.25">
      <c r="A2020">
        <v>116</v>
      </c>
      <c r="B2020">
        <v>1050445</v>
      </c>
      <c r="C2020" t="s">
        <v>1986</v>
      </c>
      <c r="D2020" t="s">
        <v>243</v>
      </c>
      <c r="E2020" t="s">
        <v>244</v>
      </c>
      <c r="F2020">
        <v>22000000</v>
      </c>
      <c r="G2020">
        <v>2005</v>
      </c>
      <c r="H2020">
        <v>7.8</v>
      </c>
    </row>
    <row r="2021" spans="1:8" x14ac:dyDescent="0.25">
      <c r="A2021">
        <v>104</v>
      </c>
      <c r="B2021">
        <v>20668843</v>
      </c>
      <c r="C2021" t="s">
        <v>1988</v>
      </c>
      <c r="D2021" t="s">
        <v>1</v>
      </c>
      <c r="E2021" t="s">
        <v>2</v>
      </c>
      <c r="F2021">
        <v>22000000</v>
      </c>
      <c r="G2021">
        <v>2008</v>
      </c>
      <c r="H2021">
        <v>5.8</v>
      </c>
    </row>
    <row r="2022" spans="1:8" x14ac:dyDescent="0.25">
      <c r="A2022">
        <v>92</v>
      </c>
      <c r="B2022">
        <v>2963012</v>
      </c>
      <c r="C2022" t="s">
        <v>1989</v>
      </c>
      <c r="D2022" t="s">
        <v>1</v>
      </c>
      <c r="E2022" t="s">
        <v>5</v>
      </c>
      <c r="F2022">
        <v>22000000</v>
      </c>
      <c r="G2022">
        <v>2014</v>
      </c>
      <c r="H2022">
        <v>6.3</v>
      </c>
    </row>
    <row r="2023" spans="1:8" x14ac:dyDescent="0.25">
      <c r="A2023">
        <v>105</v>
      </c>
      <c r="B2023">
        <v>1796024</v>
      </c>
      <c r="C2023" t="s">
        <v>1990</v>
      </c>
      <c r="D2023" t="s">
        <v>1</v>
      </c>
      <c r="E2023" t="s">
        <v>2</v>
      </c>
      <c r="F2023">
        <v>22000000</v>
      </c>
      <c r="G2023">
        <v>2010</v>
      </c>
      <c r="H2023">
        <v>5.4</v>
      </c>
    </row>
    <row r="2024" spans="1:8" x14ac:dyDescent="0.25">
      <c r="A2024">
        <v>116</v>
      </c>
      <c r="B2024">
        <v>11326836</v>
      </c>
      <c r="C2024" t="s">
        <v>1992</v>
      </c>
      <c r="D2024" t="s">
        <v>1</v>
      </c>
      <c r="E2024" t="s">
        <v>2</v>
      </c>
      <c r="F2024">
        <v>22000000</v>
      </c>
      <c r="G2024">
        <v>2013</v>
      </c>
      <c r="H2024">
        <v>6.8</v>
      </c>
    </row>
    <row r="2025" spans="1:8" x14ac:dyDescent="0.25">
      <c r="A2025">
        <v>110</v>
      </c>
      <c r="B2025">
        <v>39263506</v>
      </c>
      <c r="C2025" t="s">
        <v>2051</v>
      </c>
      <c r="D2025" t="s">
        <v>1</v>
      </c>
      <c r="E2025" t="s">
        <v>2</v>
      </c>
      <c r="F2025">
        <v>22000000</v>
      </c>
      <c r="G2025">
        <v>2008</v>
      </c>
      <c r="H2025">
        <v>6.1</v>
      </c>
    </row>
    <row r="2026" spans="1:8" x14ac:dyDescent="0.25">
      <c r="A2026">
        <v>102</v>
      </c>
      <c r="B2026">
        <v>12469811</v>
      </c>
      <c r="C2026" t="s">
        <v>2124</v>
      </c>
      <c r="D2026" t="s">
        <v>1</v>
      </c>
      <c r="E2026" t="s">
        <v>2</v>
      </c>
      <c r="F2026">
        <v>22000000</v>
      </c>
      <c r="G2026">
        <v>2005</v>
      </c>
      <c r="H2026">
        <v>6.6</v>
      </c>
    </row>
    <row r="2027" spans="1:8" x14ac:dyDescent="0.25">
      <c r="A2027">
        <v>108</v>
      </c>
      <c r="B2027">
        <v>12232937</v>
      </c>
      <c r="C2027" t="s">
        <v>2127</v>
      </c>
      <c r="D2027" t="s">
        <v>1</v>
      </c>
      <c r="E2027" t="s">
        <v>2</v>
      </c>
      <c r="F2027">
        <v>22000000</v>
      </c>
      <c r="G2027">
        <v>2009</v>
      </c>
      <c r="H2027">
        <v>5.6</v>
      </c>
    </row>
    <row r="2028" spans="1:8" x14ac:dyDescent="0.25">
      <c r="A2028">
        <v>100</v>
      </c>
      <c r="B2028">
        <v>6852144</v>
      </c>
      <c r="C2028" t="s">
        <v>2149</v>
      </c>
      <c r="D2028" t="s">
        <v>1</v>
      </c>
      <c r="E2028" t="s">
        <v>38</v>
      </c>
      <c r="F2028">
        <v>22000000</v>
      </c>
      <c r="G2028">
        <v>2003</v>
      </c>
      <c r="H2028">
        <v>6.2</v>
      </c>
    </row>
    <row r="2029" spans="1:8" x14ac:dyDescent="0.25">
      <c r="A2029">
        <v>100</v>
      </c>
      <c r="B2029">
        <v>121972</v>
      </c>
      <c r="C2029" t="s">
        <v>2180</v>
      </c>
      <c r="D2029" t="s">
        <v>1</v>
      </c>
      <c r="E2029" t="s">
        <v>2</v>
      </c>
      <c r="F2029">
        <v>22000000</v>
      </c>
      <c r="G2029">
        <v>2002</v>
      </c>
      <c r="H2029">
        <v>5.5</v>
      </c>
    </row>
    <row r="2030" spans="1:8" x14ac:dyDescent="0.25">
      <c r="A2030">
        <v>236</v>
      </c>
      <c r="B2030">
        <v>184208848</v>
      </c>
      <c r="C2030" t="s">
        <v>2184</v>
      </c>
      <c r="D2030" t="s">
        <v>1</v>
      </c>
      <c r="E2030" t="s">
        <v>2</v>
      </c>
      <c r="F2030">
        <v>22000000</v>
      </c>
      <c r="G2030">
        <v>1990</v>
      </c>
      <c r="H2030">
        <v>8</v>
      </c>
    </row>
    <row r="2031" spans="1:8" x14ac:dyDescent="0.25">
      <c r="A2031">
        <v>116</v>
      </c>
      <c r="B2031">
        <v>177200000</v>
      </c>
      <c r="C2031" t="s">
        <v>2387</v>
      </c>
      <c r="D2031" t="s">
        <v>1</v>
      </c>
      <c r="E2031" t="s">
        <v>2</v>
      </c>
      <c r="F2031">
        <v>22000000</v>
      </c>
      <c r="G2031">
        <v>1982</v>
      </c>
      <c r="H2031">
        <v>7.4</v>
      </c>
    </row>
    <row r="2032" spans="1:8" x14ac:dyDescent="0.25">
      <c r="A2032">
        <v>98</v>
      </c>
      <c r="B2032">
        <v>3247816</v>
      </c>
      <c r="C2032" t="s">
        <v>2496</v>
      </c>
      <c r="D2032" t="s">
        <v>1</v>
      </c>
      <c r="E2032" t="s">
        <v>2</v>
      </c>
      <c r="F2032">
        <v>22000000</v>
      </c>
      <c r="G2032">
        <v>2010</v>
      </c>
      <c r="H2032">
        <v>6.3</v>
      </c>
    </row>
    <row r="2033" spans="1:8" x14ac:dyDescent="0.25">
      <c r="A2033">
        <v>87</v>
      </c>
      <c r="B2033">
        <v>11560259</v>
      </c>
      <c r="C2033" t="s">
        <v>2841</v>
      </c>
      <c r="D2033" t="s">
        <v>1</v>
      </c>
      <c r="E2033" t="s">
        <v>2</v>
      </c>
      <c r="F2033">
        <v>22000000</v>
      </c>
      <c r="G2033">
        <v>2001</v>
      </c>
      <c r="H2033">
        <v>5.8</v>
      </c>
    </row>
    <row r="2034" spans="1:8" x14ac:dyDescent="0.25">
      <c r="A2034">
        <v>104</v>
      </c>
      <c r="B2034">
        <v>4273372</v>
      </c>
      <c r="C2034" t="s">
        <v>2955</v>
      </c>
      <c r="D2034" t="s">
        <v>1</v>
      </c>
      <c r="E2034" t="s">
        <v>2</v>
      </c>
      <c r="F2034">
        <v>22000000</v>
      </c>
      <c r="G2034">
        <v>2001</v>
      </c>
      <c r="H2034">
        <v>2.1</v>
      </c>
    </row>
    <row r="2035" spans="1:8" x14ac:dyDescent="0.25">
      <c r="A2035">
        <v>101</v>
      </c>
      <c r="B2035">
        <v>22294341</v>
      </c>
      <c r="C2035" t="s">
        <v>1994</v>
      </c>
      <c r="D2035" t="s">
        <v>1</v>
      </c>
      <c r="E2035" t="s">
        <v>2</v>
      </c>
      <c r="F2035">
        <v>21500000</v>
      </c>
      <c r="G2035">
        <v>1996</v>
      </c>
      <c r="H2035">
        <v>6.5</v>
      </c>
    </row>
    <row r="2036" spans="1:8" x14ac:dyDescent="0.25">
      <c r="A2036">
        <v>117</v>
      </c>
      <c r="B2036">
        <v>24362501</v>
      </c>
      <c r="C2036" t="s">
        <v>1995</v>
      </c>
      <c r="D2036" t="s">
        <v>1</v>
      </c>
      <c r="E2036" t="s">
        <v>2</v>
      </c>
      <c r="F2036">
        <v>21500000</v>
      </c>
      <c r="G2036">
        <v>1999</v>
      </c>
      <c r="H2036">
        <v>7.2</v>
      </c>
    </row>
    <row r="2037" spans="1:8" x14ac:dyDescent="0.25">
      <c r="A2037">
        <v>92</v>
      </c>
      <c r="B2037">
        <v>25590119</v>
      </c>
      <c r="C2037" t="s">
        <v>1832</v>
      </c>
      <c r="D2037" t="s">
        <v>1</v>
      </c>
      <c r="E2037" t="s">
        <v>55</v>
      </c>
      <c r="F2037">
        <v>21150000</v>
      </c>
      <c r="G2037">
        <v>2001</v>
      </c>
      <c r="H2037">
        <v>4.8</v>
      </c>
    </row>
    <row r="2038" spans="1:8" x14ac:dyDescent="0.25">
      <c r="A2038">
        <v>87</v>
      </c>
      <c r="B2038">
        <v>480314</v>
      </c>
      <c r="C2038" t="s">
        <v>1640</v>
      </c>
      <c r="D2038" t="s">
        <v>1</v>
      </c>
      <c r="E2038" t="s">
        <v>2</v>
      </c>
      <c r="F2038">
        <v>21000000</v>
      </c>
      <c r="G2038">
        <v>2006</v>
      </c>
      <c r="H2038">
        <v>4.8</v>
      </c>
    </row>
    <row r="2039" spans="1:8" x14ac:dyDescent="0.25">
      <c r="A2039">
        <v>110</v>
      </c>
      <c r="B2039">
        <v>52353636</v>
      </c>
      <c r="C2039" t="s">
        <v>1670</v>
      </c>
      <c r="D2039" t="s">
        <v>1</v>
      </c>
      <c r="E2039" t="s">
        <v>2</v>
      </c>
      <c r="F2039">
        <v>21000000</v>
      </c>
      <c r="G2039">
        <v>2001</v>
      </c>
      <c r="H2039">
        <v>7.6</v>
      </c>
    </row>
    <row r="2040" spans="1:8" x14ac:dyDescent="0.25">
      <c r="A2040">
        <v>117</v>
      </c>
      <c r="B2040">
        <v>28563179</v>
      </c>
      <c r="C2040" t="s">
        <v>1688</v>
      </c>
      <c r="D2040" t="s">
        <v>1</v>
      </c>
      <c r="E2040" t="s">
        <v>2</v>
      </c>
      <c r="F2040">
        <v>21000000</v>
      </c>
      <c r="G2040">
        <v>2007</v>
      </c>
      <c r="H2040">
        <v>6.9</v>
      </c>
    </row>
    <row r="2041" spans="1:8" x14ac:dyDescent="0.25">
      <c r="A2041">
        <v>108</v>
      </c>
      <c r="B2041">
        <v>33313582</v>
      </c>
      <c r="C2041" t="s">
        <v>1964</v>
      </c>
      <c r="D2041" t="s">
        <v>1</v>
      </c>
      <c r="E2041" t="s">
        <v>2</v>
      </c>
      <c r="F2041">
        <v>21000000</v>
      </c>
      <c r="G2041">
        <v>2009</v>
      </c>
      <c r="H2041">
        <v>6.5</v>
      </c>
    </row>
    <row r="2042" spans="1:8" x14ac:dyDescent="0.25">
      <c r="A2042">
        <v>145</v>
      </c>
      <c r="B2042">
        <v>4398392</v>
      </c>
      <c r="C2042" t="s">
        <v>1983</v>
      </c>
      <c r="D2042" t="s">
        <v>1984</v>
      </c>
      <c r="E2042" t="s">
        <v>1985</v>
      </c>
      <c r="F2042">
        <v>21000000</v>
      </c>
      <c r="G2042">
        <v>2006</v>
      </c>
      <c r="H2042">
        <v>7.8</v>
      </c>
    </row>
    <row r="2043" spans="1:8" x14ac:dyDescent="0.25">
      <c r="A2043">
        <v>136</v>
      </c>
      <c r="B2043">
        <v>46700000</v>
      </c>
      <c r="C2043" t="s">
        <v>1997</v>
      </c>
      <c r="D2043" t="s">
        <v>1</v>
      </c>
      <c r="E2043" t="s">
        <v>2</v>
      </c>
      <c r="F2043">
        <v>21000000</v>
      </c>
      <c r="G2043">
        <v>1982</v>
      </c>
      <c r="H2043">
        <v>5.9</v>
      </c>
    </row>
    <row r="2044" spans="1:8" x14ac:dyDescent="0.25">
      <c r="A2044">
        <v>81</v>
      </c>
      <c r="B2044">
        <v>52008288</v>
      </c>
      <c r="C2044" t="s">
        <v>1998</v>
      </c>
      <c r="D2044" t="s">
        <v>1</v>
      </c>
      <c r="E2044" t="s">
        <v>2</v>
      </c>
      <c r="F2044">
        <v>21000000</v>
      </c>
      <c r="G2044">
        <v>1999</v>
      </c>
      <c r="H2044">
        <v>7.8</v>
      </c>
    </row>
    <row r="2045" spans="1:8" x14ac:dyDescent="0.25">
      <c r="A2045">
        <v>106</v>
      </c>
      <c r="B2045">
        <v>40219708</v>
      </c>
      <c r="C2045" t="s">
        <v>2001</v>
      </c>
      <c r="D2045" t="s">
        <v>1</v>
      </c>
      <c r="E2045" t="s">
        <v>2</v>
      </c>
      <c r="F2045">
        <v>21000000</v>
      </c>
      <c r="G2045">
        <v>2001</v>
      </c>
      <c r="H2045">
        <v>6.3</v>
      </c>
    </row>
    <row r="2046" spans="1:8" x14ac:dyDescent="0.25">
      <c r="A2046">
        <v>122</v>
      </c>
      <c r="B2046">
        <v>132088910</v>
      </c>
      <c r="C2046" t="s">
        <v>2002</v>
      </c>
      <c r="D2046" t="s">
        <v>1</v>
      </c>
      <c r="E2046" t="s">
        <v>2</v>
      </c>
      <c r="F2046">
        <v>21000000</v>
      </c>
      <c r="G2046">
        <v>2012</v>
      </c>
      <c r="H2046">
        <v>7.8</v>
      </c>
    </row>
    <row r="2047" spans="1:8" x14ac:dyDescent="0.25">
      <c r="A2047">
        <v>123</v>
      </c>
      <c r="B2047">
        <v>36581633</v>
      </c>
      <c r="C2047" t="s">
        <v>2003</v>
      </c>
      <c r="D2047" t="s">
        <v>1</v>
      </c>
      <c r="E2047" t="s">
        <v>119</v>
      </c>
      <c r="F2047">
        <v>21000000</v>
      </c>
      <c r="G2047">
        <v>2007</v>
      </c>
      <c r="H2047">
        <v>7.5</v>
      </c>
    </row>
    <row r="2048" spans="1:8" x14ac:dyDescent="0.25">
      <c r="A2048">
        <v>92</v>
      </c>
      <c r="B2048">
        <v>25296447</v>
      </c>
      <c r="C2048" t="s">
        <v>2004</v>
      </c>
      <c r="D2048" t="s">
        <v>1</v>
      </c>
      <c r="E2048" t="s">
        <v>244</v>
      </c>
      <c r="F2048">
        <v>21000000</v>
      </c>
      <c r="G2048">
        <v>2002</v>
      </c>
      <c r="H2048">
        <v>6.8</v>
      </c>
    </row>
    <row r="2049" spans="1:8" x14ac:dyDescent="0.25">
      <c r="A2049">
        <v>104</v>
      </c>
      <c r="B2049">
        <v>17757087</v>
      </c>
      <c r="C2049" t="s">
        <v>2006</v>
      </c>
      <c r="D2049" t="s">
        <v>1</v>
      </c>
      <c r="E2049" t="s">
        <v>2</v>
      </c>
      <c r="F2049">
        <v>21000000</v>
      </c>
      <c r="G2049">
        <v>1999</v>
      </c>
      <c r="H2049">
        <v>4.5999999999999996</v>
      </c>
    </row>
    <row r="2050" spans="1:8" x14ac:dyDescent="0.25">
      <c r="A2050">
        <v>120</v>
      </c>
      <c r="B2050">
        <v>16284360</v>
      </c>
      <c r="C2050" t="s">
        <v>2008</v>
      </c>
      <c r="D2050" t="s">
        <v>1</v>
      </c>
      <c r="E2050" t="s">
        <v>2</v>
      </c>
      <c r="F2050">
        <v>21000000</v>
      </c>
      <c r="G2050">
        <v>2008</v>
      </c>
      <c r="H2050">
        <v>6.1</v>
      </c>
    </row>
    <row r="2051" spans="1:8" x14ac:dyDescent="0.25">
      <c r="A2051">
        <v>112</v>
      </c>
      <c r="B2051">
        <v>6830957</v>
      </c>
      <c r="C2051" t="s">
        <v>2009</v>
      </c>
      <c r="D2051" t="s">
        <v>1</v>
      </c>
      <c r="E2051" t="s">
        <v>2</v>
      </c>
      <c r="F2051">
        <v>21000000</v>
      </c>
      <c r="G2051">
        <v>2002</v>
      </c>
      <c r="H2051">
        <v>6.7</v>
      </c>
    </row>
    <row r="2052" spans="1:8" x14ac:dyDescent="0.25">
      <c r="A2052">
        <v>102</v>
      </c>
      <c r="B2052">
        <v>15593</v>
      </c>
      <c r="C2052" t="s">
        <v>2011</v>
      </c>
      <c r="D2052" t="s">
        <v>1</v>
      </c>
      <c r="E2052" t="s">
        <v>2</v>
      </c>
      <c r="F2052">
        <v>21000000</v>
      </c>
      <c r="G2052">
        <v>1999</v>
      </c>
      <c r="H2052">
        <v>5.8</v>
      </c>
    </row>
    <row r="2053" spans="1:8" x14ac:dyDescent="0.25">
      <c r="A2053">
        <v>91</v>
      </c>
      <c r="B2053">
        <v>958319</v>
      </c>
      <c r="C2053" t="s">
        <v>2012</v>
      </c>
      <c r="D2053" t="s">
        <v>1</v>
      </c>
      <c r="E2053" t="s">
        <v>2</v>
      </c>
      <c r="F2053">
        <v>21000000</v>
      </c>
      <c r="G2053">
        <v>2011</v>
      </c>
      <c r="H2053">
        <v>6.7</v>
      </c>
    </row>
    <row r="2054" spans="1:8" x14ac:dyDescent="0.25">
      <c r="A2054">
        <v>99</v>
      </c>
      <c r="B2054">
        <v>8855646</v>
      </c>
      <c r="C2054" t="s">
        <v>2139</v>
      </c>
      <c r="D2054" t="s">
        <v>1</v>
      </c>
      <c r="E2054" t="s">
        <v>2</v>
      </c>
      <c r="F2054">
        <v>21000000</v>
      </c>
      <c r="G2054">
        <v>2009</v>
      </c>
      <c r="H2054">
        <v>7.2</v>
      </c>
    </row>
    <row r="2055" spans="1:8" x14ac:dyDescent="0.25">
      <c r="A2055">
        <v>124</v>
      </c>
      <c r="B2055">
        <v>3081925</v>
      </c>
      <c r="C2055" t="s">
        <v>2164</v>
      </c>
      <c r="D2055" t="s">
        <v>1</v>
      </c>
      <c r="E2055" t="s">
        <v>2</v>
      </c>
      <c r="F2055">
        <v>21000000</v>
      </c>
      <c r="G2055">
        <v>2008</v>
      </c>
      <c r="H2055">
        <v>7.5</v>
      </c>
    </row>
    <row r="2056" spans="1:8" x14ac:dyDescent="0.25">
      <c r="A2056">
        <v>99</v>
      </c>
      <c r="B2056">
        <v>52691009</v>
      </c>
      <c r="C2056" t="s">
        <v>2226</v>
      </c>
      <c r="D2056" t="s">
        <v>1</v>
      </c>
      <c r="E2056" t="s">
        <v>2</v>
      </c>
      <c r="F2056">
        <v>21000000</v>
      </c>
      <c r="G2056">
        <v>2011</v>
      </c>
      <c r="H2056">
        <v>6.6</v>
      </c>
    </row>
    <row r="2057" spans="1:8" x14ac:dyDescent="0.25">
      <c r="A2057">
        <v>129</v>
      </c>
      <c r="B2057">
        <v>37567440</v>
      </c>
      <c r="C2057" t="s">
        <v>388</v>
      </c>
      <c r="D2057" t="s">
        <v>1</v>
      </c>
      <c r="E2057" t="s">
        <v>2</v>
      </c>
      <c r="F2057">
        <v>20000000</v>
      </c>
      <c r="G2057">
        <v>1982</v>
      </c>
      <c r="H2057">
        <v>6.9</v>
      </c>
    </row>
    <row r="2058" spans="1:8" x14ac:dyDescent="0.25">
      <c r="A2058">
        <v>102</v>
      </c>
      <c r="B2058">
        <v>64149837</v>
      </c>
      <c r="C2058" t="s">
        <v>1171</v>
      </c>
      <c r="D2058" t="s">
        <v>1</v>
      </c>
      <c r="E2058" t="s">
        <v>2</v>
      </c>
      <c r="F2058">
        <v>20000000</v>
      </c>
      <c r="G2058">
        <v>2009</v>
      </c>
      <c r="H2058">
        <v>6.4</v>
      </c>
    </row>
    <row r="2059" spans="1:8" x14ac:dyDescent="0.25">
      <c r="A2059">
        <v>105</v>
      </c>
      <c r="B2059">
        <v>80050171</v>
      </c>
      <c r="C2059" t="s">
        <v>1265</v>
      </c>
      <c r="D2059" t="s">
        <v>1</v>
      </c>
      <c r="E2059" t="s">
        <v>2</v>
      </c>
      <c r="F2059">
        <v>20000000</v>
      </c>
      <c r="G2059">
        <v>2007</v>
      </c>
      <c r="H2059">
        <v>6.9</v>
      </c>
    </row>
    <row r="2060" spans="1:8" x14ac:dyDescent="0.25">
      <c r="A2060">
        <v>107</v>
      </c>
      <c r="B2060">
        <v>7564000</v>
      </c>
      <c r="C2060" t="s">
        <v>1266</v>
      </c>
      <c r="D2060" t="s">
        <v>1</v>
      </c>
      <c r="E2060" t="s">
        <v>2</v>
      </c>
      <c r="F2060">
        <v>20000000</v>
      </c>
      <c r="G2060">
        <v>1995</v>
      </c>
      <c r="H2060">
        <v>6.2</v>
      </c>
    </row>
    <row r="2061" spans="1:8" x14ac:dyDescent="0.25">
      <c r="A2061">
        <v>107</v>
      </c>
      <c r="B2061">
        <v>57744720</v>
      </c>
      <c r="C2061" t="s">
        <v>1477</v>
      </c>
      <c r="D2061" t="s">
        <v>1</v>
      </c>
      <c r="E2061" t="s">
        <v>2</v>
      </c>
      <c r="F2061">
        <v>20000000</v>
      </c>
      <c r="G2061">
        <v>2010</v>
      </c>
      <c r="H2061">
        <v>6.2</v>
      </c>
    </row>
    <row r="2062" spans="1:8" x14ac:dyDescent="0.25">
      <c r="A2062">
        <v>92</v>
      </c>
      <c r="B2062">
        <v>114324072</v>
      </c>
      <c r="C2062" t="s">
        <v>1521</v>
      </c>
      <c r="D2062" t="s">
        <v>1</v>
      </c>
      <c r="E2062" t="s">
        <v>2</v>
      </c>
      <c r="F2062">
        <v>20000000</v>
      </c>
      <c r="G2062">
        <v>2004</v>
      </c>
      <c r="H2062">
        <v>6.7</v>
      </c>
    </row>
    <row r="2063" spans="1:8" x14ac:dyDescent="0.25">
      <c r="A2063">
        <v>109</v>
      </c>
      <c r="B2063">
        <v>19976073</v>
      </c>
      <c r="C2063" t="s">
        <v>1604</v>
      </c>
      <c r="D2063" t="s">
        <v>1</v>
      </c>
      <c r="E2063" t="s">
        <v>2</v>
      </c>
      <c r="F2063">
        <v>20000000</v>
      </c>
      <c r="G2063">
        <v>2005</v>
      </c>
      <c r="H2063">
        <v>6.3</v>
      </c>
    </row>
    <row r="2064" spans="1:8" x14ac:dyDescent="0.25">
      <c r="A2064">
        <v>105</v>
      </c>
      <c r="B2064">
        <v>35990505</v>
      </c>
      <c r="C2064" t="s">
        <v>1816</v>
      </c>
      <c r="D2064" t="s">
        <v>1</v>
      </c>
      <c r="E2064" t="s">
        <v>2</v>
      </c>
      <c r="F2064">
        <v>20000000</v>
      </c>
      <c r="G2064">
        <v>2003</v>
      </c>
      <c r="H2064">
        <v>5.8</v>
      </c>
    </row>
    <row r="2065" spans="1:8" x14ac:dyDescent="0.25">
      <c r="A2065">
        <v>105</v>
      </c>
      <c r="B2065">
        <v>33687630</v>
      </c>
      <c r="C2065" t="s">
        <v>1821</v>
      </c>
      <c r="D2065" t="s">
        <v>1</v>
      </c>
      <c r="E2065" t="s">
        <v>2</v>
      </c>
      <c r="F2065">
        <v>20000000</v>
      </c>
      <c r="G2065">
        <v>2006</v>
      </c>
      <c r="H2065">
        <v>6.4</v>
      </c>
    </row>
    <row r="2066" spans="1:8" x14ac:dyDescent="0.25">
      <c r="A2066">
        <v>122</v>
      </c>
      <c r="B2066">
        <v>1697956</v>
      </c>
      <c r="C2066" t="s">
        <v>1890</v>
      </c>
      <c r="D2066" t="s">
        <v>1</v>
      </c>
      <c r="E2066" t="s">
        <v>2</v>
      </c>
      <c r="F2066">
        <v>20000000</v>
      </c>
      <c r="G2066">
        <v>2009</v>
      </c>
      <c r="H2066">
        <v>6.7</v>
      </c>
    </row>
    <row r="2067" spans="1:8" x14ac:dyDescent="0.25">
      <c r="A2067">
        <v>90</v>
      </c>
      <c r="B2067">
        <v>161487252</v>
      </c>
      <c r="C2067" t="s">
        <v>1926</v>
      </c>
      <c r="D2067" t="s">
        <v>1</v>
      </c>
      <c r="E2067" t="s">
        <v>2</v>
      </c>
      <c r="F2067">
        <v>20000000</v>
      </c>
      <c r="G2067">
        <v>1998</v>
      </c>
      <c r="H2067">
        <v>6.1</v>
      </c>
    </row>
    <row r="2068" spans="1:8" x14ac:dyDescent="0.25">
      <c r="A2068">
        <v>127</v>
      </c>
      <c r="B2068">
        <v>75597042</v>
      </c>
      <c r="C2068" t="s">
        <v>1954</v>
      </c>
      <c r="D2068" t="s">
        <v>1</v>
      </c>
      <c r="E2068" t="s">
        <v>2</v>
      </c>
      <c r="F2068">
        <v>20000000</v>
      </c>
      <c r="G2068">
        <v>2002</v>
      </c>
      <c r="H2068">
        <v>7</v>
      </c>
    </row>
    <row r="2069" spans="1:8" x14ac:dyDescent="0.25">
      <c r="A2069">
        <v>110</v>
      </c>
      <c r="B2069">
        <v>24848292</v>
      </c>
      <c r="C2069" t="s">
        <v>2005</v>
      </c>
      <c r="D2069" t="s">
        <v>1</v>
      </c>
      <c r="E2069" t="s">
        <v>2</v>
      </c>
      <c r="F2069">
        <v>20000000</v>
      </c>
      <c r="G2069">
        <v>2008</v>
      </c>
      <c r="H2069">
        <v>6.6</v>
      </c>
    </row>
    <row r="2070" spans="1:8" x14ac:dyDescent="0.25">
      <c r="A2070">
        <v>127</v>
      </c>
      <c r="B2070">
        <v>24104113</v>
      </c>
      <c r="C2070" t="s">
        <v>2010</v>
      </c>
      <c r="D2070" t="s">
        <v>1</v>
      </c>
      <c r="E2070" t="s">
        <v>244</v>
      </c>
      <c r="F2070">
        <v>20000000</v>
      </c>
      <c r="G2070">
        <v>2011</v>
      </c>
      <c r="H2070">
        <v>7.1</v>
      </c>
    </row>
    <row r="2071" spans="1:8" x14ac:dyDescent="0.25">
      <c r="A2071">
        <v>90</v>
      </c>
      <c r="B2071">
        <v>20259297</v>
      </c>
      <c r="C2071" t="s">
        <v>2018</v>
      </c>
      <c r="D2071" t="s">
        <v>1</v>
      </c>
      <c r="E2071" t="s">
        <v>2</v>
      </c>
      <c r="F2071">
        <v>20000000</v>
      </c>
      <c r="G2071">
        <v>2006</v>
      </c>
      <c r="H2071">
        <v>4.7</v>
      </c>
    </row>
    <row r="2072" spans="1:8" x14ac:dyDescent="0.25">
      <c r="A2072">
        <v>94</v>
      </c>
      <c r="B2072">
        <v>121697350</v>
      </c>
      <c r="C2072" t="s">
        <v>2022</v>
      </c>
      <c r="D2072" t="s">
        <v>1</v>
      </c>
      <c r="E2072" t="s">
        <v>2</v>
      </c>
      <c r="F2072">
        <v>20000000</v>
      </c>
      <c r="G2072">
        <v>1992</v>
      </c>
      <c r="H2072">
        <v>7</v>
      </c>
    </row>
    <row r="2073" spans="1:8" x14ac:dyDescent="0.25">
      <c r="A2073">
        <v>101</v>
      </c>
      <c r="B2073">
        <v>117224271</v>
      </c>
      <c r="C2073" t="s">
        <v>2023</v>
      </c>
      <c r="D2073" t="s">
        <v>1</v>
      </c>
      <c r="E2073" t="s">
        <v>2</v>
      </c>
      <c r="F2073">
        <v>20000000</v>
      </c>
      <c r="G2073">
        <v>2010</v>
      </c>
      <c r="H2073">
        <v>7.1</v>
      </c>
    </row>
    <row r="2074" spans="1:8" x14ac:dyDescent="0.25">
      <c r="A2074">
        <v>131</v>
      </c>
      <c r="B2074">
        <v>102922376</v>
      </c>
      <c r="C2074" t="s">
        <v>2024</v>
      </c>
      <c r="D2074" t="s">
        <v>1</v>
      </c>
      <c r="E2074" t="s">
        <v>2</v>
      </c>
      <c r="F2074">
        <v>20000000</v>
      </c>
      <c r="G2074">
        <v>1978</v>
      </c>
      <c r="H2074">
        <v>5.7</v>
      </c>
    </row>
    <row r="2075" spans="1:8" x14ac:dyDescent="0.25">
      <c r="A2075">
        <v>91</v>
      </c>
      <c r="B2075">
        <v>94497271</v>
      </c>
      <c r="C2075" t="s">
        <v>2025</v>
      </c>
      <c r="D2075" t="s">
        <v>1</v>
      </c>
      <c r="E2075" t="s">
        <v>2</v>
      </c>
      <c r="F2075">
        <v>20000000</v>
      </c>
      <c r="G2075">
        <v>2008</v>
      </c>
      <c r="H2075">
        <v>3.7</v>
      </c>
    </row>
    <row r="2076" spans="1:8" x14ac:dyDescent="0.25">
      <c r="A2076">
        <v>112</v>
      </c>
      <c r="B2076">
        <v>137387272</v>
      </c>
      <c r="C2076" t="s">
        <v>2026</v>
      </c>
      <c r="D2076" t="s">
        <v>1</v>
      </c>
      <c r="E2076" t="s">
        <v>2</v>
      </c>
      <c r="F2076">
        <v>20000000</v>
      </c>
      <c r="G2076">
        <v>2013</v>
      </c>
      <c r="H2076">
        <v>7.5</v>
      </c>
    </row>
    <row r="2077" spans="1:8" x14ac:dyDescent="0.25">
      <c r="A2077">
        <v>100</v>
      </c>
      <c r="B2077">
        <v>84518155</v>
      </c>
      <c r="C2077" t="s">
        <v>2028</v>
      </c>
      <c r="D2077" t="s">
        <v>1</v>
      </c>
      <c r="E2077" t="s">
        <v>2</v>
      </c>
      <c r="F2077">
        <v>20000000</v>
      </c>
      <c r="G2077">
        <v>2014</v>
      </c>
      <c r="H2077">
        <v>4.9000000000000004</v>
      </c>
    </row>
    <row r="2078" spans="1:8" x14ac:dyDescent="0.25">
      <c r="A2078">
        <v>105</v>
      </c>
      <c r="B2078">
        <v>80050171</v>
      </c>
      <c r="C2078" t="s">
        <v>1265</v>
      </c>
      <c r="D2078" t="s">
        <v>1</v>
      </c>
      <c r="E2078" t="s">
        <v>2</v>
      </c>
      <c r="F2078">
        <v>20000000</v>
      </c>
      <c r="G2078">
        <v>2007</v>
      </c>
      <c r="H2078">
        <v>6.9</v>
      </c>
    </row>
    <row r="2079" spans="1:8" x14ac:dyDescent="0.25">
      <c r="A2079">
        <v>115</v>
      </c>
      <c r="B2079">
        <v>82624961</v>
      </c>
      <c r="C2079" t="s">
        <v>2032</v>
      </c>
      <c r="D2079" t="s">
        <v>1</v>
      </c>
      <c r="E2079" t="s">
        <v>2</v>
      </c>
      <c r="F2079">
        <v>20000000</v>
      </c>
      <c r="G2079">
        <v>2011</v>
      </c>
      <c r="H2079">
        <v>7.3</v>
      </c>
    </row>
    <row r="2080" spans="1:8" x14ac:dyDescent="0.25">
      <c r="A2080">
        <v>117</v>
      </c>
      <c r="B2080">
        <v>67325559</v>
      </c>
      <c r="C2080" t="s">
        <v>2033</v>
      </c>
      <c r="D2080" t="s">
        <v>1</v>
      </c>
      <c r="E2080" t="s">
        <v>2</v>
      </c>
      <c r="F2080">
        <v>20000000</v>
      </c>
      <c r="G2080">
        <v>2003</v>
      </c>
      <c r="H2080">
        <v>7.1</v>
      </c>
    </row>
    <row r="2081" spans="1:8" x14ac:dyDescent="0.25">
      <c r="A2081">
        <v>107</v>
      </c>
      <c r="B2081">
        <v>62933793</v>
      </c>
      <c r="C2081" t="s">
        <v>2034</v>
      </c>
      <c r="D2081" t="s">
        <v>1</v>
      </c>
      <c r="E2081" t="s">
        <v>2</v>
      </c>
      <c r="F2081">
        <v>20000000</v>
      </c>
      <c r="G2081">
        <v>2010</v>
      </c>
      <c r="H2081">
        <v>5.8</v>
      </c>
    </row>
    <row r="2082" spans="1:8" x14ac:dyDescent="0.25">
      <c r="A2082">
        <v>134</v>
      </c>
      <c r="B2082">
        <v>56667870</v>
      </c>
      <c r="C2082" t="s">
        <v>2035</v>
      </c>
      <c r="D2082" t="s">
        <v>1</v>
      </c>
      <c r="E2082" t="s">
        <v>2</v>
      </c>
      <c r="F2082">
        <v>20000000</v>
      </c>
      <c r="G2082">
        <v>2013</v>
      </c>
      <c r="H2082">
        <v>8.1</v>
      </c>
    </row>
    <row r="2083" spans="1:8" x14ac:dyDescent="0.25">
      <c r="A2083">
        <v>118</v>
      </c>
      <c r="B2083">
        <v>56398162</v>
      </c>
      <c r="C2083" t="s">
        <v>2036</v>
      </c>
      <c r="D2083" t="s">
        <v>1</v>
      </c>
      <c r="E2083" t="s">
        <v>2</v>
      </c>
      <c r="F2083">
        <v>20000000</v>
      </c>
      <c r="G2083">
        <v>2002</v>
      </c>
      <c r="H2083">
        <v>5.7</v>
      </c>
    </row>
    <row r="2084" spans="1:8" x14ac:dyDescent="0.25">
      <c r="A2084">
        <v>121</v>
      </c>
      <c r="B2084">
        <v>60072596</v>
      </c>
      <c r="C2084" t="s">
        <v>2037</v>
      </c>
      <c r="D2084" t="s">
        <v>1</v>
      </c>
      <c r="E2084" t="s">
        <v>2</v>
      </c>
      <c r="F2084">
        <v>20000000</v>
      </c>
      <c r="G2084">
        <v>2010</v>
      </c>
      <c r="H2084">
        <v>4.4000000000000004</v>
      </c>
    </row>
    <row r="2085" spans="1:8" x14ac:dyDescent="0.25">
      <c r="A2085">
        <v>105</v>
      </c>
      <c r="B2085">
        <v>56362352</v>
      </c>
      <c r="C2085" t="s">
        <v>2038</v>
      </c>
      <c r="D2085" t="s">
        <v>1</v>
      </c>
      <c r="E2085" t="s">
        <v>2</v>
      </c>
      <c r="F2085">
        <v>20000000</v>
      </c>
      <c r="G2085">
        <v>1990</v>
      </c>
      <c r="H2085">
        <v>7.9</v>
      </c>
    </row>
    <row r="2086" spans="1:8" x14ac:dyDescent="0.25">
      <c r="A2086">
        <v>110</v>
      </c>
      <c r="B2086">
        <v>56154094</v>
      </c>
      <c r="C2086" t="s">
        <v>2039</v>
      </c>
      <c r="D2086" t="s">
        <v>1</v>
      </c>
      <c r="E2086" t="s">
        <v>5</v>
      </c>
      <c r="F2086">
        <v>20000000</v>
      </c>
      <c r="G2086">
        <v>2016</v>
      </c>
      <c r="H2086">
        <v>7.6</v>
      </c>
    </row>
    <row r="2087" spans="1:8" x14ac:dyDescent="0.25">
      <c r="A2087">
        <v>114</v>
      </c>
      <c r="B2087">
        <v>65623128</v>
      </c>
      <c r="C2087" t="s">
        <v>2040</v>
      </c>
      <c r="D2087" t="s">
        <v>1</v>
      </c>
      <c r="E2087" t="s">
        <v>2</v>
      </c>
      <c r="F2087">
        <v>20000000</v>
      </c>
      <c r="G2087">
        <v>2012</v>
      </c>
      <c r="H2087">
        <v>4.8</v>
      </c>
    </row>
    <row r="2088" spans="1:8" x14ac:dyDescent="0.25">
      <c r="A2088">
        <v>85</v>
      </c>
      <c r="B2088">
        <v>48546578</v>
      </c>
      <c r="C2088" t="s">
        <v>2041</v>
      </c>
      <c r="D2088" t="s">
        <v>1</v>
      </c>
      <c r="E2088" t="s">
        <v>2</v>
      </c>
      <c r="F2088">
        <v>20000000</v>
      </c>
      <c r="G2088">
        <v>2006</v>
      </c>
      <c r="H2088">
        <v>2.7</v>
      </c>
    </row>
    <row r="2089" spans="1:8" x14ac:dyDescent="0.25">
      <c r="A2089">
        <v>72</v>
      </c>
      <c r="B2089">
        <v>48423368</v>
      </c>
      <c r="C2089" t="s">
        <v>2042</v>
      </c>
      <c r="D2089" t="s">
        <v>1</v>
      </c>
      <c r="E2089" t="s">
        <v>2</v>
      </c>
      <c r="F2089">
        <v>20000000</v>
      </c>
      <c r="G2089">
        <v>2002</v>
      </c>
      <c r="H2089">
        <v>5.8</v>
      </c>
    </row>
    <row r="2090" spans="1:8" x14ac:dyDescent="0.25">
      <c r="A2090">
        <v>128</v>
      </c>
      <c r="B2090">
        <v>52066000</v>
      </c>
      <c r="C2090" t="s">
        <v>2043</v>
      </c>
      <c r="D2090" t="s">
        <v>1</v>
      </c>
      <c r="E2090" t="s">
        <v>5</v>
      </c>
      <c r="F2090">
        <v>20000000</v>
      </c>
      <c r="G2090">
        <v>2014</v>
      </c>
      <c r="H2090">
        <v>7.5</v>
      </c>
    </row>
    <row r="2091" spans="1:8" x14ac:dyDescent="0.25">
      <c r="A2091">
        <v>72</v>
      </c>
      <c r="B2091">
        <v>47887943</v>
      </c>
      <c r="C2091" t="s">
        <v>2044</v>
      </c>
      <c r="D2091" t="s">
        <v>1</v>
      </c>
      <c r="E2091" t="s">
        <v>2</v>
      </c>
      <c r="F2091">
        <v>20000000</v>
      </c>
      <c r="G2091">
        <v>2003</v>
      </c>
      <c r="H2091">
        <v>5.4</v>
      </c>
    </row>
    <row r="2092" spans="1:8" x14ac:dyDescent="0.25">
      <c r="A2092">
        <v>89</v>
      </c>
      <c r="B2092">
        <v>46363118</v>
      </c>
      <c r="C2092" t="s">
        <v>2045</v>
      </c>
      <c r="D2092" t="s">
        <v>1</v>
      </c>
      <c r="E2092" t="s">
        <v>2</v>
      </c>
      <c r="F2092">
        <v>20000000</v>
      </c>
      <c r="G2092">
        <v>2005</v>
      </c>
      <c r="H2092">
        <v>4.0999999999999996</v>
      </c>
    </row>
    <row r="2093" spans="1:8" x14ac:dyDescent="0.25">
      <c r="A2093">
        <v>96</v>
      </c>
      <c r="B2093">
        <v>47852604</v>
      </c>
      <c r="C2093" t="s">
        <v>2046</v>
      </c>
      <c r="D2093" t="s">
        <v>1</v>
      </c>
      <c r="E2093" t="s">
        <v>2</v>
      </c>
      <c r="F2093">
        <v>20000000</v>
      </c>
      <c r="G2093">
        <v>2007</v>
      </c>
      <c r="H2093">
        <v>5.9</v>
      </c>
    </row>
    <row r="2094" spans="1:8" x14ac:dyDescent="0.25">
      <c r="A2094">
        <v>111</v>
      </c>
      <c r="B2094">
        <v>42652003</v>
      </c>
      <c r="C2094" t="s">
        <v>2048</v>
      </c>
      <c r="D2094" t="s">
        <v>1</v>
      </c>
      <c r="E2094" t="s">
        <v>2</v>
      </c>
      <c r="F2094">
        <v>20000000</v>
      </c>
      <c r="G2094">
        <v>2015</v>
      </c>
      <c r="H2094">
        <v>6.8</v>
      </c>
    </row>
    <row r="2095" spans="1:8" x14ac:dyDescent="0.25">
      <c r="A2095">
        <v>93</v>
      </c>
      <c r="B2095">
        <v>39737645</v>
      </c>
      <c r="C2095" t="s">
        <v>2049</v>
      </c>
      <c r="D2095" t="s">
        <v>1</v>
      </c>
      <c r="E2095" t="s">
        <v>2</v>
      </c>
      <c r="F2095">
        <v>20000000</v>
      </c>
      <c r="G2095">
        <v>2007</v>
      </c>
      <c r="H2095">
        <v>2.2999999999999998</v>
      </c>
    </row>
    <row r="2096" spans="1:8" x14ac:dyDescent="0.25">
      <c r="A2096">
        <v>129</v>
      </c>
      <c r="B2096">
        <v>37567440</v>
      </c>
      <c r="C2096" t="s">
        <v>388</v>
      </c>
      <c r="D2096" t="s">
        <v>1</v>
      </c>
      <c r="E2096" t="s">
        <v>2</v>
      </c>
      <c r="F2096">
        <v>20000000</v>
      </c>
      <c r="G2096">
        <v>1982</v>
      </c>
      <c r="H2096">
        <v>6.9</v>
      </c>
    </row>
    <row r="2097" spans="1:8" x14ac:dyDescent="0.25">
      <c r="A2097">
        <v>128</v>
      </c>
      <c r="B2097">
        <v>44988180</v>
      </c>
      <c r="C2097" t="s">
        <v>2050</v>
      </c>
      <c r="D2097" t="s">
        <v>1</v>
      </c>
      <c r="E2097" t="s">
        <v>2</v>
      </c>
      <c r="F2097">
        <v>20000000</v>
      </c>
      <c r="G2097">
        <v>2015</v>
      </c>
      <c r="H2097">
        <v>8.1</v>
      </c>
    </row>
    <row r="2098" spans="1:8" x14ac:dyDescent="0.25">
      <c r="A2098">
        <v>137</v>
      </c>
      <c r="B2098">
        <v>39143839</v>
      </c>
      <c r="C2098" t="s">
        <v>2052</v>
      </c>
      <c r="D2098" t="s">
        <v>1</v>
      </c>
      <c r="E2098" t="s">
        <v>2</v>
      </c>
      <c r="F2098">
        <v>20000000</v>
      </c>
      <c r="G2098">
        <v>2006</v>
      </c>
      <c r="H2098">
        <v>5</v>
      </c>
    </row>
    <row r="2099" spans="1:8" x14ac:dyDescent="0.25">
      <c r="A2099">
        <v>124</v>
      </c>
      <c r="B2099">
        <v>37672350</v>
      </c>
      <c r="C2099" t="s">
        <v>2053</v>
      </c>
      <c r="D2099" t="s">
        <v>1</v>
      </c>
      <c r="E2099" t="s">
        <v>2</v>
      </c>
      <c r="F2099">
        <v>20000000</v>
      </c>
      <c r="G2099">
        <v>1998</v>
      </c>
      <c r="H2099">
        <v>5.5</v>
      </c>
    </row>
    <row r="2100" spans="1:8" x14ac:dyDescent="0.25">
      <c r="A2100">
        <v>93</v>
      </c>
      <c r="B2100">
        <v>38037513</v>
      </c>
      <c r="C2100" t="s">
        <v>2054</v>
      </c>
      <c r="D2100" t="s">
        <v>1</v>
      </c>
      <c r="E2100" t="s">
        <v>2</v>
      </c>
      <c r="F2100">
        <v>20000000</v>
      </c>
      <c r="G2100">
        <v>1991</v>
      </c>
      <c r="H2100">
        <v>6.2</v>
      </c>
    </row>
    <row r="2101" spans="1:8" x14ac:dyDescent="0.25">
      <c r="A2101">
        <v>115</v>
      </c>
      <c r="B2101">
        <v>37442180</v>
      </c>
      <c r="C2101" t="s">
        <v>2055</v>
      </c>
      <c r="D2101" t="s">
        <v>1</v>
      </c>
      <c r="E2101" t="s">
        <v>2</v>
      </c>
      <c r="F2101">
        <v>20000000</v>
      </c>
      <c r="G2101">
        <v>2006</v>
      </c>
      <c r="H2101">
        <v>6.2</v>
      </c>
    </row>
    <row r="2102" spans="1:8" x14ac:dyDescent="0.25">
      <c r="A2102">
        <v>105</v>
      </c>
      <c r="B2102">
        <v>35596227</v>
      </c>
      <c r="C2102" t="s">
        <v>2056</v>
      </c>
      <c r="D2102" t="s">
        <v>1</v>
      </c>
      <c r="E2102" t="s">
        <v>2</v>
      </c>
      <c r="F2102">
        <v>20000000</v>
      </c>
      <c r="G2102">
        <v>2010</v>
      </c>
      <c r="H2102">
        <v>6.3</v>
      </c>
    </row>
    <row r="2103" spans="1:8" x14ac:dyDescent="0.25">
      <c r="A2103">
        <v>127</v>
      </c>
      <c r="B2103">
        <v>35422828</v>
      </c>
      <c r="C2103" t="s">
        <v>2057</v>
      </c>
      <c r="D2103" t="s">
        <v>1</v>
      </c>
      <c r="E2103" t="s">
        <v>2</v>
      </c>
      <c r="F2103">
        <v>20000000</v>
      </c>
      <c r="G2103">
        <v>1997</v>
      </c>
      <c r="H2103">
        <v>6.7</v>
      </c>
    </row>
    <row r="2104" spans="1:8" x14ac:dyDescent="0.25">
      <c r="A2104">
        <v>82</v>
      </c>
      <c r="B2104">
        <v>36658108</v>
      </c>
      <c r="C2104" t="s">
        <v>2058</v>
      </c>
      <c r="D2104" t="s">
        <v>1</v>
      </c>
      <c r="E2104" t="s">
        <v>2</v>
      </c>
      <c r="F2104">
        <v>20000000</v>
      </c>
      <c r="G2104">
        <v>2010</v>
      </c>
      <c r="H2104">
        <v>3.5</v>
      </c>
    </row>
    <row r="2105" spans="1:8" x14ac:dyDescent="0.25">
      <c r="A2105">
        <v>104</v>
      </c>
      <c r="B2105">
        <v>33422556</v>
      </c>
      <c r="C2105" t="s">
        <v>2061</v>
      </c>
      <c r="D2105" t="s">
        <v>1</v>
      </c>
      <c r="E2105" t="s">
        <v>2</v>
      </c>
      <c r="F2105">
        <v>20000000</v>
      </c>
      <c r="G2105">
        <v>2008</v>
      </c>
      <c r="H2105">
        <v>7.5</v>
      </c>
    </row>
    <row r="2106" spans="1:8" x14ac:dyDescent="0.25">
      <c r="A2106">
        <v>123</v>
      </c>
      <c r="B2106">
        <v>32051917</v>
      </c>
      <c r="C2106" t="s">
        <v>2064</v>
      </c>
      <c r="D2106" t="s">
        <v>1</v>
      </c>
      <c r="E2106" t="s">
        <v>2</v>
      </c>
      <c r="F2106">
        <v>20000000</v>
      </c>
      <c r="G2106">
        <v>1995</v>
      </c>
      <c r="H2106">
        <v>6.6</v>
      </c>
    </row>
    <row r="2107" spans="1:8" x14ac:dyDescent="0.25">
      <c r="A2107">
        <v>88</v>
      </c>
      <c r="B2107">
        <v>32014289</v>
      </c>
      <c r="C2107" t="s">
        <v>2065</v>
      </c>
      <c r="D2107" t="s">
        <v>1</v>
      </c>
      <c r="E2107" t="s">
        <v>2</v>
      </c>
      <c r="F2107">
        <v>20000000</v>
      </c>
      <c r="G2107">
        <v>2013</v>
      </c>
      <c r="H2107">
        <v>3.5</v>
      </c>
    </row>
    <row r="2108" spans="1:8" x14ac:dyDescent="0.25">
      <c r="A2108">
        <v>128</v>
      </c>
      <c r="B2108">
        <v>31838002</v>
      </c>
      <c r="C2108" t="s">
        <v>2066</v>
      </c>
      <c r="D2108" t="s">
        <v>1</v>
      </c>
      <c r="E2108" t="s">
        <v>2</v>
      </c>
      <c r="F2108">
        <v>20000000</v>
      </c>
      <c r="G2108">
        <v>2008</v>
      </c>
      <c r="H2108">
        <v>7.6</v>
      </c>
    </row>
    <row r="2109" spans="1:8" x14ac:dyDescent="0.25">
      <c r="A2109">
        <v>107</v>
      </c>
      <c r="B2109">
        <v>36874745</v>
      </c>
      <c r="C2109" t="s">
        <v>2067</v>
      </c>
      <c r="D2109" t="s">
        <v>1</v>
      </c>
      <c r="E2109" t="s">
        <v>2</v>
      </c>
      <c r="F2109">
        <v>20000000</v>
      </c>
      <c r="G2109">
        <v>2016</v>
      </c>
      <c r="H2109">
        <v>6.3</v>
      </c>
    </row>
    <row r="2110" spans="1:8" x14ac:dyDescent="0.25">
      <c r="A2110">
        <v>115</v>
      </c>
      <c r="B2110">
        <v>29753944</v>
      </c>
      <c r="C2110" t="s">
        <v>2070</v>
      </c>
      <c r="D2110" t="s">
        <v>1</v>
      </c>
      <c r="E2110" t="s">
        <v>2</v>
      </c>
      <c r="F2110">
        <v>20000000</v>
      </c>
      <c r="G2110">
        <v>1998</v>
      </c>
      <c r="H2110">
        <v>6.5</v>
      </c>
    </row>
    <row r="2111" spans="1:8" x14ac:dyDescent="0.25">
      <c r="A2111">
        <v>113</v>
      </c>
      <c r="B2111">
        <v>31146570</v>
      </c>
      <c r="C2111" t="s">
        <v>2071</v>
      </c>
      <c r="D2111" t="s">
        <v>1</v>
      </c>
      <c r="E2111" t="s">
        <v>2</v>
      </c>
      <c r="F2111">
        <v>20000000</v>
      </c>
      <c r="G2111">
        <v>2010</v>
      </c>
      <c r="H2111">
        <v>6.9</v>
      </c>
    </row>
    <row r="2112" spans="1:8" x14ac:dyDescent="0.25">
      <c r="A2112">
        <v>113</v>
      </c>
      <c r="B2112">
        <v>27277055</v>
      </c>
      <c r="C2112" t="s">
        <v>2072</v>
      </c>
      <c r="D2112" t="s">
        <v>1</v>
      </c>
      <c r="E2112" t="s">
        <v>5</v>
      </c>
      <c r="F2112">
        <v>20000000</v>
      </c>
      <c r="G2112">
        <v>2000</v>
      </c>
      <c r="H2112">
        <v>7.6</v>
      </c>
    </row>
    <row r="2113" spans="1:8" x14ac:dyDescent="0.25">
      <c r="A2113">
        <v>101</v>
      </c>
      <c r="B2113">
        <v>53146000</v>
      </c>
      <c r="C2113" t="s">
        <v>2074</v>
      </c>
      <c r="D2113" t="s">
        <v>1</v>
      </c>
      <c r="E2113" t="s">
        <v>2</v>
      </c>
      <c r="F2113">
        <v>20000000</v>
      </c>
      <c r="G2113">
        <v>1996</v>
      </c>
      <c r="H2113">
        <v>6.1</v>
      </c>
    </row>
    <row r="2114" spans="1:8" x14ac:dyDescent="0.25">
      <c r="A2114">
        <v>111</v>
      </c>
      <c r="B2114">
        <v>30028592</v>
      </c>
      <c r="C2114" t="s">
        <v>2075</v>
      </c>
      <c r="D2114" t="s">
        <v>1</v>
      </c>
      <c r="E2114" t="s">
        <v>5</v>
      </c>
      <c r="F2114">
        <v>20000000</v>
      </c>
      <c r="G2114">
        <v>2008</v>
      </c>
      <c r="H2114">
        <v>7.3</v>
      </c>
    </row>
    <row r="2115" spans="1:8" x14ac:dyDescent="0.25">
      <c r="A2115">
        <v>108</v>
      </c>
      <c r="B2115">
        <v>34126138</v>
      </c>
      <c r="C2115" t="s">
        <v>2076</v>
      </c>
      <c r="D2115" t="s">
        <v>1</v>
      </c>
      <c r="E2115" t="s">
        <v>2</v>
      </c>
      <c r="F2115">
        <v>20000000</v>
      </c>
      <c r="G2115">
        <v>2004</v>
      </c>
      <c r="H2115">
        <v>8.3000000000000007</v>
      </c>
    </row>
    <row r="2116" spans="1:8" x14ac:dyDescent="0.25">
      <c r="A2116">
        <v>105</v>
      </c>
      <c r="B2116">
        <v>25677801</v>
      </c>
      <c r="C2116" t="s">
        <v>2077</v>
      </c>
      <c r="D2116" t="s">
        <v>1</v>
      </c>
      <c r="E2116" t="s">
        <v>2</v>
      </c>
      <c r="F2116">
        <v>20000000</v>
      </c>
      <c r="G2116">
        <v>2010</v>
      </c>
      <c r="H2116">
        <v>5.8</v>
      </c>
    </row>
    <row r="2117" spans="1:8" x14ac:dyDescent="0.25">
      <c r="A2117">
        <v>109</v>
      </c>
      <c r="B2117">
        <v>26415649</v>
      </c>
      <c r="C2117" t="s">
        <v>2078</v>
      </c>
      <c r="D2117" t="s">
        <v>1</v>
      </c>
      <c r="E2117" t="s">
        <v>2</v>
      </c>
      <c r="F2117">
        <v>20000000</v>
      </c>
      <c r="G2117">
        <v>2008</v>
      </c>
      <c r="H2117">
        <v>6.8</v>
      </c>
    </row>
    <row r="2118" spans="1:8" x14ac:dyDescent="0.25">
      <c r="A2118">
        <v>109</v>
      </c>
      <c r="B2118">
        <v>26003149</v>
      </c>
      <c r="C2118" t="s">
        <v>2079</v>
      </c>
      <c r="D2118" t="s">
        <v>1</v>
      </c>
      <c r="E2118" t="s">
        <v>5</v>
      </c>
      <c r="F2118">
        <v>20000000</v>
      </c>
      <c r="G2118">
        <v>2013</v>
      </c>
      <c r="H2118">
        <v>7</v>
      </c>
    </row>
    <row r="2119" spans="1:8" x14ac:dyDescent="0.25">
      <c r="A2119">
        <v>99</v>
      </c>
      <c r="B2119">
        <v>25584685</v>
      </c>
      <c r="C2119" t="s">
        <v>2080</v>
      </c>
      <c r="D2119" t="s">
        <v>1</v>
      </c>
      <c r="E2119" t="s">
        <v>2</v>
      </c>
      <c r="F2119">
        <v>20000000</v>
      </c>
      <c r="G2119">
        <v>2007</v>
      </c>
      <c r="H2119">
        <v>5.9</v>
      </c>
    </row>
    <row r="2120" spans="1:8" x14ac:dyDescent="0.25">
      <c r="A2120">
        <v>98</v>
      </c>
      <c r="B2120">
        <v>29975979</v>
      </c>
      <c r="C2120" t="s">
        <v>2081</v>
      </c>
      <c r="D2120" t="s">
        <v>1</v>
      </c>
      <c r="E2120" t="s">
        <v>55</v>
      </c>
      <c r="F2120">
        <v>20000000</v>
      </c>
      <c r="G2120">
        <v>2009</v>
      </c>
      <c r="H2120">
        <v>6.5</v>
      </c>
    </row>
    <row r="2121" spans="1:8" x14ac:dyDescent="0.25">
      <c r="A2121">
        <v>104</v>
      </c>
      <c r="B2121">
        <v>31584722</v>
      </c>
      <c r="C2121" t="s">
        <v>2082</v>
      </c>
      <c r="D2121" t="s">
        <v>1</v>
      </c>
      <c r="E2121" t="s">
        <v>2</v>
      </c>
      <c r="F2121">
        <v>20000000</v>
      </c>
      <c r="G2121">
        <v>2010</v>
      </c>
      <c r="H2121">
        <v>6.4</v>
      </c>
    </row>
    <row r="2122" spans="1:8" x14ac:dyDescent="0.25">
      <c r="A2122">
        <v>109</v>
      </c>
      <c r="B2122">
        <v>23179303</v>
      </c>
      <c r="C2122" t="s">
        <v>2083</v>
      </c>
      <c r="D2122" t="s">
        <v>1</v>
      </c>
      <c r="E2122" t="s">
        <v>2084</v>
      </c>
      <c r="F2122">
        <v>20000000</v>
      </c>
      <c r="G2122">
        <v>2011</v>
      </c>
      <c r="H2122">
        <v>5.8</v>
      </c>
    </row>
    <row r="2123" spans="1:8" x14ac:dyDescent="0.25">
      <c r="A2123">
        <v>119</v>
      </c>
      <c r="B2123">
        <v>21413105</v>
      </c>
      <c r="C2123" t="s">
        <v>2086</v>
      </c>
      <c r="D2123" t="s">
        <v>1</v>
      </c>
      <c r="E2123" t="s">
        <v>55</v>
      </c>
      <c r="F2123">
        <v>20000000</v>
      </c>
      <c r="G2123">
        <v>1990</v>
      </c>
      <c r="H2123">
        <v>6.8</v>
      </c>
    </row>
    <row r="2124" spans="1:8" x14ac:dyDescent="0.25">
      <c r="A2124">
        <v>90</v>
      </c>
      <c r="B2124">
        <v>25077977</v>
      </c>
      <c r="C2124" t="s">
        <v>2087</v>
      </c>
      <c r="D2124" t="s">
        <v>1</v>
      </c>
      <c r="E2124" t="s">
        <v>2</v>
      </c>
      <c r="F2124">
        <v>20000000</v>
      </c>
      <c r="G2124">
        <v>2010</v>
      </c>
      <c r="H2124">
        <v>5.3</v>
      </c>
    </row>
    <row r="2125" spans="1:8" x14ac:dyDescent="0.25">
      <c r="A2125">
        <v>97</v>
      </c>
      <c r="B2125">
        <v>23292105</v>
      </c>
      <c r="C2125" t="s">
        <v>2088</v>
      </c>
      <c r="D2125" t="s">
        <v>1</v>
      </c>
      <c r="E2125" t="s">
        <v>2</v>
      </c>
      <c r="F2125">
        <v>20000000</v>
      </c>
      <c r="G2125">
        <v>2006</v>
      </c>
      <c r="H2125">
        <v>5.3</v>
      </c>
    </row>
    <row r="2126" spans="1:8" x14ac:dyDescent="0.25">
      <c r="A2126">
        <v>106</v>
      </c>
      <c r="B2126">
        <v>21200000</v>
      </c>
      <c r="C2126" t="s">
        <v>2090</v>
      </c>
      <c r="D2126" t="s">
        <v>1</v>
      </c>
      <c r="E2126" t="s">
        <v>2</v>
      </c>
      <c r="F2126">
        <v>20000000</v>
      </c>
      <c r="G2126">
        <v>1995</v>
      </c>
      <c r="H2126">
        <v>6.8</v>
      </c>
    </row>
    <row r="2127" spans="1:8" x14ac:dyDescent="0.25">
      <c r="A2127">
        <v>104</v>
      </c>
      <c r="B2127">
        <v>20241395</v>
      </c>
      <c r="C2127" t="s">
        <v>2091</v>
      </c>
      <c r="D2127" t="s">
        <v>1</v>
      </c>
      <c r="E2127" t="s">
        <v>2</v>
      </c>
      <c r="F2127">
        <v>20000000</v>
      </c>
      <c r="G2127">
        <v>1998</v>
      </c>
      <c r="H2127">
        <v>6.1</v>
      </c>
    </row>
    <row r="2128" spans="1:8" x14ac:dyDescent="0.25">
      <c r="A2128">
        <v>104</v>
      </c>
      <c r="B2128">
        <v>23393765</v>
      </c>
      <c r="C2128" t="s">
        <v>2094</v>
      </c>
      <c r="D2128" t="s">
        <v>1</v>
      </c>
      <c r="E2128" t="s">
        <v>2</v>
      </c>
      <c r="F2128">
        <v>20000000</v>
      </c>
      <c r="G2128">
        <v>2014</v>
      </c>
      <c r="H2128">
        <v>6.3</v>
      </c>
    </row>
    <row r="2129" spans="1:8" x14ac:dyDescent="0.25">
      <c r="A2129">
        <v>113</v>
      </c>
      <c r="B2129">
        <v>18882880</v>
      </c>
      <c r="C2129" t="s">
        <v>2095</v>
      </c>
      <c r="D2129" t="s">
        <v>1</v>
      </c>
      <c r="E2129" t="s">
        <v>2</v>
      </c>
      <c r="F2129">
        <v>20000000</v>
      </c>
      <c r="G2129">
        <v>2007</v>
      </c>
      <c r="H2129">
        <v>5.9</v>
      </c>
    </row>
    <row r="2130" spans="1:8" x14ac:dyDescent="0.25">
      <c r="A2130">
        <v>98</v>
      </c>
      <c r="B2130">
        <v>8500000</v>
      </c>
      <c r="C2130" t="s">
        <v>2096</v>
      </c>
      <c r="D2130" t="s">
        <v>1</v>
      </c>
      <c r="E2130" t="s">
        <v>2</v>
      </c>
      <c r="F2130">
        <v>20000000</v>
      </c>
      <c r="G2130">
        <v>1981</v>
      </c>
      <c r="H2130">
        <v>5.4</v>
      </c>
    </row>
    <row r="2131" spans="1:8" x14ac:dyDescent="0.25">
      <c r="A2131">
        <v>124</v>
      </c>
      <c r="B2131">
        <v>19661987</v>
      </c>
      <c r="C2131" t="s">
        <v>2098</v>
      </c>
      <c r="D2131" t="s">
        <v>1</v>
      </c>
      <c r="E2131" t="s">
        <v>2</v>
      </c>
      <c r="F2131">
        <v>20000000</v>
      </c>
      <c r="G2131">
        <v>2007</v>
      </c>
      <c r="H2131">
        <v>7.5</v>
      </c>
    </row>
    <row r="2132" spans="1:8" x14ac:dyDescent="0.25">
      <c r="A2132">
        <v>108</v>
      </c>
      <c r="B2132">
        <v>17803796</v>
      </c>
      <c r="C2132" t="s">
        <v>2100</v>
      </c>
      <c r="D2132" t="s">
        <v>1</v>
      </c>
      <c r="E2132" t="s">
        <v>2</v>
      </c>
      <c r="F2132">
        <v>20000000</v>
      </c>
      <c r="G2132">
        <v>2006</v>
      </c>
      <c r="H2132">
        <v>5.9</v>
      </c>
    </row>
    <row r="2133" spans="1:8" x14ac:dyDescent="0.25">
      <c r="A2133">
        <v>95</v>
      </c>
      <c r="B2133">
        <v>17529157</v>
      </c>
      <c r="C2133" t="s">
        <v>2101</v>
      </c>
      <c r="D2133" t="s">
        <v>1</v>
      </c>
      <c r="E2133" t="s">
        <v>244</v>
      </c>
      <c r="F2133">
        <v>20000000</v>
      </c>
      <c r="G2133">
        <v>2012</v>
      </c>
      <c r="H2133">
        <v>5</v>
      </c>
    </row>
    <row r="2134" spans="1:8" x14ac:dyDescent="0.25">
      <c r="A2134">
        <v>68</v>
      </c>
      <c r="B2134">
        <v>18081626</v>
      </c>
      <c r="C2134" t="s">
        <v>2103</v>
      </c>
      <c r="D2134" t="s">
        <v>1</v>
      </c>
      <c r="E2134" t="s">
        <v>2</v>
      </c>
      <c r="F2134">
        <v>20000000</v>
      </c>
      <c r="G2134">
        <v>2005</v>
      </c>
      <c r="H2134">
        <v>6.4</v>
      </c>
    </row>
    <row r="2135" spans="1:8" x14ac:dyDescent="0.25">
      <c r="A2135">
        <v>103</v>
      </c>
      <c r="B2135">
        <v>17518220</v>
      </c>
      <c r="C2135" t="s">
        <v>2104</v>
      </c>
      <c r="D2135" t="s">
        <v>1</v>
      </c>
      <c r="E2135" t="s">
        <v>2</v>
      </c>
      <c r="F2135">
        <v>20000000</v>
      </c>
      <c r="G2135">
        <v>1995</v>
      </c>
      <c r="H2135">
        <v>6.6</v>
      </c>
    </row>
    <row r="2136" spans="1:8" x14ac:dyDescent="0.25">
      <c r="A2136">
        <v>99</v>
      </c>
      <c r="B2136">
        <v>17104669</v>
      </c>
      <c r="C2136" t="s">
        <v>2105</v>
      </c>
      <c r="D2136" t="s">
        <v>1341</v>
      </c>
      <c r="E2136" t="s">
        <v>675</v>
      </c>
      <c r="F2136">
        <v>20000000</v>
      </c>
      <c r="G2136">
        <v>2004</v>
      </c>
      <c r="H2136">
        <v>7.8</v>
      </c>
    </row>
    <row r="2137" spans="1:8" x14ac:dyDescent="0.25">
      <c r="A2137">
        <v>128</v>
      </c>
      <c r="B2137">
        <v>15797907</v>
      </c>
      <c r="C2137" t="s">
        <v>2107</v>
      </c>
      <c r="D2137" t="s">
        <v>2108</v>
      </c>
      <c r="E2137" t="s">
        <v>2</v>
      </c>
      <c r="F2137">
        <v>20000000</v>
      </c>
      <c r="G2137">
        <v>2007</v>
      </c>
      <c r="H2137">
        <v>7.6</v>
      </c>
    </row>
    <row r="2138" spans="1:8" x14ac:dyDescent="0.25">
      <c r="A2138">
        <v>124</v>
      </c>
      <c r="B2138">
        <v>16248701</v>
      </c>
      <c r="C2138" t="s">
        <v>2109</v>
      </c>
      <c r="D2138" t="s">
        <v>1</v>
      </c>
      <c r="E2138" t="s">
        <v>2</v>
      </c>
      <c r="F2138">
        <v>20000000</v>
      </c>
      <c r="G2138">
        <v>2003</v>
      </c>
      <c r="H2138">
        <v>7.7</v>
      </c>
    </row>
    <row r="2139" spans="1:8" x14ac:dyDescent="0.25">
      <c r="A2139">
        <v>84</v>
      </c>
      <c r="B2139">
        <v>15712072</v>
      </c>
      <c r="C2139" t="s">
        <v>2110</v>
      </c>
      <c r="D2139" t="s">
        <v>1</v>
      </c>
      <c r="E2139" t="s">
        <v>2</v>
      </c>
      <c r="F2139">
        <v>20000000</v>
      </c>
      <c r="G2139">
        <v>2004</v>
      </c>
      <c r="H2139">
        <v>5.8</v>
      </c>
    </row>
    <row r="2140" spans="1:8" x14ac:dyDescent="0.25">
      <c r="A2140">
        <v>101</v>
      </c>
      <c r="B2140">
        <v>15408822</v>
      </c>
      <c r="C2140" t="s">
        <v>2111</v>
      </c>
      <c r="D2140" t="s">
        <v>1</v>
      </c>
      <c r="E2140" t="s">
        <v>2</v>
      </c>
      <c r="F2140">
        <v>20000000</v>
      </c>
      <c r="G2140">
        <v>2003</v>
      </c>
      <c r="H2140">
        <v>5.6</v>
      </c>
    </row>
    <row r="2141" spans="1:8" x14ac:dyDescent="0.25">
      <c r="A2141">
        <v>98</v>
      </c>
      <c r="B2141">
        <v>15464026</v>
      </c>
      <c r="C2141" t="s">
        <v>2112</v>
      </c>
      <c r="D2141" t="s">
        <v>1</v>
      </c>
      <c r="E2141" t="s">
        <v>2</v>
      </c>
      <c r="F2141">
        <v>20000000</v>
      </c>
      <c r="G2141">
        <v>2000</v>
      </c>
      <c r="H2141">
        <v>5.3</v>
      </c>
    </row>
    <row r="2142" spans="1:8" x14ac:dyDescent="0.25">
      <c r="A2142">
        <v>225</v>
      </c>
      <c r="B2142">
        <v>8000000</v>
      </c>
      <c r="C2142" t="s">
        <v>2113</v>
      </c>
      <c r="D2142" t="s">
        <v>1</v>
      </c>
      <c r="E2142" t="s">
        <v>2</v>
      </c>
      <c r="F2142">
        <v>20000000</v>
      </c>
      <c r="G2142">
        <v>1965</v>
      </c>
      <c r="H2142">
        <v>6.6</v>
      </c>
    </row>
    <row r="2143" spans="1:8" x14ac:dyDescent="0.25">
      <c r="A2143">
        <v>94</v>
      </c>
      <c r="B2143">
        <v>13801755</v>
      </c>
      <c r="C2143" t="s">
        <v>2116</v>
      </c>
      <c r="D2143" t="s">
        <v>1</v>
      </c>
      <c r="E2143" t="s">
        <v>2</v>
      </c>
      <c r="F2143">
        <v>20000000</v>
      </c>
      <c r="G2143">
        <v>1997</v>
      </c>
      <c r="H2143">
        <v>6.6</v>
      </c>
    </row>
    <row r="2144" spans="1:8" x14ac:dyDescent="0.25">
      <c r="A2144">
        <v>117</v>
      </c>
      <c r="B2144">
        <v>13987482</v>
      </c>
      <c r="C2144" t="s">
        <v>2117</v>
      </c>
      <c r="D2144" t="s">
        <v>1</v>
      </c>
      <c r="E2144" t="s">
        <v>2</v>
      </c>
      <c r="F2144">
        <v>20000000</v>
      </c>
      <c r="G2144">
        <v>2011</v>
      </c>
      <c r="H2144">
        <v>6</v>
      </c>
    </row>
    <row r="2145" spans="1:8" x14ac:dyDescent="0.25">
      <c r="A2145">
        <v>95</v>
      </c>
      <c r="B2145">
        <v>14291570</v>
      </c>
      <c r="C2145" t="s">
        <v>2118</v>
      </c>
      <c r="D2145" t="s">
        <v>1</v>
      </c>
      <c r="E2145" t="s">
        <v>244</v>
      </c>
      <c r="F2145">
        <v>20000000</v>
      </c>
      <c r="G2145">
        <v>2012</v>
      </c>
      <c r="H2145">
        <v>6.1</v>
      </c>
    </row>
    <row r="2146" spans="1:8" x14ac:dyDescent="0.25">
      <c r="A2146">
        <v>96</v>
      </c>
      <c r="B2146">
        <v>13630226</v>
      </c>
      <c r="C2146" t="s">
        <v>2120</v>
      </c>
      <c r="D2146" t="s">
        <v>1</v>
      </c>
      <c r="E2146" t="s">
        <v>2</v>
      </c>
      <c r="F2146">
        <v>20000000</v>
      </c>
      <c r="G2146">
        <v>2009</v>
      </c>
      <c r="H2146">
        <v>6.2</v>
      </c>
    </row>
    <row r="2147" spans="1:8" x14ac:dyDescent="0.25">
      <c r="A2147">
        <v>98</v>
      </c>
      <c r="B2147">
        <v>13383737</v>
      </c>
      <c r="C2147" t="s">
        <v>2121</v>
      </c>
      <c r="D2147" t="s">
        <v>1</v>
      </c>
      <c r="E2147" t="s">
        <v>2</v>
      </c>
      <c r="F2147">
        <v>20000000</v>
      </c>
      <c r="G2147">
        <v>1994</v>
      </c>
      <c r="H2147">
        <v>7.5</v>
      </c>
    </row>
    <row r="2148" spans="1:8" x14ac:dyDescent="0.25">
      <c r="A2148">
        <v>123</v>
      </c>
      <c r="B2148">
        <v>13391174</v>
      </c>
      <c r="C2148" t="s">
        <v>2122</v>
      </c>
      <c r="D2148" t="s">
        <v>1</v>
      </c>
      <c r="E2148" t="s">
        <v>2</v>
      </c>
      <c r="F2148">
        <v>20000000</v>
      </c>
      <c r="G2148">
        <v>2006</v>
      </c>
      <c r="H2148">
        <v>6.3</v>
      </c>
    </row>
    <row r="2149" spans="1:8" x14ac:dyDescent="0.25">
      <c r="A2149">
        <v>94</v>
      </c>
      <c r="B2149">
        <v>12398628</v>
      </c>
      <c r="C2149" t="s">
        <v>2125</v>
      </c>
      <c r="D2149" t="s">
        <v>1</v>
      </c>
      <c r="E2149" t="s">
        <v>2</v>
      </c>
      <c r="F2149">
        <v>20000000</v>
      </c>
      <c r="G2149">
        <v>2002</v>
      </c>
      <c r="H2149">
        <v>6.1</v>
      </c>
    </row>
    <row r="2150" spans="1:8" x14ac:dyDescent="0.25">
      <c r="A2150">
        <v>102</v>
      </c>
      <c r="B2150">
        <v>13214030</v>
      </c>
      <c r="C2150" t="s">
        <v>2126</v>
      </c>
      <c r="D2150" t="s">
        <v>1</v>
      </c>
      <c r="E2150" t="s">
        <v>2</v>
      </c>
      <c r="F2150">
        <v>20000000</v>
      </c>
      <c r="G2150">
        <v>2008</v>
      </c>
      <c r="H2150">
        <v>6.7</v>
      </c>
    </row>
    <row r="2151" spans="1:8" x14ac:dyDescent="0.25">
      <c r="A2151">
        <v>116</v>
      </c>
      <c r="B2151">
        <v>12134420</v>
      </c>
      <c r="C2151" t="s">
        <v>2128</v>
      </c>
      <c r="D2151" t="s">
        <v>1</v>
      </c>
      <c r="E2151" t="s">
        <v>5</v>
      </c>
      <c r="F2151">
        <v>20000000</v>
      </c>
      <c r="G2151">
        <v>2010</v>
      </c>
      <c r="H2151">
        <v>7.2</v>
      </c>
    </row>
    <row r="2152" spans="1:8" x14ac:dyDescent="0.25">
      <c r="A2152">
        <v>93</v>
      </c>
      <c r="B2152">
        <v>11784000</v>
      </c>
      <c r="C2152" t="s">
        <v>2129</v>
      </c>
      <c r="D2152" t="s">
        <v>1</v>
      </c>
      <c r="E2152" t="s">
        <v>2</v>
      </c>
      <c r="F2152">
        <v>20000000</v>
      </c>
      <c r="G2152">
        <v>1994</v>
      </c>
      <c r="H2152">
        <v>4.3</v>
      </c>
    </row>
    <row r="2153" spans="1:8" x14ac:dyDescent="0.25">
      <c r="A2153">
        <v>102</v>
      </c>
      <c r="B2153">
        <v>11169531</v>
      </c>
      <c r="C2153" t="s">
        <v>2130</v>
      </c>
      <c r="D2153" t="s">
        <v>1</v>
      </c>
      <c r="E2153" t="s">
        <v>5</v>
      </c>
      <c r="F2153">
        <v>20000000</v>
      </c>
      <c r="G2153">
        <v>2008</v>
      </c>
      <c r="H2153">
        <v>6.4</v>
      </c>
    </row>
    <row r="2154" spans="1:8" x14ac:dyDescent="0.25">
      <c r="A2154">
        <v>103</v>
      </c>
      <c r="B2154">
        <v>11034436</v>
      </c>
      <c r="C2154" t="s">
        <v>2131</v>
      </c>
      <c r="D2154" t="s">
        <v>1</v>
      </c>
      <c r="E2154" t="s">
        <v>5</v>
      </c>
      <c r="F2154">
        <v>20000000</v>
      </c>
      <c r="G2154">
        <v>2005</v>
      </c>
      <c r="H2154">
        <v>7.1</v>
      </c>
    </row>
    <row r="2155" spans="1:8" x14ac:dyDescent="0.25">
      <c r="A2155">
        <v>115</v>
      </c>
      <c r="B2155">
        <v>12626905</v>
      </c>
      <c r="C2155" t="s">
        <v>2132</v>
      </c>
      <c r="D2155" t="s">
        <v>1</v>
      </c>
      <c r="E2155" t="s">
        <v>2</v>
      </c>
      <c r="F2155">
        <v>20000000</v>
      </c>
      <c r="G2155">
        <v>2016</v>
      </c>
      <c r="H2155">
        <v>6.3</v>
      </c>
    </row>
    <row r="2156" spans="1:8" x14ac:dyDescent="0.25">
      <c r="A2156">
        <v>96</v>
      </c>
      <c r="B2156">
        <v>10569071</v>
      </c>
      <c r="C2156" t="s">
        <v>2133</v>
      </c>
      <c r="D2156" t="s">
        <v>1</v>
      </c>
      <c r="E2156" t="s">
        <v>2</v>
      </c>
      <c r="F2156">
        <v>20000000</v>
      </c>
      <c r="G2156">
        <v>1997</v>
      </c>
      <c r="H2156">
        <v>7.4</v>
      </c>
    </row>
    <row r="2157" spans="1:8" x14ac:dyDescent="0.25">
      <c r="A2157">
        <v>98</v>
      </c>
      <c r="B2157">
        <v>10544143</v>
      </c>
      <c r="C2157" t="s">
        <v>2134</v>
      </c>
      <c r="D2157" t="s">
        <v>1</v>
      </c>
      <c r="E2157" t="s">
        <v>55</v>
      </c>
      <c r="F2157">
        <v>20000000</v>
      </c>
      <c r="G2157">
        <v>1999</v>
      </c>
      <c r="H2157">
        <v>6.1</v>
      </c>
    </row>
    <row r="2158" spans="1:8" x14ac:dyDescent="0.25">
      <c r="A2158">
        <v>101</v>
      </c>
      <c r="B2158">
        <v>13650738</v>
      </c>
      <c r="C2158" t="s">
        <v>2135</v>
      </c>
      <c r="D2158" t="s">
        <v>1</v>
      </c>
      <c r="E2158" t="s">
        <v>2</v>
      </c>
      <c r="F2158">
        <v>20000000</v>
      </c>
      <c r="G2158">
        <v>2015</v>
      </c>
      <c r="H2158">
        <v>6.6</v>
      </c>
    </row>
    <row r="2159" spans="1:8" x14ac:dyDescent="0.25">
      <c r="A2159">
        <v>106</v>
      </c>
      <c r="B2159">
        <v>10555348</v>
      </c>
      <c r="C2159" t="s">
        <v>2136</v>
      </c>
      <c r="D2159" t="s">
        <v>1</v>
      </c>
      <c r="E2159" t="s">
        <v>2</v>
      </c>
      <c r="F2159">
        <v>20000000</v>
      </c>
      <c r="G2159">
        <v>1989</v>
      </c>
      <c r="H2159">
        <v>6</v>
      </c>
    </row>
    <row r="2160" spans="1:8" x14ac:dyDescent="0.25">
      <c r="A2160">
        <v>101</v>
      </c>
      <c r="B2160">
        <v>9714482</v>
      </c>
      <c r="C2160" t="s">
        <v>2137</v>
      </c>
      <c r="D2160" t="s">
        <v>1</v>
      </c>
      <c r="E2160" t="s">
        <v>2</v>
      </c>
      <c r="F2160">
        <v>20000000</v>
      </c>
      <c r="G2160">
        <v>1996</v>
      </c>
      <c r="H2160">
        <v>6.8</v>
      </c>
    </row>
    <row r="2161" spans="1:8" x14ac:dyDescent="0.25">
      <c r="A2161">
        <v>111</v>
      </c>
      <c r="B2161">
        <v>9525276</v>
      </c>
      <c r="C2161" t="s">
        <v>2138</v>
      </c>
      <c r="D2161" t="s">
        <v>1</v>
      </c>
      <c r="E2161" t="s">
        <v>2</v>
      </c>
      <c r="F2161">
        <v>20000000</v>
      </c>
      <c r="G2161">
        <v>2007</v>
      </c>
      <c r="H2161">
        <v>6.8</v>
      </c>
    </row>
    <row r="2162" spans="1:8" x14ac:dyDescent="0.25">
      <c r="A2162">
        <v>88</v>
      </c>
      <c r="B2162">
        <v>9109322</v>
      </c>
      <c r="C2162" t="s">
        <v>2140</v>
      </c>
      <c r="D2162" t="s">
        <v>1</v>
      </c>
      <c r="E2162" t="s">
        <v>119</v>
      </c>
      <c r="F2162">
        <v>20000000</v>
      </c>
      <c r="G2162">
        <v>2004</v>
      </c>
      <c r="H2162">
        <v>1.9</v>
      </c>
    </row>
    <row r="2163" spans="1:8" x14ac:dyDescent="0.25">
      <c r="A2163">
        <v>91</v>
      </c>
      <c r="B2163">
        <v>8104069</v>
      </c>
      <c r="C2163" t="s">
        <v>2142</v>
      </c>
      <c r="D2163" t="s">
        <v>1</v>
      </c>
      <c r="E2163" t="s">
        <v>2</v>
      </c>
      <c r="F2163">
        <v>20000000</v>
      </c>
      <c r="G2163">
        <v>2007</v>
      </c>
      <c r="H2163">
        <v>4.5</v>
      </c>
    </row>
    <row r="2164" spans="1:8" x14ac:dyDescent="0.25">
      <c r="A2164">
        <v>108</v>
      </c>
      <c r="B2164">
        <v>8054280</v>
      </c>
      <c r="C2164" t="s">
        <v>2143</v>
      </c>
      <c r="D2164" t="s">
        <v>1</v>
      </c>
      <c r="E2164" t="s">
        <v>2</v>
      </c>
      <c r="F2164">
        <v>20000000</v>
      </c>
      <c r="G2164">
        <v>2004</v>
      </c>
      <c r="H2164">
        <v>6.3</v>
      </c>
    </row>
    <row r="2165" spans="1:8" x14ac:dyDescent="0.25">
      <c r="A2165">
        <v>148</v>
      </c>
      <c r="B2165">
        <v>8093318</v>
      </c>
      <c r="C2165" t="s">
        <v>2144</v>
      </c>
      <c r="D2165" t="s">
        <v>1</v>
      </c>
      <c r="E2165" t="s">
        <v>2</v>
      </c>
      <c r="F2165">
        <v>20000000</v>
      </c>
      <c r="G2165">
        <v>2014</v>
      </c>
      <c r="H2165">
        <v>6.7</v>
      </c>
    </row>
    <row r="2166" spans="1:8" x14ac:dyDescent="0.25">
      <c r="A2166">
        <v>77</v>
      </c>
      <c r="B2166">
        <v>7382993</v>
      </c>
      <c r="C2166" t="s">
        <v>2145</v>
      </c>
      <c r="D2166" t="s">
        <v>1</v>
      </c>
      <c r="E2166" t="s">
        <v>2</v>
      </c>
      <c r="F2166">
        <v>20000000</v>
      </c>
      <c r="G2166">
        <v>2006</v>
      </c>
      <c r="H2166">
        <v>2.8</v>
      </c>
    </row>
    <row r="2167" spans="1:8" x14ac:dyDescent="0.25">
      <c r="A2167">
        <v>110</v>
      </c>
      <c r="B2167">
        <v>8888355</v>
      </c>
      <c r="C2167" t="s">
        <v>2146</v>
      </c>
      <c r="D2167" t="s">
        <v>1</v>
      </c>
      <c r="E2167" t="s">
        <v>2</v>
      </c>
      <c r="F2167">
        <v>20000000</v>
      </c>
      <c r="G2167">
        <v>2013</v>
      </c>
      <c r="H2167">
        <v>5</v>
      </c>
    </row>
    <row r="2168" spans="1:8" x14ac:dyDescent="0.25">
      <c r="A2168">
        <v>107</v>
      </c>
      <c r="B2168">
        <v>7268659</v>
      </c>
      <c r="C2168" t="s">
        <v>2148</v>
      </c>
      <c r="D2168" t="s">
        <v>1</v>
      </c>
      <c r="E2168" t="s">
        <v>1324</v>
      </c>
      <c r="F2168">
        <v>20000000</v>
      </c>
      <c r="G2168">
        <v>2013</v>
      </c>
      <c r="H2168">
        <v>5.6</v>
      </c>
    </row>
    <row r="2169" spans="1:8" x14ac:dyDescent="0.25">
      <c r="A2169">
        <v>87</v>
      </c>
      <c r="B2169">
        <v>6563357</v>
      </c>
      <c r="C2169" t="s">
        <v>2150</v>
      </c>
      <c r="D2169" t="s">
        <v>1</v>
      </c>
      <c r="E2169" t="s">
        <v>2</v>
      </c>
      <c r="F2169">
        <v>20000000</v>
      </c>
      <c r="G2169">
        <v>2008</v>
      </c>
      <c r="H2169">
        <v>5.3</v>
      </c>
    </row>
    <row r="2170" spans="1:8" x14ac:dyDescent="0.25">
      <c r="A2170">
        <v>106</v>
      </c>
      <c r="B2170">
        <v>6420319</v>
      </c>
      <c r="C2170" t="s">
        <v>2152</v>
      </c>
      <c r="D2170" t="s">
        <v>1</v>
      </c>
      <c r="E2170" t="s">
        <v>496</v>
      </c>
      <c r="F2170">
        <v>20000000</v>
      </c>
      <c r="G2170">
        <v>2015</v>
      </c>
      <c r="H2170">
        <v>7.4</v>
      </c>
    </row>
    <row r="2171" spans="1:8" x14ac:dyDescent="0.25">
      <c r="A2171">
        <v>116</v>
      </c>
      <c r="B2171">
        <v>6002756</v>
      </c>
      <c r="C2171" t="s">
        <v>2155</v>
      </c>
      <c r="D2171" t="s">
        <v>1</v>
      </c>
      <c r="E2171" t="s">
        <v>2</v>
      </c>
      <c r="F2171">
        <v>20000000</v>
      </c>
      <c r="G2171">
        <v>2012</v>
      </c>
      <c r="H2171">
        <v>7.2</v>
      </c>
    </row>
    <row r="2172" spans="1:8" x14ac:dyDescent="0.25">
      <c r="A2172">
        <v>94</v>
      </c>
      <c r="B2172">
        <v>5132655</v>
      </c>
      <c r="C2172" t="s">
        <v>2156</v>
      </c>
      <c r="D2172" t="s">
        <v>1</v>
      </c>
      <c r="E2172" t="s">
        <v>38</v>
      </c>
      <c r="F2172">
        <v>20000000</v>
      </c>
      <c r="G2172">
        <v>2005</v>
      </c>
      <c r="H2172">
        <v>2.2999999999999998</v>
      </c>
    </row>
    <row r="2173" spans="1:8" x14ac:dyDescent="0.25">
      <c r="A2173">
        <v>111</v>
      </c>
      <c r="B2173">
        <v>5205343</v>
      </c>
      <c r="C2173" t="s">
        <v>2157</v>
      </c>
      <c r="D2173" t="s">
        <v>1</v>
      </c>
      <c r="E2173" t="s">
        <v>2</v>
      </c>
      <c r="F2173">
        <v>20000000</v>
      </c>
      <c r="G2173">
        <v>2009</v>
      </c>
      <c r="H2173">
        <v>6.4</v>
      </c>
    </row>
    <row r="2174" spans="1:8" x14ac:dyDescent="0.25">
      <c r="A2174">
        <v>100</v>
      </c>
      <c r="B2174">
        <v>5005883</v>
      </c>
      <c r="C2174" t="s">
        <v>2158</v>
      </c>
      <c r="D2174" t="s">
        <v>1</v>
      </c>
      <c r="E2174" t="s">
        <v>2</v>
      </c>
      <c r="F2174">
        <v>20000000</v>
      </c>
      <c r="G2174">
        <v>2004</v>
      </c>
      <c r="H2174">
        <v>6.1</v>
      </c>
    </row>
    <row r="2175" spans="1:8" x14ac:dyDescent="0.25">
      <c r="A2175">
        <v>125</v>
      </c>
      <c r="B2175">
        <v>5749134</v>
      </c>
      <c r="C2175" t="s">
        <v>2159</v>
      </c>
      <c r="D2175" t="s">
        <v>1</v>
      </c>
      <c r="E2175" t="s">
        <v>2</v>
      </c>
      <c r="F2175">
        <v>20000000</v>
      </c>
      <c r="G2175">
        <v>2014</v>
      </c>
      <c r="H2175">
        <v>7</v>
      </c>
    </row>
    <row r="2176" spans="1:8" x14ac:dyDescent="0.25">
      <c r="A2176">
        <v>119</v>
      </c>
      <c r="B2176">
        <v>4234040</v>
      </c>
      <c r="C2176" t="s">
        <v>2160</v>
      </c>
      <c r="D2176" t="s">
        <v>1</v>
      </c>
      <c r="E2176" t="s">
        <v>2</v>
      </c>
      <c r="F2176">
        <v>20000000</v>
      </c>
      <c r="G2176">
        <v>2008</v>
      </c>
      <c r="H2176">
        <v>7</v>
      </c>
    </row>
    <row r="2177" spans="1:8" x14ac:dyDescent="0.25">
      <c r="A2177">
        <v>135</v>
      </c>
      <c r="B2177">
        <v>4001121</v>
      </c>
      <c r="C2177" t="s">
        <v>2161</v>
      </c>
      <c r="D2177" t="s">
        <v>1</v>
      </c>
      <c r="E2177" t="s">
        <v>2</v>
      </c>
      <c r="F2177">
        <v>20000000</v>
      </c>
      <c r="G2177">
        <v>2007</v>
      </c>
      <c r="H2177">
        <v>7</v>
      </c>
    </row>
    <row r="2178" spans="1:8" x14ac:dyDescent="0.25">
      <c r="A2178">
        <v>93</v>
      </c>
      <c r="B2178">
        <v>3749061</v>
      </c>
      <c r="C2178" t="s">
        <v>2162</v>
      </c>
      <c r="D2178" t="s">
        <v>1</v>
      </c>
      <c r="E2178" t="s">
        <v>2</v>
      </c>
      <c r="F2178">
        <v>20000000</v>
      </c>
      <c r="G2178">
        <v>2012</v>
      </c>
      <c r="H2178">
        <v>4.9000000000000004</v>
      </c>
    </row>
    <row r="2179" spans="1:8" x14ac:dyDescent="0.25">
      <c r="A2179">
        <v>114</v>
      </c>
      <c r="B2179">
        <v>3519627</v>
      </c>
      <c r="C2179" t="s">
        <v>2163</v>
      </c>
      <c r="D2179" t="s">
        <v>1</v>
      </c>
      <c r="E2179" t="s">
        <v>2</v>
      </c>
      <c r="F2179">
        <v>20000000</v>
      </c>
      <c r="G2179">
        <v>2008</v>
      </c>
      <c r="H2179">
        <v>6.9</v>
      </c>
    </row>
    <row r="2180" spans="1:8" x14ac:dyDescent="0.25">
      <c r="A2180">
        <v>114</v>
      </c>
      <c r="B2180">
        <v>2353728</v>
      </c>
      <c r="C2180" t="s">
        <v>2166</v>
      </c>
      <c r="D2180" t="s">
        <v>243</v>
      </c>
      <c r="E2180" t="s">
        <v>244</v>
      </c>
      <c r="F2180">
        <v>20000000</v>
      </c>
      <c r="G2180">
        <v>2003</v>
      </c>
      <c r="H2180">
        <v>6.9</v>
      </c>
    </row>
    <row r="2181" spans="1:8" x14ac:dyDescent="0.25">
      <c r="A2181">
        <v>124</v>
      </c>
      <c r="B2181">
        <v>2000000</v>
      </c>
      <c r="C2181" t="s">
        <v>2167</v>
      </c>
      <c r="D2181" t="s">
        <v>1</v>
      </c>
      <c r="E2181" t="s">
        <v>2</v>
      </c>
      <c r="F2181">
        <v>20000000</v>
      </c>
      <c r="G2181">
        <v>1980</v>
      </c>
      <c r="H2181">
        <v>4.5</v>
      </c>
    </row>
    <row r="2182" spans="1:8" x14ac:dyDescent="0.25">
      <c r="A2182">
        <v>118</v>
      </c>
      <c r="B2182">
        <v>2246000</v>
      </c>
      <c r="C2182" t="s">
        <v>2169</v>
      </c>
      <c r="D2182" t="s">
        <v>1</v>
      </c>
      <c r="E2182" t="s">
        <v>2</v>
      </c>
      <c r="F2182">
        <v>20000000</v>
      </c>
      <c r="G2182">
        <v>2015</v>
      </c>
      <c r="H2182">
        <v>7</v>
      </c>
    </row>
    <row r="2183" spans="1:8" x14ac:dyDescent="0.25">
      <c r="A2183">
        <v>80</v>
      </c>
      <c r="B2183">
        <v>1646664</v>
      </c>
      <c r="C2183" t="s">
        <v>2170</v>
      </c>
      <c r="D2183" t="s">
        <v>1</v>
      </c>
      <c r="E2183" t="s">
        <v>2</v>
      </c>
      <c r="F2183">
        <v>20000000</v>
      </c>
      <c r="G2183">
        <v>2003</v>
      </c>
      <c r="H2183">
        <v>2.8</v>
      </c>
    </row>
    <row r="2184" spans="1:8" x14ac:dyDescent="0.25">
      <c r="A2184">
        <v>107</v>
      </c>
      <c r="B2184">
        <v>1190018</v>
      </c>
      <c r="C2184" t="s">
        <v>2171</v>
      </c>
      <c r="D2184" t="s">
        <v>1</v>
      </c>
      <c r="E2184" t="s">
        <v>2</v>
      </c>
      <c r="F2184">
        <v>20000000</v>
      </c>
      <c r="G2184">
        <v>2002</v>
      </c>
      <c r="H2184">
        <v>7.5</v>
      </c>
    </row>
    <row r="2185" spans="1:8" x14ac:dyDescent="0.25">
      <c r="A2185">
        <v>101</v>
      </c>
      <c r="B2185">
        <v>375474</v>
      </c>
      <c r="C2185" t="s">
        <v>2176</v>
      </c>
      <c r="D2185" t="s">
        <v>1</v>
      </c>
      <c r="E2185" t="s">
        <v>2</v>
      </c>
      <c r="F2185">
        <v>20000000</v>
      </c>
      <c r="G2185">
        <v>2005</v>
      </c>
      <c r="H2185">
        <v>6.2</v>
      </c>
    </row>
    <row r="2186" spans="1:8" x14ac:dyDescent="0.25">
      <c r="A2186">
        <v>107</v>
      </c>
      <c r="B2186">
        <v>305070</v>
      </c>
      <c r="C2186" t="s">
        <v>2177</v>
      </c>
      <c r="D2186" t="s">
        <v>1</v>
      </c>
      <c r="E2186" t="s">
        <v>2</v>
      </c>
      <c r="F2186">
        <v>20000000</v>
      </c>
      <c r="G2186">
        <v>1994</v>
      </c>
      <c r="H2186">
        <v>6.4</v>
      </c>
    </row>
    <row r="2187" spans="1:8" x14ac:dyDescent="0.25">
      <c r="A2187">
        <v>107</v>
      </c>
      <c r="B2187">
        <v>1183354</v>
      </c>
      <c r="C2187" t="s">
        <v>2179</v>
      </c>
      <c r="D2187" t="s">
        <v>1</v>
      </c>
      <c r="E2187" t="s">
        <v>2</v>
      </c>
      <c r="F2187">
        <v>20000000</v>
      </c>
      <c r="G2187">
        <v>2010</v>
      </c>
      <c r="H2187">
        <v>5.0999999999999996</v>
      </c>
    </row>
    <row r="2188" spans="1:8" x14ac:dyDescent="0.25">
      <c r="A2188">
        <v>110</v>
      </c>
      <c r="B2188">
        <v>263365</v>
      </c>
      <c r="C2188" t="s">
        <v>2181</v>
      </c>
      <c r="D2188" t="s">
        <v>1</v>
      </c>
      <c r="E2188" t="s">
        <v>2</v>
      </c>
      <c r="F2188">
        <v>20000000</v>
      </c>
      <c r="G2188">
        <v>2010</v>
      </c>
      <c r="H2188">
        <v>5.4</v>
      </c>
    </row>
    <row r="2189" spans="1:8" x14ac:dyDescent="0.25">
      <c r="A2189">
        <v>184</v>
      </c>
      <c r="B2189">
        <v>476270</v>
      </c>
      <c r="C2189" t="s">
        <v>2183</v>
      </c>
      <c r="D2189" t="s">
        <v>1644</v>
      </c>
      <c r="E2189" t="s">
        <v>119</v>
      </c>
      <c r="F2189">
        <v>20000000</v>
      </c>
      <c r="G2189">
        <v>2008</v>
      </c>
      <c r="H2189">
        <v>7.4</v>
      </c>
    </row>
    <row r="2190" spans="1:8" x14ac:dyDescent="0.25">
      <c r="A2190">
        <v>97</v>
      </c>
      <c r="B2190">
        <v>100292856</v>
      </c>
      <c r="C2190" t="s">
        <v>2185</v>
      </c>
      <c r="D2190" t="s">
        <v>1</v>
      </c>
      <c r="E2190" t="s">
        <v>2</v>
      </c>
      <c r="F2190">
        <v>20000000</v>
      </c>
      <c r="G2190">
        <v>2011</v>
      </c>
      <c r="H2190">
        <v>5.7</v>
      </c>
    </row>
    <row r="2191" spans="1:8" x14ac:dyDescent="0.25">
      <c r="A2191">
        <v>95</v>
      </c>
      <c r="B2191">
        <v>51431160</v>
      </c>
      <c r="C2191" t="s">
        <v>2187</v>
      </c>
      <c r="D2191" t="s">
        <v>1</v>
      </c>
      <c r="E2191" t="s">
        <v>2</v>
      </c>
      <c r="F2191">
        <v>20000000</v>
      </c>
      <c r="G2191">
        <v>2004</v>
      </c>
      <c r="H2191">
        <v>5.9</v>
      </c>
    </row>
    <row r="2192" spans="1:8" x14ac:dyDescent="0.25">
      <c r="A2192">
        <v>91</v>
      </c>
      <c r="B2192">
        <v>41867960</v>
      </c>
      <c r="C2192" t="s">
        <v>2189</v>
      </c>
      <c r="D2192" t="s">
        <v>1</v>
      </c>
      <c r="E2192" t="s">
        <v>2</v>
      </c>
      <c r="F2192">
        <v>20000000</v>
      </c>
      <c r="G2192">
        <v>2001</v>
      </c>
      <c r="H2192">
        <v>5.5</v>
      </c>
    </row>
    <row r="2193" spans="1:8" x14ac:dyDescent="0.25">
      <c r="A2193">
        <v>101</v>
      </c>
      <c r="B2193">
        <v>39103378</v>
      </c>
      <c r="C2193" t="s">
        <v>2197</v>
      </c>
      <c r="D2193" t="s">
        <v>1</v>
      </c>
      <c r="E2193" t="s">
        <v>2</v>
      </c>
      <c r="F2193">
        <v>20000000</v>
      </c>
      <c r="G2193">
        <v>2010</v>
      </c>
      <c r="H2193">
        <v>6.5</v>
      </c>
    </row>
    <row r="2194" spans="1:8" x14ac:dyDescent="0.25">
      <c r="A2194">
        <v>122</v>
      </c>
      <c r="B2194">
        <v>75072454</v>
      </c>
      <c r="C2194" t="s">
        <v>2218</v>
      </c>
      <c r="D2194" t="s">
        <v>1</v>
      </c>
      <c r="E2194" t="s">
        <v>2</v>
      </c>
      <c r="F2194">
        <v>20000000</v>
      </c>
      <c r="G2194">
        <v>2005</v>
      </c>
      <c r="H2194">
        <v>6.7</v>
      </c>
    </row>
    <row r="2195" spans="1:8" x14ac:dyDescent="0.25">
      <c r="A2195">
        <v>89</v>
      </c>
      <c r="B2195">
        <v>43818159</v>
      </c>
      <c r="C2195" t="s">
        <v>2229</v>
      </c>
      <c r="D2195" t="s">
        <v>1</v>
      </c>
      <c r="E2195" t="s">
        <v>2</v>
      </c>
      <c r="F2195">
        <v>20000000</v>
      </c>
      <c r="G2195">
        <v>2008</v>
      </c>
      <c r="H2195">
        <v>3.9</v>
      </c>
    </row>
    <row r="2196" spans="1:8" x14ac:dyDescent="0.25">
      <c r="A2196">
        <v>126</v>
      </c>
      <c r="B2196">
        <v>5701643</v>
      </c>
      <c r="C2196" t="s">
        <v>2268</v>
      </c>
      <c r="D2196" t="s">
        <v>2269</v>
      </c>
      <c r="E2196" t="s">
        <v>1324</v>
      </c>
      <c r="F2196">
        <v>20000000</v>
      </c>
      <c r="G2196">
        <v>2007</v>
      </c>
      <c r="H2196">
        <v>7.3</v>
      </c>
    </row>
    <row r="2197" spans="1:8" x14ac:dyDescent="0.25">
      <c r="A2197">
        <v>99</v>
      </c>
      <c r="B2197">
        <v>5333658</v>
      </c>
      <c r="C2197" t="s">
        <v>2271</v>
      </c>
      <c r="D2197" t="s">
        <v>1</v>
      </c>
      <c r="E2197" t="s">
        <v>2</v>
      </c>
      <c r="F2197">
        <v>20000000</v>
      </c>
      <c r="G2197">
        <v>1982</v>
      </c>
      <c r="H2197">
        <v>3.5</v>
      </c>
    </row>
    <row r="2198" spans="1:8" x14ac:dyDescent="0.25">
      <c r="A2198">
        <v>119</v>
      </c>
      <c r="B2198">
        <v>121463226</v>
      </c>
      <c r="C2198" t="s">
        <v>2282</v>
      </c>
      <c r="D2198" t="s">
        <v>1</v>
      </c>
      <c r="E2198" t="s">
        <v>2</v>
      </c>
      <c r="F2198">
        <v>20000000</v>
      </c>
      <c r="G2198">
        <v>2007</v>
      </c>
      <c r="H2198">
        <v>7.6</v>
      </c>
    </row>
    <row r="2199" spans="1:8" x14ac:dyDescent="0.25">
      <c r="A2199">
        <v>90</v>
      </c>
      <c r="B2199">
        <v>45670855</v>
      </c>
      <c r="C2199" t="s">
        <v>2300</v>
      </c>
      <c r="D2199" t="s">
        <v>1</v>
      </c>
      <c r="E2199" t="s">
        <v>38</v>
      </c>
      <c r="F2199">
        <v>20000000</v>
      </c>
      <c r="G2199">
        <v>2010</v>
      </c>
      <c r="H2199">
        <v>5.6</v>
      </c>
    </row>
    <row r="2200" spans="1:8" x14ac:dyDescent="0.25">
      <c r="A2200">
        <v>105</v>
      </c>
      <c r="B2200">
        <v>13854000</v>
      </c>
      <c r="C2200" t="s">
        <v>2362</v>
      </c>
      <c r="D2200" t="s">
        <v>1</v>
      </c>
      <c r="E2200" t="s">
        <v>2</v>
      </c>
      <c r="F2200">
        <v>20000000</v>
      </c>
      <c r="G2200">
        <v>1988</v>
      </c>
      <c r="H2200">
        <v>5.2</v>
      </c>
    </row>
    <row r="2201" spans="1:8" x14ac:dyDescent="0.25">
      <c r="A2201">
        <v>101</v>
      </c>
      <c r="B2201">
        <v>2319187</v>
      </c>
      <c r="C2201" t="s">
        <v>2373</v>
      </c>
      <c r="D2201" t="s">
        <v>1</v>
      </c>
      <c r="E2201" t="s">
        <v>5</v>
      </c>
      <c r="F2201">
        <v>20000000</v>
      </c>
      <c r="G2201">
        <v>2013</v>
      </c>
      <c r="H2201">
        <v>7</v>
      </c>
    </row>
    <row r="2202" spans="1:8" x14ac:dyDescent="0.25">
      <c r="A2202">
        <v>100</v>
      </c>
      <c r="B2202">
        <v>71588220</v>
      </c>
      <c r="C2202" t="s">
        <v>2400</v>
      </c>
      <c r="D2202" t="s">
        <v>1</v>
      </c>
      <c r="E2202" t="s">
        <v>38</v>
      </c>
      <c r="F2202">
        <v>20000000</v>
      </c>
      <c r="G2202">
        <v>2013</v>
      </c>
      <c r="H2202">
        <v>6.2</v>
      </c>
    </row>
    <row r="2203" spans="1:8" x14ac:dyDescent="0.25">
      <c r="A2203">
        <v>92</v>
      </c>
      <c r="B2203">
        <v>18843314</v>
      </c>
      <c r="C2203" t="s">
        <v>2450</v>
      </c>
      <c r="D2203" t="s">
        <v>1</v>
      </c>
      <c r="E2203" t="s">
        <v>2</v>
      </c>
      <c r="F2203">
        <v>20000000</v>
      </c>
      <c r="G2203">
        <v>2006</v>
      </c>
      <c r="H2203">
        <v>4.7</v>
      </c>
    </row>
    <row r="2204" spans="1:8" x14ac:dyDescent="0.25">
      <c r="A2204">
        <v>125</v>
      </c>
      <c r="B2204">
        <v>13337299</v>
      </c>
      <c r="C2204" t="s">
        <v>2468</v>
      </c>
      <c r="D2204" t="s">
        <v>1</v>
      </c>
      <c r="E2204" t="s">
        <v>2</v>
      </c>
      <c r="F2204">
        <v>20000000</v>
      </c>
      <c r="G2204">
        <v>2004</v>
      </c>
      <c r="H2204">
        <v>6.6</v>
      </c>
    </row>
    <row r="2205" spans="1:8" x14ac:dyDescent="0.25">
      <c r="A2205">
        <v>97</v>
      </c>
      <c r="B2205">
        <v>8586376</v>
      </c>
      <c r="C2205" t="s">
        <v>2481</v>
      </c>
      <c r="D2205" t="s">
        <v>1</v>
      </c>
      <c r="E2205" t="s">
        <v>2</v>
      </c>
      <c r="F2205">
        <v>20000000</v>
      </c>
      <c r="G2205">
        <v>2002</v>
      </c>
      <c r="H2205">
        <v>4.9000000000000004</v>
      </c>
    </row>
    <row r="2206" spans="1:8" x14ac:dyDescent="0.25">
      <c r="A2206">
        <v>92</v>
      </c>
      <c r="B2206">
        <v>4002955</v>
      </c>
      <c r="C2206" t="s">
        <v>2494</v>
      </c>
      <c r="D2206" t="s">
        <v>1</v>
      </c>
      <c r="E2206" t="s">
        <v>2</v>
      </c>
      <c r="F2206">
        <v>20000000</v>
      </c>
      <c r="G2206">
        <v>1999</v>
      </c>
      <c r="H2206">
        <v>6.2</v>
      </c>
    </row>
    <row r="2207" spans="1:8" x14ac:dyDescent="0.25">
      <c r="A2207">
        <v>100</v>
      </c>
      <c r="B2207">
        <v>19900000</v>
      </c>
      <c r="C2207" t="s">
        <v>2536</v>
      </c>
      <c r="D2207" t="s">
        <v>1</v>
      </c>
      <c r="E2207" t="s">
        <v>2</v>
      </c>
      <c r="F2207">
        <v>20000000</v>
      </c>
      <c r="G2207">
        <v>1995</v>
      </c>
      <c r="H2207">
        <v>4.5</v>
      </c>
    </row>
    <row r="2208" spans="1:8" x14ac:dyDescent="0.25">
      <c r="A2208">
        <v>115</v>
      </c>
      <c r="B2208">
        <v>403932</v>
      </c>
      <c r="C2208" t="s">
        <v>2622</v>
      </c>
      <c r="D2208" t="s">
        <v>1</v>
      </c>
      <c r="E2208" t="s">
        <v>5</v>
      </c>
      <c r="F2208">
        <v>20000000</v>
      </c>
      <c r="G2208">
        <v>2000</v>
      </c>
      <c r="H2208">
        <v>6.5</v>
      </c>
    </row>
    <row r="2209" spans="1:8" x14ac:dyDescent="0.25">
      <c r="A2209">
        <v>113</v>
      </c>
      <c r="B2209">
        <v>17149</v>
      </c>
      <c r="C2209" t="s">
        <v>2726</v>
      </c>
      <c r="D2209" t="s">
        <v>1</v>
      </c>
      <c r="E2209" t="s">
        <v>2727</v>
      </c>
      <c r="F2209">
        <v>20000000</v>
      </c>
      <c r="G2209">
        <v>2011</v>
      </c>
      <c r="H2209">
        <v>5.6</v>
      </c>
    </row>
    <row r="2210" spans="1:8" x14ac:dyDescent="0.25">
      <c r="A2210">
        <v>85</v>
      </c>
      <c r="B2210">
        <v>32983713</v>
      </c>
      <c r="C2210" t="s">
        <v>2802</v>
      </c>
      <c r="D2210" t="s">
        <v>1</v>
      </c>
      <c r="E2210" t="s">
        <v>2</v>
      </c>
      <c r="F2210">
        <v>20000000</v>
      </c>
      <c r="G2210">
        <v>2002</v>
      </c>
      <c r="H2210">
        <v>5.8</v>
      </c>
    </row>
    <row r="2211" spans="1:8" x14ac:dyDescent="0.25">
      <c r="A2211">
        <v>126</v>
      </c>
      <c r="B2211">
        <v>17804273</v>
      </c>
      <c r="C2211" t="s">
        <v>2928</v>
      </c>
      <c r="D2211" t="s">
        <v>1</v>
      </c>
      <c r="E2211" t="s">
        <v>2</v>
      </c>
      <c r="F2211">
        <v>20000000</v>
      </c>
      <c r="G2211">
        <v>2000</v>
      </c>
      <c r="H2211">
        <v>7</v>
      </c>
    </row>
    <row r="2212" spans="1:8" x14ac:dyDescent="0.25">
      <c r="A2212">
        <v>115</v>
      </c>
      <c r="B2212">
        <v>403932</v>
      </c>
      <c r="C2212" t="s">
        <v>2622</v>
      </c>
      <c r="D2212" t="s">
        <v>1</v>
      </c>
      <c r="E2212" t="s">
        <v>5</v>
      </c>
      <c r="F2212">
        <v>20000000</v>
      </c>
      <c r="G2212">
        <v>2000</v>
      </c>
      <c r="H2212">
        <v>6.5</v>
      </c>
    </row>
    <row r="2213" spans="1:8" x14ac:dyDescent="0.25">
      <c r="A2213">
        <v>92</v>
      </c>
      <c r="B2213">
        <v>114324072</v>
      </c>
      <c r="C2213" t="s">
        <v>1521</v>
      </c>
      <c r="D2213" t="s">
        <v>1</v>
      </c>
      <c r="E2213" t="s">
        <v>2</v>
      </c>
      <c r="F2213">
        <v>20000000</v>
      </c>
      <c r="G2213">
        <v>2004</v>
      </c>
      <c r="H2213">
        <v>6.7</v>
      </c>
    </row>
    <row r="2214" spans="1:8" x14ac:dyDescent="0.25">
      <c r="A2214">
        <v>101</v>
      </c>
      <c r="B2214">
        <v>2319187</v>
      </c>
      <c r="C2214" t="s">
        <v>2373</v>
      </c>
      <c r="D2214" t="s">
        <v>1</v>
      </c>
      <c r="E2214" t="s">
        <v>5</v>
      </c>
      <c r="F2214">
        <v>20000000</v>
      </c>
      <c r="G2214">
        <v>2013</v>
      </c>
      <c r="H2214">
        <v>7</v>
      </c>
    </row>
    <row r="2215" spans="1:8" x14ac:dyDescent="0.25">
      <c r="A2215">
        <v>103</v>
      </c>
      <c r="B2215">
        <v>252652</v>
      </c>
      <c r="C2215" t="s">
        <v>3374</v>
      </c>
      <c r="D2215" t="s">
        <v>3195</v>
      </c>
      <c r="E2215" t="s">
        <v>2380</v>
      </c>
      <c r="F2215">
        <v>19900000</v>
      </c>
      <c r="G2215">
        <v>2010</v>
      </c>
      <c r="H2215">
        <v>7</v>
      </c>
    </row>
    <row r="2216" spans="1:8" x14ac:dyDescent="0.25">
      <c r="A2216">
        <v>103</v>
      </c>
      <c r="B2216">
        <v>34290142</v>
      </c>
      <c r="C2216" t="s">
        <v>2060</v>
      </c>
      <c r="D2216" t="s">
        <v>1</v>
      </c>
      <c r="E2216" t="s">
        <v>2</v>
      </c>
      <c r="F2216">
        <v>19800000</v>
      </c>
      <c r="G2216">
        <v>2014</v>
      </c>
      <c r="H2216">
        <v>6.6</v>
      </c>
    </row>
    <row r="2217" spans="1:8" x14ac:dyDescent="0.25">
      <c r="A2217">
        <v>131</v>
      </c>
      <c r="B2217">
        <v>41300105</v>
      </c>
      <c r="C2217" t="s">
        <v>2232</v>
      </c>
      <c r="D2217" t="s">
        <v>1</v>
      </c>
      <c r="E2217" t="s">
        <v>5</v>
      </c>
      <c r="F2217">
        <v>19800000</v>
      </c>
      <c r="G2217">
        <v>2001</v>
      </c>
      <c r="H2217">
        <v>7.3</v>
      </c>
    </row>
    <row r="2218" spans="1:8" x14ac:dyDescent="0.25">
      <c r="A2218">
        <v>111</v>
      </c>
      <c r="B2218">
        <v>6109075</v>
      </c>
      <c r="C2218" t="s">
        <v>1945</v>
      </c>
      <c r="D2218" t="s">
        <v>243</v>
      </c>
      <c r="E2218" t="s">
        <v>244</v>
      </c>
      <c r="F2218">
        <v>19430000</v>
      </c>
      <c r="G2218">
        <v>2009</v>
      </c>
      <c r="H2218">
        <v>6.7</v>
      </c>
    </row>
    <row r="2219" spans="1:8" x14ac:dyDescent="0.25">
      <c r="A2219">
        <v>135</v>
      </c>
      <c r="B2219">
        <v>128300000</v>
      </c>
      <c r="C2219" t="s">
        <v>2017</v>
      </c>
      <c r="D2219" t="s">
        <v>1</v>
      </c>
      <c r="E2219" t="s">
        <v>2</v>
      </c>
      <c r="F2219">
        <v>19400870</v>
      </c>
      <c r="G2219">
        <v>1977</v>
      </c>
      <c r="H2219">
        <v>7.7</v>
      </c>
    </row>
    <row r="2220" spans="1:8" x14ac:dyDescent="0.25">
      <c r="A2220">
        <v>125</v>
      </c>
      <c r="B2220">
        <v>8047690</v>
      </c>
      <c r="C2220" t="s">
        <v>2182</v>
      </c>
      <c r="D2220" t="s">
        <v>326</v>
      </c>
      <c r="E2220" t="s">
        <v>142</v>
      </c>
      <c r="F2220">
        <v>19400000</v>
      </c>
      <c r="G2220">
        <v>2006</v>
      </c>
      <c r="H2220">
        <v>7.5</v>
      </c>
    </row>
    <row r="2221" spans="1:8" x14ac:dyDescent="0.25">
      <c r="A2221">
        <v>95</v>
      </c>
      <c r="B2221">
        <v>58156435</v>
      </c>
      <c r="C2221" t="s">
        <v>1551</v>
      </c>
      <c r="D2221" t="s">
        <v>1</v>
      </c>
      <c r="E2221" t="s">
        <v>2</v>
      </c>
      <c r="F2221">
        <v>19000000</v>
      </c>
      <c r="G2221">
        <v>2004</v>
      </c>
      <c r="H2221">
        <v>5.9</v>
      </c>
    </row>
    <row r="2222" spans="1:8" x14ac:dyDescent="0.25">
      <c r="A2222">
        <v>85</v>
      </c>
      <c r="B2222">
        <v>26096584</v>
      </c>
      <c r="C2222" t="s">
        <v>1591</v>
      </c>
      <c r="D2222" t="s">
        <v>1</v>
      </c>
      <c r="E2222" t="s">
        <v>2</v>
      </c>
      <c r="F2222">
        <v>19000000</v>
      </c>
      <c r="G2222">
        <v>2003</v>
      </c>
      <c r="H2222">
        <v>3.4</v>
      </c>
    </row>
    <row r="2223" spans="1:8" x14ac:dyDescent="0.25">
      <c r="A2223">
        <v>119</v>
      </c>
      <c r="B2223">
        <v>65807024</v>
      </c>
      <c r="C2223" t="s">
        <v>1928</v>
      </c>
      <c r="D2223" t="s">
        <v>1</v>
      </c>
      <c r="E2223" t="s">
        <v>2</v>
      </c>
      <c r="F2223">
        <v>19000000</v>
      </c>
      <c r="G2223">
        <v>1995</v>
      </c>
      <c r="H2223">
        <v>6.8</v>
      </c>
    </row>
    <row r="2224" spans="1:8" x14ac:dyDescent="0.25">
      <c r="A2224">
        <v>138</v>
      </c>
      <c r="B2224">
        <v>130727000</v>
      </c>
      <c r="C2224" t="s">
        <v>2021</v>
      </c>
      <c r="D2224" t="s">
        <v>1</v>
      </c>
      <c r="E2224" t="s">
        <v>2</v>
      </c>
      <c r="F2224">
        <v>19000000</v>
      </c>
      <c r="G2224">
        <v>1991</v>
      </c>
      <c r="H2224">
        <v>8.6</v>
      </c>
    </row>
    <row r="2225" spans="1:8" x14ac:dyDescent="0.25">
      <c r="A2225">
        <v>90</v>
      </c>
      <c r="B2225">
        <v>35033759</v>
      </c>
      <c r="C2225" t="s">
        <v>2069</v>
      </c>
      <c r="D2225" t="s">
        <v>1</v>
      </c>
      <c r="E2225" t="s">
        <v>2</v>
      </c>
      <c r="F2225">
        <v>19000000</v>
      </c>
      <c r="G2225">
        <v>2011</v>
      </c>
      <c r="H2225">
        <v>6.3</v>
      </c>
    </row>
    <row r="2226" spans="1:8" x14ac:dyDescent="0.25">
      <c r="A2226">
        <v>108</v>
      </c>
      <c r="B2226">
        <v>25753840</v>
      </c>
      <c r="C2226" t="s">
        <v>2102</v>
      </c>
      <c r="D2226" t="s">
        <v>1</v>
      </c>
      <c r="E2226" t="s">
        <v>2</v>
      </c>
      <c r="F2226">
        <v>19000000</v>
      </c>
      <c r="G2226">
        <v>1996</v>
      </c>
      <c r="H2226">
        <v>7.3</v>
      </c>
    </row>
    <row r="2227" spans="1:8" x14ac:dyDescent="0.25">
      <c r="A2227">
        <v>113</v>
      </c>
      <c r="B2227">
        <v>58571513</v>
      </c>
      <c r="C2227" t="s">
        <v>2186</v>
      </c>
      <c r="D2227" t="s">
        <v>1</v>
      </c>
      <c r="E2227" t="s">
        <v>2</v>
      </c>
      <c r="F2227">
        <v>19000000</v>
      </c>
      <c r="G2227">
        <v>1989</v>
      </c>
      <c r="H2227">
        <v>6.8</v>
      </c>
    </row>
    <row r="2228" spans="1:8" x14ac:dyDescent="0.25">
      <c r="A2228">
        <v>116</v>
      </c>
      <c r="B2228">
        <v>210609762</v>
      </c>
      <c r="C2228" t="s">
        <v>2190</v>
      </c>
      <c r="D2228" t="s">
        <v>1</v>
      </c>
      <c r="E2228" t="s">
        <v>2</v>
      </c>
      <c r="F2228">
        <v>19000000</v>
      </c>
      <c r="G2228">
        <v>1985</v>
      </c>
      <c r="H2228">
        <v>8.5</v>
      </c>
    </row>
    <row r="2229" spans="1:8" x14ac:dyDescent="0.25">
      <c r="A2229">
        <v>93</v>
      </c>
      <c r="B2229">
        <v>40846082</v>
      </c>
      <c r="C2229" t="s">
        <v>2191</v>
      </c>
      <c r="D2229" t="s">
        <v>1</v>
      </c>
      <c r="E2229" t="s">
        <v>2</v>
      </c>
      <c r="F2229">
        <v>19000000</v>
      </c>
      <c r="G2229">
        <v>1999</v>
      </c>
      <c r="H2229">
        <v>5.6</v>
      </c>
    </row>
    <row r="2230" spans="1:8" x14ac:dyDescent="0.25">
      <c r="A2230">
        <v>101</v>
      </c>
      <c r="B2230">
        <v>27758465</v>
      </c>
      <c r="C2230" t="s">
        <v>2193</v>
      </c>
      <c r="D2230" t="s">
        <v>1</v>
      </c>
      <c r="E2230" t="s">
        <v>2</v>
      </c>
      <c r="F2230">
        <v>19000000</v>
      </c>
      <c r="G2230">
        <v>2010</v>
      </c>
      <c r="H2230">
        <v>6.1</v>
      </c>
    </row>
    <row r="2231" spans="1:8" x14ac:dyDescent="0.25">
      <c r="A2231">
        <v>85</v>
      </c>
      <c r="B2231">
        <v>15911333</v>
      </c>
      <c r="C2231" t="s">
        <v>2196</v>
      </c>
      <c r="D2231" t="s">
        <v>1</v>
      </c>
      <c r="E2231" t="s">
        <v>5</v>
      </c>
      <c r="F2231">
        <v>19000000</v>
      </c>
      <c r="G2231">
        <v>2000</v>
      </c>
      <c r="H2231">
        <v>3.6</v>
      </c>
    </row>
    <row r="2232" spans="1:8" x14ac:dyDescent="0.25">
      <c r="A2232">
        <v>125</v>
      </c>
      <c r="B2232">
        <v>10049886</v>
      </c>
      <c r="C2232" t="s">
        <v>2198</v>
      </c>
      <c r="D2232" t="s">
        <v>102</v>
      </c>
      <c r="E2232" t="s">
        <v>103</v>
      </c>
      <c r="F2232">
        <v>19000000</v>
      </c>
      <c r="G2232">
        <v>2001</v>
      </c>
      <c r="H2232">
        <v>8.6</v>
      </c>
    </row>
    <row r="2233" spans="1:8" x14ac:dyDescent="0.25">
      <c r="A2233">
        <v>131</v>
      </c>
      <c r="B2233">
        <v>21483154</v>
      </c>
      <c r="C2233" t="s">
        <v>2200</v>
      </c>
      <c r="D2233" t="s">
        <v>1</v>
      </c>
      <c r="E2233" t="s">
        <v>2</v>
      </c>
      <c r="F2233">
        <v>19000000</v>
      </c>
      <c r="G2233">
        <v>2013</v>
      </c>
      <c r="H2233">
        <v>7.6</v>
      </c>
    </row>
    <row r="2234" spans="1:8" x14ac:dyDescent="0.25">
      <c r="A2234">
        <v>129</v>
      </c>
      <c r="B2234">
        <v>8396942</v>
      </c>
      <c r="C2234" t="s">
        <v>2201</v>
      </c>
      <c r="D2234" t="s">
        <v>1</v>
      </c>
      <c r="E2234" t="s">
        <v>2</v>
      </c>
      <c r="F2234">
        <v>19000000</v>
      </c>
      <c r="G2234">
        <v>2008</v>
      </c>
      <c r="H2234">
        <v>6.5</v>
      </c>
    </row>
    <row r="2235" spans="1:8" x14ac:dyDescent="0.25">
      <c r="A2235">
        <v>100</v>
      </c>
      <c r="B2235">
        <v>12561</v>
      </c>
      <c r="C2235" t="s">
        <v>2202</v>
      </c>
      <c r="D2235" t="s">
        <v>1</v>
      </c>
      <c r="E2235" t="s">
        <v>2</v>
      </c>
      <c r="F2235">
        <v>19000000</v>
      </c>
      <c r="G2235">
        <v>2010</v>
      </c>
      <c r="H2235">
        <v>6.4</v>
      </c>
    </row>
    <row r="2236" spans="1:8" x14ac:dyDescent="0.25">
      <c r="A2236">
        <v>92</v>
      </c>
      <c r="B2236">
        <v>2119994</v>
      </c>
      <c r="C2236" t="s">
        <v>2204</v>
      </c>
      <c r="D2236" t="s">
        <v>1</v>
      </c>
      <c r="E2236" t="s">
        <v>2</v>
      </c>
      <c r="F2236">
        <v>19000000</v>
      </c>
      <c r="G2236">
        <v>1993</v>
      </c>
      <c r="H2236">
        <v>5.7</v>
      </c>
    </row>
    <row r="2237" spans="1:8" x14ac:dyDescent="0.25">
      <c r="A2237">
        <v>116</v>
      </c>
      <c r="B2237">
        <v>1292527</v>
      </c>
      <c r="C2237" t="s">
        <v>2205</v>
      </c>
      <c r="D2237" t="s">
        <v>1</v>
      </c>
      <c r="E2237" t="s">
        <v>244</v>
      </c>
      <c r="F2237">
        <v>19000000</v>
      </c>
      <c r="G2237">
        <v>1996</v>
      </c>
      <c r="H2237">
        <v>6.3</v>
      </c>
    </row>
    <row r="2238" spans="1:8" x14ac:dyDescent="0.25">
      <c r="A2238">
        <v>90</v>
      </c>
      <c r="B2238">
        <v>64255243</v>
      </c>
      <c r="C2238" t="s">
        <v>2207</v>
      </c>
      <c r="D2238" t="s">
        <v>1</v>
      </c>
      <c r="E2238" t="s">
        <v>2</v>
      </c>
      <c r="F2238">
        <v>19000000</v>
      </c>
      <c r="G2238">
        <v>2005</v>
      </c>
      <c r="H2238">
        <v>6</v>
      </c>
    </row>
    <row r="2239" spans="1:8" x14ac:dyDescent="0.25">
      <c r="A2239">
        <v>81</v>
      </c>
      <c r="B2239">
        <v>22245861</v>
      </c>
      <c r="C2239" t="s">
        <v>2208</v>
      </c>
      <c r="D2239" t="s">
        <v>1</v>
      </c>
      <c r="E2239" t="s">
        <v>2</v>
      </c>
      <c r="F2239">
        <v>19000000</v>
      </c>
      <c r="G2239">
        <v>2002</v>
      </c>
      <c r="H2239">
        <v>7.7</v>
      </c>
    </row>
    <row r="2240" spans="1:8" x14ac:dyDescent="0.25">
      <c r="A2240">
        <v>107</v>
      </c>
      <c r="B2240">
        <v>7156725</v>
      </c>
      <c r="C2240" t="s">
        <v>2316</v>
      </c>
      <c r="D2240" t="s">
        <v>1</v>
      </c>
      <c r="E2240" t="s">
        <v>2</v>
      </c>
      <c r="F2240">
        <v>19000000</v>
      </c>
      <c r="G2240">
        <v>2006</v>
      </c>
      <c r="H2240">
        <v>5.5</v>
      </c>
    </row>
    <row r="2241" spans="1:8" x14ac:dyDescent="0.25">
      <c r="A2241">
        <v>141</v>
      </c>
      <c r="B2241">
        <v>13753931</v>
      </c>
      <c r="C2241" t="s">
        <v>2601</v>
      </c>
      <c r="D2241" t="s">
        <v>102</v>
      </c>
      <c r="E2241" t="s">
        <v>2</v>
      </c>
      <c r="F2241">
        <v>19000000</v>
      </c>
      <c r="G2241">
        <v>2006</v>
      </c>
      <c r="H2241">
        <v>7.9</v>
      </c>
    </row>
    <row r="2242" spans="1:8" x14ac:dyDescent="0.25">
      <c r="A2242">
        <v>118</v>
      </c>
      <c r="B2242">
        <v>10562387</v>
      </c>
      <c r="C2242" t="s">
        <v>2210</v>
      </c>
      <c r="D2242" t="s">
        <v>1</v>
      </c>
      <c r="E2242" t="s">
        <v>2</v>
      </c>
      <c r="F2242">
        <v>18500000</v>
      </c>
      <c r="G2242">
        <v>1998</v>
      </c>
      <c r="H2242">
        <v>7.7</v>
      </c>
    </row>
    <row r="2243" spans="1:8" x14ac:dyDescent="0.25">
      <c r="A2243">
        <v>100</v>
      </c>
      <c r="B2243">
        <v>18439082</v>
      </c>
      <c r="C2243" t="s">
        <v>2211</v>
      </c>
      <c r="D2243" t="s">
        <v>1</v>
      </c>
      <c r="E2243" t="s">
        <v>2</v>
      </c>
      <c r="F2243">
        <v>18500000</v>
      </c>
      <c r="G2243">
        <v>2009</v>
      </c>
      <c r="H2243">
        <v>6.4</v>
      </c>
    </row>
    <row r="2244" spans="1:8" x14ac:dyDescent="0.25">
      <c r="A2244">
        <v>154</v>
      </c>
      <c r="B2244">
        <v>85200000</v>
      </c>
      <c r="C2244" t="s">
        <v>2290</v>
      </c>
      <c r="D2244" t="s">
        <v>1</v>
      </c>
      <c r="E2244" t="s">
        <v>2</v>
      </c>
      <c r="F2244">
        <v>18500000</v>
      </c>
      <c r="G2244">
        <v>1986</v>
      </c>
      <c r="H2244">
        <v>8.4</v>
      </c>
    </row>
    <row r="2245" spans="1:8" x14ac:dyDescent="0.25">
      <c r="A2245">
        <v>111</v>
      </c>
      <c r="B2245">
        <v>6462576</v>
      </c>
      <c r="C2245" t="s">
        <v>2342</v>
      </c>
      <c r="D2245" t="s">
        <v>1</v>
      </c>
      <c r="E2245" t="s">
        <v>2</v>
      </c>
      <c r="F2245">
        <v>18500000</v>
      </c>
      <c r="G2245">
        <v>2016</v>
      </c>
      <c r="H2245">
        <v>5.4</v>
      </c>
    </row>
    <row r="2246" spans="1:8" x14ac:dyDescent="0.25">
      <c r="A2246">
        <v>159</v>
      </c>
      <c r="B2246">
        <v>6498000</v>
      </c>
      <c r="C2246" t="s">
        <v>1274</v>
      </c>
      <c r="D2246" t="s">
        <v>1275</v>
      </c>
      <c r="E2246" t="s">
        <v>1013</v>
      </c>
      <c r="F2246">
        <v>18026148</v>
      </c>
      <c r="G2246">
        <v>2015</v>
      </c>
      <c r="H2246">
        <v>8.4</v>
      </c>
    </row>
    <row r="2247" spans="1:8" x14ac:dyDescent="0.25">
      <c r="A2247">
        <v>96</v>
      </c>
      <c r="B2247">
        <v>8742261</v>
      </c>
      <c r="C2247" t="s">
        <v>992</v>
      </c>
      <c r="D2247" t="s">
        <v>1</v>
      </c>
      <c r="E2247" t="s">
        <v>38</v>
      </c>
      <c r="F2247">
        <v>18000000</v>
      </c>
      <c r="G2247">
        <v>2009</v>
      </c>
      <c r="H2247">
        <v>3.7</v>
      </c>
    </row>
    <row r="2248" spans="1:8" x14ac:dyDescent="0.25">
      <c r="A2248">
        <v>122</v>
      </c>
      <c r="B2248">
        <v>26830000</v>
      </c>
      <c r="C2248" t="s">
        <v>1633</v>
      </c>
      <c r="D2248" t="s">
        <v>1</v>
      </c>
      <c r="E2248" t="s">
        <v>2</v>
      </c>
      <c r="F2248">
        <v>18000000</v>
      </c>
      <c r="G2248">
        <v>1989</v>
      </c>
      <c r="H2248">
        <v>7.9</v>
      </c>
    </row>
    <row r="2249" spans="1:8" x14ac:dyDescent="0.25">
      <c r="A2249">
        <v>131</v>
      </c>
      <c r="B2249">
        <v>3752725</v>
      </c>
      <c r="C2249" t="s">
        <v>1636</v>
      </c>
      <c r="D2249" t="s">
        <v>1</v>
      </c>
      <c r="E2249" t="s">
        <v>2</v>
      </c>
      <c r="F2249">
        <v>18000000</v>
      </c>
      <c r="G2249">
        <v>2004</v>
      </c>
      <c r="H2249">
        <v>7.1</v>
      </c>
    </row>
    <row r="2250" spans="1:8" x14ac:dyDescent="0.25">
      <c r="A2250">
        <v>121</v>
      </c>
      <c r="B2250">
        <v>127437</v>
      </c>
      <c r="C2250" t="s">
        <v>1642</v>
      </c>
      <c r="D2250" t="s">
        <v>326</v>
      </c>
      <c r="E2250" t="s">
        <v>142</v>
      </c>
      <c r="F2250">
        <v>18000000</v>
      </c>
      <c r="G2250">
        <v>2011</v>
      </c>
      <c r="H2250">
        <v>6</v>
      </c>
    </row>
    <row r="2251" spans="1:8" x14ac:dyDescent="0.25">
      <c r="A2251">
        <v>127</v>
      </c>
      <c r="B2251">
        <v>290158751</v>
      </c>
      <c r="C2251" t="s">
        <v>1927</v>
      </c>
      <c r="D2251" t="s">
        <v>1</v>
      </c>
      <c r="E2251" t="s">
        <v>2</v>
      </c>
      <c r="F2251">
        <v>18000000</v>
      </c>
      <c r="G2251">
        <v>1980</v>
      </c>
      <c r="H2251">
        <v>8.8000000000000007</v>
      </c>
    </row>
    <row r="2252" spans="1:8" x14ac:dyDescent="0.25">
      <c r="A2252">
        <v>115</v>
      </c>
      <c r="B2252">
        <v>242374454</v>
      </c>
      <c r="C2252" t="s">
        <v>2015</v>
      </c>
      <c r="D2252" t="s">
        <v>1</v>
      </c>
      <c r="E2252" t="s">
        <v>2</v>
      </c>
      <c r="F2252">
        <v>18000000</v>
      </c>
      <c r="G2252">
        <v>1981</v>
      </c>
      <c r="H2252">
        <v>8.5</v>
      </c>
    </row>
    <row r="2253" spans="1:8" x14ac:dyDescent="0.25">
      <c r="A2253">
        <v>120</v>
      </c>
      <c r="B2253">
        <v>173585516</v>
      </c>
      <c r="C2253" t="s">
        <v>2016</v>
      </c>
      <c r="D2253" t="s">
        <v>1</v>
      </c>
      <c r="E2253" t="s">
        <v>2</v>
      </c>
      <c r="F2253">
        <v>18000000</v>
      </c>
      <c r="G2253">
        <v>1992</v>
      </c>
      <c r="H2253">
        <v>6.6</v>
      </c>
    </row>
    <row r="2254" spans="1:8" x14ac:dyDescent="0.25">
      <c r="A2254">
        <v>101</v>
      </c>
      <c r="B2254">
        <v>70360285</v>
      </c>
      <c r="C2254" t="s">
        <v>2030</v>
      </c>
      <c r="D2254" t="s">
        <v>1</v>
      </c>
      <c r="E2254" t="s">
        <v>2</v>
      </c>
      <c r="F2254">
        <v>18000000</v>
      </c>
      <c r="G2254">
        <v>1995</v>
      </c>
      <c r="H2254">
        <v>5.8</v>
      </c>
    </row>
    <row r="2255" spans="1:8" x14ac:dyDescent="0.25">
      <c r="A2255">
        <v>95</v>
      </c>
      <c r="B2255">
        <v>56127162</v>
      </c>
      <c r="C2255" t="s">
        <v>2194</v>
      </c>
      <c r="D2255" t="s">
        <v>1</v>
      </c>
      <c r="E2255" t="s">
        <v>2</v>
      </c>
      <c r="F2255">
        <v>18000000</v>
      </c>
      <c r="G2255">
        <v>2003</v>
      </c>
      <c r="H2255">
        <v>5.4</v>
      </c>
    </row>
    <row r="2256" spans="1:8" x14ac:dyDescent="0.25">
      <c r="A2256">
        <v>97</v>
      </c>
      <c r="B2256">
        <v>150056505</v>
      </c>
      <c r="C2256" t="s">
        <v>2212</v>
      </c>
      <c r="D2256" t="s">
        <v>1</v>
      </c>
      <c r="E2256" t="s">
        <v>2</v>
      </c>
      <c r="F2256">
        <v>18000000</v>
      </c>
      <c r="G2256">
        <v>2014</v>
      </c>
      <c r="H2256">
        <v>6.4</v>
      </c>
    </row>
    <row r="2257" spans="1:8" x14ac:dyDescent="0.25">
      <c r="A2257">
        <v>114</v>
      </c>
      <c r="B2257">
        <v>119938730</v>
      </c>
      <c r="C2257" t="s">
        <v>2213</v>
      </c>
      <c r="D2257" t="s">
        <v>1</v>
      </c>
      <c r="E2257" t="s">
        <v>2</v>
      </c>
      <c r="F2257">
        <v>18000000</v>
      </c>
      <c r="G2257">
        <v>1994</v>
      </c>
      <c r="H2257">
        <v>6.9</v>
      </c>
    </row>
    <row r="2258" spans="1:8" x14ac:dyDescent="0.25">
      <c r="A2258">
        <v>130</v>
      </c>
      <c r="B2258">
        <v>114968774</v>
      </c>
      <c r="C2258" t="s">
        <v>2214</v>
      </c>
      <c r="D2258" t="s">
        <v>1</v>
      </c>
      <c r="E2258" t="s">
        <v>2</v>
      </c>
      <c r="F2258">
        <v>18000000</v>
      </c>
      <c r="G2258">
        <v>1988</v>
      </c>
      <c r="H2258">
        <v>7.3</v>
      </c>
    </row>
    <row r="2259" spans="1:8" x14ac:dyDescent="0.25">
      <c r="A2259">
        <v>82</v>
      </c>
      <c r="B2259">
        <v>128505958</v>
      </c>
      <c r="C2259" t="s">
        <v>2215</v>
      </c>
      <c r="D2259" t="s">
        <v>1</v>
      </c>
      <c r="E2259" t="s">
        <v>2</v>
      </c>
      <c r="F2259">
        <v>18000000</v>
      </c>
      <c r="G2259">
        <v>2006</v>
      </c>
      <c r="H2259">
        <v>7.3</v>
      </c>
    </row>
    <row r="2260" spans="1:8" x14ac:dyDescent="0.25">
      <c r="A2260">
        <v>96</v>
      </c>
      <c r="B2260">
        <v>95001351</v>
      </c>
      <c r="C2260" t="s">
        <v>2216</v>
      </c>
      <c r="D2260" t="s">
        <v>1</v>
      </c>
      <c r="E2260" t="s">
        <v>2</v>
      </c>
      <c r="F2260">
        <v>18000000</v>
      </c>
      <c r="G2260">
        <v>2001</v>
      </c>
      <c r="H2260">
        <v>6.2</v>
      </c>
    </row>
    <row r="2261" spans="1:8" x14ac:dyDescent="0.25">
      <c r="A2261">
        <v>106</v>
      </c>
      <c r="B2261">
        <v>64955956</v>
      </c>
      <c r="C2261" t="s">
        <v>2222</v>
      </c>
      <c r="D2261" t="s">
        <v>1</v>
      </c>
      <c r="E2261" t="s">
        <v>2</v>
      </c>
      <c r="F2261">
        <v>18000000</v>
      </c>
      <c r="G2261">
        <v>2004</v>
      </c>
      <c r="H2261">
        <v>5.7</v>
      </c>
    </row>
    <row r="2262" spans="1:8" x14ac:dyDescent="0.25">
      <c r="A2262">
        <v>98</v>
      </c>
      <c r="B2262">
        <v>60057639</v>
      </c>
      <c r="C2262" t="s">
        <v>2223</v>
      </c>
      <c r="D2262" t="s">
        <v>1</v>
      </c>
      <c r="E2262" t="s">
        <v>2</v>
      </c>
      <c r="F2262">
        <v>18000000</v>
      </c>
      <c r="G2262">
        <v>2003</v>
      </c>
      <c r="H2262">
        <v>7.1</v>
      </c>
    </row>
    <row r="2263" spans="1:8" x14ac:dyDescent="0.25">
      <c r="A2263">
        <v>94</v>
      </c>
      <c r="B2263">
        <v>59573085</v>
      </c>
      <c r="C2263" t="s">
        <v>2225</v>
      </c>
      <c r="D2263" t="s">
        <v>1</v>
      </c>
      <c r="E2263" t="s">
        <v>2</v>
      </c>
      <c r="F2263">
        <v>18000000</v>
      </c>
      <c r="G2263">
        <v>2016</v>
      </c>
      <c r="H2263">
        <v>6.1</v>
      </c>
    </row>
    <row r="2264" spans="1:8" x14ac:dyDescent="0.25">
      <c r="A2264">
        <v>180</v>
      </c>
      <c r="B2264">
        <v>51600000</v>
      </c>
      <c r="C2264" t="s">
        <v>2228</v>
      </c>
      <c r="D2264" t="s">
        <v>1</v>
      </c>
      <c r="E2264" t="s">
        <v>2</v>
      </c>
      <c r="F2264">
        <v>18000000</v>
      </c>
      <c r="G2264">
        <v>1984</v>
      </c>
      <c r="H2264">
        <v>8.3000000000000007</v>
      </c>
    </row>
    <row r="2265" spans="1:8" x14ac:dyDescent="0.25">
      <c r="A2265">
        <v>113</v>
      </c>
      <c r="B2265">
        <v>43601508</v>
      </c>
      <c r="C2265" t="s">
        <v>2231</v>
      </c>
      <c r="D2265" t="s">
        <v>1</v>
      </c>
      <c r="E2265" t="s">
        <v>2</v>
      </c>
      <c r="F2265">
        <v>18000000</v>
      </c>
      <c r="G2265">
        <v>2003</v>
      </c>
      <c r="H2265">
        <v>6.7</v>
      </c>
    </row>
    <row r="2266" spans="1:8" x14ac:dyDescent="0.25">
      <c r="A2266">
        <v>103</v>
      </c>
      <c r="B2266">
        <v>41382841</v>
      </c>
      <c r="C2266" t="s">
        <v>2233</v>
      </c>
      <c r="D2266" t="s">
        <v>1</v>
      </c>
      <c r="E2266" t="s">
        <v>2</v>
      </c>
      <c r="F2266">
        <v>18000000</v>
      </c>
      <c r="G2266">
        <v>1986</v>
      </c>
      <c r="H2266">
        <v>6.3</v>
      </c>
    </row>
    <row r="2267" spans="1:8" x14ac:dyDescent="0.25">
      <c r="A2267">
        <v>119</v>
      </c>
      <c r="B2267">
        <v>42335698</v>
      </c>
      <c r="C2267" t="s">
        <v>2234</v>
      </c>
      <c r="D2267" t="s">
        <v>1</v>
      </c>
      <c r="E2267" t="s">
        <v>2</v>
      </c>
      <c r="F2267">
        <v>18000000</v>
      </c>
      <c r="G2267">
        <v>2014</v>
      </c>
      <c r="H2267">
        <v>7.8</v>
      </c>
    </row>
    <row r="2268" spans="1:8" x14ac:dyDescent="0.25">
      <c r="A2268">
        <v>98</v>
      </c>
      <c r="B2268">
        <v>33404871</v>
      </c>
      <c r="C2268" t="s">
        <v>2235</v>
      </c>
      <c r="D2268" t="s">
        <v>1</v>
      </c>
      <c r="E2268" t="s">
        <v>2</v>
      </c>
      <c r="F2268">
        <v>18000000</v>
      </c>
      <c r="G2268">
        <v>2013</v>
      </c>
      <c r="H2268">
        <v>7.3</v>
      </c>
    </row>
    <row r="2269" spans="1:8" x14ac:dyDescent="0.25">
      <c r="A2269">
        <v>122</v>
      </c>
      <c r="B2269">
        <v>26830000</v>
      </c>
      <c r="C2269" t="s">
        <v>1633</v>
      </c>
      <c r="D2269" t="s">
        <v>1</v>
      </c>
      <c r="E2269" t="s">
        <v>2</v>
      </c>
      <c r="F2269">
        <v>18000000</v>
      </c>
      <c r="G2269">
        <v>1989</v>
      </c>
      <c r="H2269">
        <v>7.9</v>
      </c>
    </row>
    <row r="2270" spans="1:8" x14ac:dyDescent="0.25">
      <c r="A2270">
        <v>81</v>
      </c>
      <c r="B2270">
        <v>26906039</v>
      </c>
      <c r="C2270" t="s">
        <v>2238</v>
      </c>
      <c r="D2270" t="s">
        <v>1</v>
      </c>
      <c r="E2270" t="s">
        <v>2</v>
      </c>
      <c r="F2270">
        <v>18000000</v>
      </c>
      <c r="G2270">
        <v>1996</v>
      </c>
      <c r="H2270">
        <v>5.3</v>
      </c>
    </row>
    <row r="2271" spans="1:8" x14ac:dyDescent="0.25">
      <c r="A2271">
        <v>106</v>
      </c>
      <c r="B2271">
        <v>43853424</v>
      </c>
      <c r="C2271" t="s">
        <v>2240</v>
      </c>
      <c r="D2271" t="s">
        <v>1</v>
      </c>
      <c r="E2271" t="s">
        <v>2</v>
      </c>
      <c r="F2271">
        <v>18000000</v>
      </c>
      <c r="G2271">
        <v>2011</v>
      </c>
      <c r="H2271">
        <v>7.1</v>
      </c>
    </row>
    <row r="2272" spans="1:8" x14ac:dyDescent="0.25">
      <c r="A2272">
        <v>86</v>
      </c>
      <c r="B2272">
        <v>23993605</v>
      </c>
      <c r="C2272" t="s">
        <v>2241</v>
      </c>
      <c r="D2272" t="s">
        <v>1</v>
      </c>
      <c r="E2272" t="s">
        <v>2</v>
      </c>
      <c r="F2272">
        <v>18000000</v>
      </c>
      <c r="G2272">
        <v>2009</v>
      </c>
      <c r="H2272">
        <v>5.8</v>
      </c>
    </row>
    <row r="2273" spans="1:8" x14ac:dyDescent="0.25">
      <c r="A2273">
        <v>103</v>
      </c>
      <c r="B2273">
        <v>26400000</v>
      </c>
      <c r="C2273" t="s">
        <v>2242</v>
      </c>
      <c r="D2273" t="s">
        <v>1</v>
      </c>
      <c r="E2273" t="s">
        <v>2</v>
      </c>
      <c r="F2273">
        <v>18000000</v>
      </c>
      <c r="G2273">
        <v>1984</v>
      </c>
      <c r="H2273">
        <v>5.8</v>
      </c>
    </row>
    <row r="2274" spans="1:8" x14ac:dyDescent="0.25">
      <c r="A2274">
        <v>121</v>
      </c>
      <c r="B2274">
        <v>45250</v>
      </c>
      <c r="C2274" t="s">
        <v>2243</v>
      </c>
      <c r="D2274" t="s">
        <v>1</v>
      </c>
      <c r="E2274" t="s">
        <v>2</v>
      </c>
      <c r="F2274">
        <v>18000000</v>
      </c>
      <c r="G2274">
        <v>1980</v>
      </c>
      <c r="H2274">
        <v>8.3000000000000007</v>
      </c>
    </row>
    <row r="2275" spans="1:8" x14ac:dyDescent="0.25">
      <c r="A2275">
        <v>109</v>
      </c>
      <c r="B2275">
        <v>22927390</v>
      </c>
      <c r="C2275" t="s">
        <v>2244</v>
      </c>
      <c r="D2275" t="s">
        <v>1</v>
      </c>
      <c r="E2275" t="s">
        <v>2</v>
      </c>
      <c r="F2275">
        <v>18000000</v>
      </c>
      <c r="G2275">
        <v>2009</v>
      </c>
      <c r="H2275">
        <v>5.6</v>
      </c>
    </row>
    <row r="2276" spans="1:8" x14ac:dyDescent="0.25">
      <c r="A2276">
        <v>109</v>
      </c>
      <c r="B2276">
        <v>4250320</v>
      </c>
      <c r="C2276" t="s">
        <v>2245</v>
      </c>
      <c r="D2276" t="s">
        <v>1</v>
      </c>
      <c r="E2276" t="s">
        <v>2</v>
      </c>
      <c r="F2276">
        <v>18000000</v>
      </c>
      <c r="G2276">
        <v>1985</v>
      </c>
      <c r="H2276">
        <v>6.8</v>
      </c>
    </row>
    <row r="2277" spans="1:8" x14ac:dyDescent="0.25">
      <c r="A2277">
        <v>123</v>
      </c>
      <c r="B2277">
        <v>22452209</v>
      </c>
      <c r="C2277" t="s">
        <v>2246</v>
      </c>
      <c r="D2277" t="s">
        <v>1</v>
      </c>
      <c r="E2277" t="s">
        <v>2</v>
      </c>
      <c r="F2277">
        <v>18000000</v>
      </c>
      <c r="G2277">
        <v>2009</v>
      </c>
      <c r="H2277">
        <v>5</v>
      </c>
    </row>
    <row r="2278" spans="1:8" x14ac:dyDescent="0.25">
      <c r="A2278">
        <v>94</v>
      </c>
      <c r="B2278">
        <v>18329466</v>
      </c>
      <c r="C2278" t="s">
        <v>2247</v>
      </c>
      <c r="D2278" t="s">
        <v>1</v>
      </c>
      <c r="E2278" t="s">
        <v>2</v>
      </c>
      <c r="F2278">
        <v>18000000</v>
      </c>
      <c r="G2278">
        <v>2010</v>
      </c>
      <c r="H2278">
        <v>7.6</v>
      </c>
    </row>
    <row r="2279" spans="1:8" x14ac:dyDescent="0.25">
      <c r="A2279">
        <v>94</v>
      </c>
      <c r="B2279">
        <v>17071230</v>
      </c>
      <c r="C2279" t="s">
        <v>2248</v>
      </c>
      <c r="D2279" t="s">
        <v>1</v>
      </c>
      <c r="E2279" t="s">
        <v>2</v>
      </c>
      <c r="F2279">
        <v>18000000</v>
      </c>
      <c r="G2279">
        <v>2000</v>
      </c>
      <c r="H2279">
        <v>6.7</v>
      </c>
    </row>
    <row r="2280" spans="1:8" x14ac:dyDescent="0.25">
      <c r="A2280">
        <v>115</v>
      </c>
      <c r="B2280">
        <v>17174870</v>
      </c>
      <c r="C2280" t="s">
        <v>2249</v>
      </c>
      <c r="D2280" t="s">
        <v>1</v>
      </c>
      <c r="E2280" t="s">
        <v>2</v>
      </c>
      <c r="F2280">
        <v>18000000</v>
      </c>
      <c r="G2280">
        <v>2000</v>
      </c>
      <c r="H2280">
        <v>6.7</v>
      </c>
    </row>
    <row r="2281" spans="1:8" x14ac:dyDescent="0.25">
      <c r="A2281">
        <v>91</v>
      </c>
      <c r="B2281">
        <v>16702864</v>
      </c>
      <c r="C2281" t="s">
        <v>2251</v>
      </c>
      <c r="D2281" t="s">
        <v>1</v>
      </c>
      <c r="E2281" t="s">
        <v>2</v>
      </c>
      <c r="F2281">
        <v>18000000</v>
      </c>
      <c r="G2281">
        <v>2004</v>
      </c>
      <c r="H2281">
        <v>5.2</v>
      </c>
    </row>
    <row r="2282" spans="1:8" x14ac:dyDescent="0.25">
      <c r="A2282">
        <v>125</v>
      </c>
      <c r="B2282">
        <v>15561627</v>
      </c>
      <c r="C2282" t="s">
        <v>2252</v>
      </c>
      <c r="D2282" t="s">
        <v>1</v>
      </c>
      <c r="E2282" t="s">
        <v>2</v>
      </c>
      <c r="F2282">
        <v>18000000</v>
      </c>
      <c r="G2282">
        <v>2001</v>
      </c>
      <c r="H2282">
        <v>7.5</v>
      </c>
    </row>
    <row r="2283" spans="1:8" x14ac:dyDescent="0.25">
      <c r="A2283">
        <v>102</v>
      </c>
      <c r="B2283">
        <v>14793904</v>
      </c>
      <c r="C2283" t="s">
        <v>2254</v>
      </c>
      <c r="D2283" t="s">
        <v>1</v>
      </c>
      <c r="E2283" t="s">
        <v>38</v>
      </c>
      <c r="F2283">
        <v>18000000</v>
      </c>
      <c r="G2283">
        <v>2009</v>
      </c>
      <c r="H2283">
        <v>5.3</v>
      </c>
    </row>
    <row r="2284" spans="1:8" x14ac:dyDescent="0.25">
      <c r="A2284">
        <v>90</v>
      </c>
      <c r="B2284">
        <v>15281286</v>
      </c>
      <c r="C2284" t="s">
        <v>2255</v>
      </c>
      <c r="D2284" t="s">
        <v>1</v>
      </c>
      <c r="E2284" t="s">
        <v>2</v>
      </c>
      <c r="F2284">
        <v>18000000</v>
      </c>
      <c r="G2284">
        <v>2009</v>
      </c>
      <c r="H2284">
        <v>6.5</v>
      </c>
    </row>
    <row r="2285" spans="1:8" x14ac:dyDescent="0.25">
      <c r="A2285">
        <v>98</v>
      </c>
      <c r="B2285">
        <v>8000000</v>
      </c>
      <c r="C2285" t="s">
        <v>2256</v>
      </c>
      <c r="D2285" t="s">
        <v>1</v>
      </c>
      <c r="E2285" t="s">
        <v>2</v>
      </c>
      <c r="F2285">
        <v>18000000</v>
      </c>
      <c r="G2285">
        <v>1981</v>
      </c>
      <c r="H2285">
        <v>5</v>
      </c>
    </row>
    <row r="2286" spans="1:8" x14ac:dyDescent="0.25">
      <c r="A2286">
        <v>109</v>
      </c>
      <c r="B2286">
        <v>13491653</v>
      </c>
      <c r="C2286" t="s">
        <v>2257</v>
      </c>
      <c r="D2286" t="s">
        <v>1</v>
      </c>
      <c r="E2286" t="s">
        <v>2</v>
      </c>
      <c r="F2286">
        <v>18000000</v>
      </c>
      <c r="G2286">
        <v>2001</v>
      </c>
      <c r="H2286">
        <v>6.1</v>
      </c>
    </row>
    <row r="2287" spans="1:8" x14ac:dyDescent="0.25">
      <c r="A2287">
        <v>90</v>
      </c>
      <c r="B2287">
        <v>10494494</v>
      </c>
      <c r="C2287" t="s">
        <v>2258</v>
      </c>
      <c r="D2287" t="s">
        <v>1</v>
      </c>
      <c r="E2287" t="s">
        <v>2</v>
      </c>
      <c r="F2287">
        <v>18000000</v>
      </c>
      <c r="G2287">
        <v>2013</v>
      </c>
      <c r="H2287">
        <v>4.4000000000000004</v>
      </c>
    </row>
    <row r="2288" spans="1:8" x14ac:dyDescent="0.25">
      <c r="A2288">
        <v>112</v>
      </c>
      <c r="B2288">
        <v>7837632</v>
      </c>
      <c r="C2288" t="s">
        <v>2259</v>
      </c>
      <c r="D2288" t="s">
        <v>1</v>
      </c>
      <c r="E2288" t="s">
        <v>2</v>
      </c>
      <c r="F2288">
        <v>18000000</v>
      </c>
      <c r="G2288">
        <v>1997</v>
      </c>
      <c r="H2288">
        <v>7.5</v>
      </c>
    </row>
    <row r="2289" spans="1:8" x14ac:dyDescent="0.25">
      <c r="A2289">
        <v>94</v>
      </c>
      <c r="B2289">
        <v>15155772</v>
      </c>
      <c r="C2289" t="s">
        <v>2260</v>
      </c>
      <c r="D2289" t="s">
        <v>1</v>
      </c>
      <c r="E2289" t="s">
        <v>2</v>
      </c>
      <c r="F2289">
        <v>18000000</v>
      </c>
      <c r="G2289">
        <v>2014</v>
      </c>
      <c r="H2289">
        <v>5.7</v>
      </c>
    </row>
    <row r="2290" spans="1:8" x14ac:dyDescent="0.25">
      <c r="A2290">
        <v>105</v>
      </c>
      <c r="B2290">
        <v>8508843</v>
      </c>
      <c r="C2290" t="s">
        <v>2261</v>
      </c>
      <c r="D2290" t="s">
        <v>1</v>
      </c>
      <c r="E2290" t="s">
        <v>2</v>
      </c>
      <c r="F2290">
        <v>18000000</v>
      </c>
      <c r="G2290">
        <v>1989</v>
      </c>
      <c r="H2290">
        <v>5.5</v>
      </c>
    </row>
    <row r="2291" spans="1:8" x14ac:dyDescent="0.25">
      <c r="A2291">
        <v>104</v>
      </c>
      <c r="B2291">
        <v>7739049</v>
      </c>
      <c r="C2291" t="s">
        <v>2262</v>
      </c>
      <c r="D2291" t="s">
        <v>1</v>
      </c>
      <c r="E2291" t="s">
        <v>38</v>
      </c>
      <c r="F2291">
        <v>18000000</v>
      </c>
      <c r="G2291">
        <v>2004</v>
      </c>
      <c r="H2291">
        <v>7.1</v>
      </c>
    </row>
    <row r="2292" spans="1:8" x14ac:dyDescent="0.25">
      <c r="A2292">
        <v>108</v>
      </c>
      <c r="B2292">
        <v>6000000</v>
      </c>
      <c r="C2292" t="s">
        <v>2264</v>
      </c>
      <c r="D2292" t="s">
        <v>1</v>
      </c>
      <c r="E2292" t="s">
        <v>2</v>
      </c>
      <c r="F2292">
        <v>18000000</v>
      </c>
      <c r="G2292">
        <v>1981</v>
      </c>
      <c r="H2292">
        <v>6.7</v>
      </c>
    </row>
    <row r="2293" spans="1:8" x14ac:dyDescent="0.25">
      <c r="A2293">
        <v>127</v>
      </c>
      <c r="B2293">
        <v>5887457</v>
      </c>
      <c r="C2293" t="s">
        <v>2266</v>
      </c>
      <c r="D2293" t="s">
        <v>1</v>
      </c>
      <c r="E2293" t="s">
        <v>2</v>
      </c>
      <c r="F2293">
        <v>18000000</v>
      </c>
      <c r="G2293">
        <v>1994</v>
      </c>
      <c r="H2293">
        <v>7.9</v>
      </c>
    </row>
    <row r="2294" spans="1:8" x14ac:dyDescent="0.25">
      <c r="A2294">
        <v>111</v>
      </c>
      <c r="B2294">
        <v>13362308</v>
      </c>
      <c r="C2294" t="s">
        <v>2267</v>
      </c>
      <c r="D2294" t="s">
        <v>1</v>
      </c>
      <c r="E2294" t="s">
        <v>2</v>
      </c>
      <c r="F2294">
        <v>18000000</v>
      </c>
      <c r="G2294">
        <v>2013</v>
      </c>
      <c r="H2294">
        <v>6.9</v>
      </c>
    </row>
    <row r="2295" spans="1:8" x14ac:dyDescent="0.25">
      <c r="A2295">
        <v>114</v>
      </c>
      <c r="B2295">
        <v>5694401</v>
      </c>
      <c r="C2295" t="s">
        <v>2270</v>
      </c>
      <c r="D2295" t="s">
        <v>1</v>
      </c>
      <c r="E2295" t="s">
        <v>5</v>
      </c>
      <c r="F2295">
        <v>18000000</v>
      </c>
      <c r="G2295">
        <v>2008</v>
      </c>
      <c r="H2295">
        <v>7.3</v>
      </c>
    </row>
    <row r="2296" spans="1:8" x14ac:dyDescent="0.25">
      <c r="A2296">
        <v>150</v>
      </c>
      <c r="B2296">
        <v>4414535</v>
      </c>
      <c r="C2296" t="s">
        <v>2272</v>
      </c>
      <c r="D2296" t="s">
        <v>1</v>
      </c>
      <c r="E2296" t="s">
        <v>5</v>
      </c>
      <c r="F2296">
        <v>18000000</v>
      </c>
      <c r="G2296">
        <v>1996</v>
      </c>
      <c r="H2296">
        <v>7.8</v>
      </c>
    </row>
    <row r="2297" spans="1:8" x14ac:dyDescent="0.25">
      <c r="A2297">
        <v>112</v>
      </c>
      <c r="B2297">
        <v>3707794</v>
      </c>
      <c r="C2297" t="s">
        <v>2273</v>
      </c>
      <c r="D2297" t="s">
        <v>1</v>
      </c>
      <c r="E2297" t="s">
        <v>2274</v>
      </c>
      <c r="F2297">
        <v>18000000</v>
      </c>
      <c r="G2297">
        <v>2016</v>
      </c>
      <c r="H2297">
        <v>6.7</v>
      </c>
    </row>
    <row r="2298" spans="1:8" x14ac:dyDescent="0.25">
      <c r="A2298">
        <v>108</v>
      </c>
      <c r="B2298">
        <v>3203044</v>
      </c>
      <c r="C2298" t="s">
        <v>2275</v>
      </c>
      <c r="D2298" t="s">
        <v>1</v>
      </c>
      <c r="E2298" t="s">
        <v>2</v>
      </c>
      <c r="F2298">
        <v>18000000</v>
      </c>
      <c r="G2298">
        <v>2003</v>
      </c>
      <c r="H2298">
        <v>6.4</v>
      </c>
    </row>
    <row r="2299" spans="1:8" x14ac:dyDescent="0.25">
      <c r="A2299">
        <v>116</v>
      </c>
      <c r="B2299">
        <v>4435083</v>
      </c>
      <c r="C2299" t="s">
        <v>2276</v>
      </c>
      <c r="D2299" t="s">
        <v>1</v>
      </c>
      <c r="E2299" t="s">
        <v>55</v>
      </c>
      <c r="F2299">
        <v>18000000</v>
      </c>
      <c r="G2299">
        <v>2013</v>
      </c>
      <c r="H2299">
        <v>7.1</v>
      </c>
    </row>
    <row r="2300" spans="1:8" x14ac:dyDescent="0.25">
      <c r="A2300">
        <v>103</v>
      </c>
      <c r="B2300">
        <v>676698</v>
      </c>
      <c r="C2300" t="s">
        <v>2279</v>
      </c>
      <c r="D2300" t="s">
        <v>1</v>
      </c>
      <c r="E2300" t="s">
        <v>2</v>
      </c>
      <c r="F2300">
        <v>18000000</v>
      </c>
      <c r="G2300">
        <v>2002</v>
      </c>
      <c r="H2300">
        <v>7.2</v>
      </c>
    </row>
    <row r="2301" spans="1:8" x14ac:dyDescent="0.25">
      <c r="A2301">
        <v>103</v>
      </c>
      <c r="B2301">
        <v>285761243</v>
      </c>
      <c r="C2301" t="s">
        <v>2385</v>
      </c>
      <c r="D2301" t="s">
        <v>1</v>
      </c>
      <c r="E2301" t="s">
        <v>2</v>
      </c>
      <c r="F2301">
        <v>18000000</v>
      </c>
      <c r="G2301">
        <v>1990</v>
      </c>
      <c r="H2301">
        <v>7.5</v>
      </c>
    </row>
    <row r="2302" spans="1:8" x14ac:dyDescent="0.25">
      <c r="A2302">
        <v>97</v>
      </c>
      <c r="B2302">
        <v>27141959</v>
      </c>
      <c r="C2302" t="s">
        <v>2590</v>
      </c>
      <c r="D2302" t="s">
        <v>1</v>
      </c>
      <c r="E2302" t="s">
        <v>2</v>
      </c>
      <c r="F2302">
        <v>18000000</v>
      </c>
      <c r="G2302">
        <v>1999</v>
      </c>
      <c r="H2302">
        <v>2.5</v>
      </c>
    </row>
    <row r="2303" spans="1:8" x14ac:dyDescent="0.25">
      <c r="A2303">
        <v>126</v>
      </c>
      <c r="B2303">
        <v>25592632</v>
      </c>
      <c r="C2303" t="s">
        <v>2595</v>
      </c>
      <c r="D2303" t="s">
        <v>1</v>
      </c>
      <c r="E2303" t="s">
        <v>2</v>
      </c>
      <c r="F2303">
        <v>18000000</v>
      </c>
      <c r="G2303">
        <v>2007</v>
      </c>
      <c r="H2303">
        <v>7.2</v>
      </c>
    </row>
    <row r="2304" spans="1:8" x14ac:dyDescent="0.25">
      <c r="A2304">
        <v>150</v>
      </c>
      <c r="B2304">
        <v>4414535</v>
      </c>
      <c r="C2304" t="s">
        <v>2272</v>
      </c>
      <c r="D2304" t="s">
        <v>1</v>
      </c>
      <c r="E2304" t="s">
        <v>5</v>
      </c>
      <c r="F2304">
        <v>18000000</v>
      </c>
      <c r="G2304">
        <v>1996</v>
      </c>
      <c r="H2304">
        <v>7.8</v>
      </c>
    </row>
    <row r="2305" spans="1:8" x14ac:dyDescent="0.25">
      <c r="A2305">
        <v>91</v>
      </c>
      <c r="B2305">
        <v>27087695</v>
      </c>
      <c r="C2305" t="s">
        <v>2348</v>
      </c>
      <c r="D2305" t="s">
        <v>1</v>
      </c>
      <c r="E2305" t="s">
        <v>2</v>
      </c>
      <c r="F2305">
        <v>17700000</v>
      </c>
      <c r="G2305">
        <v>2001</v>
      </c>
      <c r="H2305">
        <v>5.9</v>
      </c>
    </row>
    <row r="2306" spans="1:8" x14ac:dyDescent="0.25">
      <c r="A2306">
        <v>80</v>
      </c>
      <c r="B2306">
        <v>51053787</v>
      </c>
      <c r="C2306" t="s">
        <v>2284</v>
      </c>
      <c r="D2306" t="s">
        <v>1</v>
      </c>
      <c r="E2306" t="s">
        <v>2</v>
      </c>
      <c r="F2306">
        <v>17500000</v>
      </c>
      <c r="G2306">
        <v>2005</v>
      </c>
      <c r="H2306">
        <v>6.5</v>
      </c>
    </row>
    <row r="2307" spans="1:8" x14ac:dyDescent="0.25">
      <c r="A2307">
        <v>121</v>
      </c>
      <c r="B2307">
        <v>23472900</v>
      </c>
      <c r="C2307" t="s">
        <v>2285</v>
      </c>
      <c r="D2307" t="s">
        <v>1</v>
      </c>
      <c r="E2307" t="s">
        <v>5</v>
      </c>
      <c r="F2307">
        <v>17500000</v>
      </c>
      <c r="G2307">
        <v>2004</v>
      </c>
      <c r="H2307">
        <v>8.1</v>
      </c>
    </row>
    <row r="2308" spans="1:8" x14ac:dyDescent="0.25">
      <c r="A2308">
        <v>93</v>
      </c>
      <c r="B2308">
        <v>7017178</v>
      </c>
      <c r="C2308" t="s">
        <v>2287</v>
      </c>
      <c r="D2308" t="s">
        <v>1</v>
      </c>
      <c r="E2308" t="s">
        <v>2</v>
      </c>
      <c r="F2308">
        <v>17500000</v>
      </c>
      <c r="G2308">
        <v>2013</v>
      </c>
      <c r="H2308">
        <v>4.4000000000000004</v>
      </c>
    </row>
    <row r="2309" spans="1:8" x14ac:dyDescent="0.25">
      <c r="A2309">
        <v>116</v>
      </c>
      <c r="B2309">
        <v>325491</v>
      </c>
      <c r="C2309" t="s">
        <v>2288</v>
      </c>
      <c r="D2309" t="s">
        <v>1</v>
      </c>
      <c r="E2309" t="s">
        <v>2</v>
      </c>
      <c r="F2309">
        <v>17500000</v>
      </c>
      <c r="G2309">
        <v>2002</v>
      </c>
      <c r="H2309">
        <v>6</v>
      </c>
    </row>
    <row r="2310" spans="1:8" x14ac:dyDescent="0.25">
      <c r="A2310">
        <v>110</v>
      </c>
      <c r="B2310">
        <v>19179969</v>
      </c>
      <c r="C2310" t="s">
        <v>2295</v>
      </c>
      <c r="D2310" t="s">
        <v>1</v>
      </c>
      <c r="E2310" t="s">
        <v>2</v>
      </c>
      <c r="F2310">
        <v>17500000</v>
      </c>
      <c r="G2310">
        <v>2006</v>
      </c>
      <c r="H2310">
        <v>6.3</v>
      </c>
    </row>
    <row r="2311" spans="1:8" x14ac:dyDescent="0.25">
      <c r="A2311">
        <v>94</v>
      </c>
      <c r="B2311">
        <v>56816662</v>
      </c>
      <c r="C2311" t="s">
        <v>1553</v>
      </c>
      <c r="D2311" t="s">
        <v>1</v>
      </c>
      <c r="E2311" t="s">
        <v>620</v>
      </c>
      <c r="F2311">
        <v>17000000</v>
      </c>
      <c r="G2311">
        <v>2011</v>
      </c>
      <c r="H2311">
        <v>7.7</v>
      </c>
    </row>
    <row r="2312" spans="1:8" x14ac:dyDescent="0.25">
      <c r="A2312">
        <v>96</v>
      </c>
      <c r="B2312">
        <v>82234139</v>
      </c>
      <c r="C2312" t="s">
        <v>1793</v>
      </c>
      <c r="D2312" t="s">
        <v>1</v>
      </c>
      <c r="E2312" t="s">
        <v>2</v>
      </c>
      <c r="F2312">
        <v>17000000</v>
      </c>
      <c r="G2312">
        <v>2007</v>
      </c>
      <c r="H2312">
        <v>7.2</v>
      </c>
    </row>
    <row r="2313" spans="1:8" x14ac:dyDescent="0.25">
      <c r="A2313">
        <v>104</v>
      </c>
      <c r="B2313">
        <v>35143332</v>
      </c>
      <c r="C2313" t="s">
        <v>1817</v>
      </c>
      <c r="D2313" t="s">
        <v>1</v>
      </c>
      <c r="E2313" t="s">
        <v>2</v>
      </c>
      <c r="F2313">
        <v>17000000</v>
      </c>
      <c r="G2313">
        <v>2003</v>
      </c>
      <c r="H2313">
        <v>5.6</v>
      </c>
    </row>
    <row r="2314" spans="1:8" x14ac:dyDescent="0.25">
      <c r="A2314">
        <v>88</v>
      </c>
      <c r="B2314">
        <v>9286314</v>
      </c>
      <c r="C2314" t="s">
        <v>1877</v>
      </c>
      <c r="D2314" t="s">
        <v>1</v>
      </c>
      <c r="E2314" t="s">
        <v>2</v>
      </c>
      <c r="F2314">
        <v>17000000</v>
      </c>
      <c r="G2314">
        <v>1991</v>
      </c>
      <c r="H2314">
        <v>5.9</v>
      </c>
    </row>
    <row r="2315" spans="1:8" x14ac:dyDescent="0.25">
      <c r="A2315">
        <v>112</v>
      </c>
      <c r="B2315">
        <v>16684352</v>
      </c>
      <c r="C2315" t="s">
        <v>1996</v>
      </c>
      <c r="D2315" t="s">
        <v>1</v>
      </c>
      <c r="E2315" t="s">
        <v>2</v>
      </c>
      <c r="F2315">
        <v>17000000</v>
      </c>
      <c r="G2315">
        <v>2012</v>
      </c>
      <c r="H2315">
        <v>6.3</v>
      </c>
    </row>
    <row r="2316" spans="1:8" x14ac:dyDescent="0.25">
      <c r="A2316">
        <v>96</v>
      </c>
      <c r="B2316">
        <v>42660000</v>
      </c>
      <c r="C2316" t="s">
        <v>2000</v>
      </c>
      <c r="D2316" t="s">
        <v>1</v>
      </c>
      <c r="E2316" t="s">
        <v>2</v>
      </c>
      <c r="F2316">
        <v>17000000</v>
      </c>
      <c r="G2316">
        <v>1993</v>
      </c>
      <c r="H2316">
        <v>4.8</v>
      </c>
    </row>
    <row r="2317" spans="1:8" x14ac:dyDescent="0.25">
      <c r="A2317">
        <v>98</v>
      </c>
      <c r="B2317">
        <v>9430988</v>
      </c>
      <c r="C2317" t="s">
        <v>2007</v>
      </c>
      <c r="D2317" t="s">
        <v>1</v>
      </c>
      <c r="E2317" t="s">
        <v>2</v>
      </c>
      <c r="F2317">
        <v>17000000</v>
      </c>
      <c r="G2317">
        <v>2009</v>
      </c>
      <c r="H2317">
        <v>7.1</v>
      </c>
    </row>
    <row r="2318" spans="1:8" x14ac:dyDescent="0.25">
      <c r="A2318">
        <v>105</v>
      </c>
      <c r="B2318">
        <v>76400000</v>
      </c>
      <c r="C2318" t="s">
        <v>2217</v>
      </c>
      <c r="D2318" t="s">
        <v>1</v>
      </c>
      <c r="E2318" t="s">
        <v>2</v>
      </c>
      <c r="F2318">
        <v>17000000</v>
      </c>
      <c r="G2318">
        <v>1984</v>
      </c>
      <c r="H2318">
        <v>6.6</v>
      </c>
    </row>
    <row r="2319" spans="1:8" x14ac:dyDescent="0.25">
      <c r="A2319">
        <v>88</v>
      </c>
      <c r="B2319">
        <v>65535067</v>
      </c>
      <c r="C2319" t="s">
        <v>2219</v>
      </c>
      <c r="D2319" t="s">
        <v>1</v>
      </c>
      <c r="E2319" t="s">
        <v>2</v>
      </c>
      <c r="F2319">
        <v>17000000</v>
      </c>
      <c r="G2319">
        <v>1999</v>
      </c>
      <c r="H2319">
        <v>5.7</v>
      </c>
    </row>
    <row r="2320" spans="1:8" x14ac:dyDescent="0.25">
      <c r="A2320">
        <v>103</v>
      </c>
      <c r="B2320">
        <v>6061759</v>
      </c>
      <c r="C2320" t="s">
        <v>2221</v>
      </c>
      <c r="D2320" t="s">
        <v>1</v>
      </c>
      <c r="E2320" t="s">
        <v>2</v>
      </c>
      <c r="F2320">
        <v>17000000</v>
      </c>
      <c r="G2320">
        <v>2005</v>
      </c>
      <c r="H2320">
        <v>6.3</v>
      </c>
    </row>
    <row r="2321" spans="1:8" x14ac:dyDescent="0.25">
      <c r="A2321">
        <v>68</v>
      </c>
      <c r="B2321">
        <v>53868030</v>
      </c>
      <c r="C2321" t="s">
        <v>2224</v>
      </c>
      <c r="D2321" t="s">
        <v>1</v>
      </c>
      <c r="E2321" t="s">
        <v>2</v>
      </c>
      <c r="F2321">
        <v>17000000</v>
      </c>
      <c r="G2321">
        <v>1997</v>
      </c>
      <c r="H2321">
        <v>7</v>
      </c>
    </row>
    <row r="2322" spans="1:8" x14ac:dyDescent="0.25">
      <c r="A2322">
        <v>97</v>
      </c>
      <c r="B2322">
        <v>86049418</v>
      </c>
      <c r="C2322" t="s">
        <v>2230</v>
      </c>
      <c r="D2322" t="s">
        <v>1</v>
      </c>
      <c r="E2322" t="s">
        <v>2</v>
      </c>
      <c r="F2322">
        <v>17000000</v>
      </c>
      <c r="G2322">
        <v>2004</v>
      </c>
      <c r="H2322">
        <v>7</v>
      </c>
    </row>
    <row r="2323" spans="1:8" x14ac:dyDescent="0.25">
      <c r="A2323">
        <v>107</v>
      </c>
      <c r="B2323">
        <v>26284475</v>
      </c>
      <c r="C2323" t="s">
        <v>2250</v>
      </c>
      <c r="D2323" t="s">
        <v>1</v>
      </c>
      <c r="E2323" t="s">
        <v>2</v>
      </c>
      <c r="F2323">
        <v>17000000</v>
      </c>
      <c r="G2323">
        <v>2015</v>
      </c>
      <c r="H2323">
        <v>5.7</v>
      </c>
    </row>
    <row r="2324" spans="1:8" x14ac:dyDescent="0.25">
      <c r="A2324">
        <v>112</v>
      </c>
      <c r="B2324">
        <v>6734844</v>
      </c>
      <c r="C2324" t="s">
        <v>2263</v>
      </c>
      <c r="D2324" t="s">
        <v>1</v>
      </c>
      <c r="E2324" t="s">
        <v>2</v>
      </c>
      <c r="F2324">
        <v>17000000</v>
      </c>
      <c r="G2324">
        <v>1986</v>
      </c>
      <c r="H2324">
        <v>5.9</v>
      </c>
    </row>
    <row r="2325" spans="1:8" x14ac:dyDescent="0.25">
      <c r="A2325">
        <v>101</v>
      </c>
      <c r="B2325">
        <v>96471845</v>
      </c>
      <c r="C2325" t="s">
        <v>2289</v>
      </c>
      <c r="D2325" t="s">
        <v>1</v>
      </c>
      <c r="E2325" t="s">
        <v>2</v>
      </c>
      <c r="F2325">
        <v>17000000</v>
      </c>
      <c r="G2325">
        <v>2001</v>
      </c>
      <c r="H2325">
        <v>7.6</v>
      </c>
    </row>
    <row r="2326" spans="1:8" x14ac:dyDescent="0.25">
      <c r="A2326">
        <v>170</v>
      </c>
      <c r="B2326">
        <v>72000000</v>
      </c>
      <c r="C2326" t="s">
        <v>2291</v>
      </c>
      <c r="D2326" t="s">
        <v>1</v>
      </c>
      <c r="E2326" t="s">
        <v>2</v>
      </c>
      <c r="F2326">
        <v>17000000</v>
      </c>
      <c r="G2326">
        <v>1964</v>
      </c>
      <c r="H2326">
        <v>7.9</v>
      </c>
    </row>
    <row r="2327" spans="1:8" x14ac:dyDescent="0.25">
      <c r="A2327">
        <v>99</v>
      </c>
      <c r="B2327">
        <v>72219395</v>
      </c>
      <c r="C2327" t="s">
        <v>2292</v>
      </c>
      <c r="D2327" t="s">
        <v>1</v>
      </c>
      <c r="E2327" t="s">
        <v>2</v>
      </c>
      <c r="F2327">
        <v>17000000</v>
      </c>
      <c r="G2327">
        <v>1997</v>
      </c>
      <c r="H2327">
        <v>5.6</v>
      </c>
    </row>
    <row r="2328" spans="1:8" x14ac:dyDescent="0.25">
      <c r="A2328">
        <v>104</v>
      </c>
      <c r="B2328">
        <v>82389560</v>
      </c>
      <c r="C2328" t="s">
        <v>2293</v>
      </c>
      <c r="D2328" t="s">
        <v>1</v>
      </c>
      <c r="E2328" t="s">
        <v>2</v>
      </c>
      <c r="F2328">
        <v>17000000</v>
      </c>
      <c r="G2328">
        <v>2014</v>
      </c>
      <c r="H2328">
        <v>6.5</v>
      </c>
    </row>
    <row r="2329" spans="1:8" x14ac:dyDescent="0.25">
      <c r="A2329">
        <v>87</v>
      </c>
      <c r="B2329">
        <v>37566230</v>
      </c>
      <c r="C2329" t="s">
        <v>2297</v>
      </c>
      <c r="D2329" t="s">
        <v>1</v>
      </c>
      <c r="E2329" t="s">
        <v>2</v>
      </c>
      <c r="F2329">
        <v>17000000</v>
      </c>
      <c r="G2329">
        <v>2003</v>
      </c>
      <c r="H2329">
        <v>5.0999999999999996</v>
      </c>
    </row>
    <row r="2330" spans="1:8" x14ac:dyDescent="0.25">
      <c r="A2330">
        <v>123</v>
      </c>
      <c r="B2330">
        <v>70492685</v>
      </c>
      <c r="C2330" t="s">
        <v>2298</v>
      </c>
      <c r="D2330" t="s">
        <v>1</v>
      </c>
      <c r="E2330" t="s">
        <v>2</v>
      </c>
      <c r="F2330">
        <v>17000000</v>
      </c>
      <c r="G2330">
        <v>2013</v>
      </c>
      <c r="H2330">
        <v>6.7</v>
      </c>
    </row>
    <row r="2331" spans="1:8" x14ac:dyDescent="0.25">
      <c r="A2331">
        <v>109</v>
      </c>
      <c r="B2331">
        <v>35635046</v>
      </c>
      <c r="C2331" t="s">
        <v>2299</v>
      </c>
      <c r="D2331" t="s">
        <v>1</v>
      </c>
      <c r="E2331" t="s">
        <v>5</v>
      </c>
      <c r="F2331">
        <v>17000000</v>
      </c>
      <c r="G2331">
        <v>2006</v>
      </c>
      <c r="H2331">
        <v>6.7</v>
      </c>
    </row>
    <row r="2332" spans="1:8" x14ac:dyDescent="0.25">
      <c r="A2332">
        <v>96</v>
      </c>
      <c r="B2332">
        <v>37939782</v>
      </c>
      <c r="C2332" t="s">
        <v>2301</v>
      </c>
      <c r="D2332" t="s">
        <v>1</v>
      </c>
      <c r="E2332" t="s">
        <v>2</v>
      </c>
      <c r="F2332">
        <v>17000000</v>
      </c>
      <c r="G2332">
        <v>2002</v>
      </c>
      <c r="H2332">
        <v>5.6</v>
      </c>
    </row>
    <row r="2333" spans="1:8" x14ac:dyDescent="0.25">
      <c r="A2333">
        <v>82</v>
      </c>
      <c r="B2333">
        <v>30324946</v>
      </c>
      <c r="C2333" t="s">
        <v>2302</v>
      </c>
      <c r="D2333" t="s">
        <v>1</v>
      </c>
      <c r="E2333" t="s">
        <v>2</v>
      </c>
      <c r="F2333">
        <v>17000000</v>
      </c>
      <c r="G2333">
        <v>1998</v>
      </c>
      <c r="H2333">
        <v>6.2</v>
      </c>
    </row>
    <row r="2334" spans="1:8" x14ac:dyDescent="0.25">
      <c r="A2334">
        <v>86</v>
      </c>
      <c r="B2334">
        <v>27854896</v>
      </c>
      <c r="C2334" t="s">
        <v>2303</v>
      </c>
      <c r="D2334" t="s">
        <v>1</v>
      </c>
      <c r="E2334" t="s">
        <v>2</v>
      </c>
      <c r="F2334">
        <v>17000000</v>
      </c>
      <c r="G2334">
        <v>2011</v>
      </c>
      <c r="H2334">
        <v>5.6</v>
      </c>
    </row>
    <row r="2335" spans="1:8" x14ac:dyDescent="0.25">
      <c r="A2335">
        <v>98</v>
      </c>
      <c r="B2335">
        <v>22734486</v>
      </c>
      <c r="C2335" t="s">
        <v>2305</v>
      </c>
      <c r="D2335" t="s">
        <v>1</v>
      </c>
      <c r="E2335" t="s">
        <v>2</v>
      </c>
      <c r="F2335">
        <v>17000000</v>
      </c>
      <c r="G2335">
        <v>2003</v>
      </c>
      <c r="H2335">
        <v>5.6</v>
      </c>
    </row>
    <row r="2336" spans="1:8" x14ac:dyDescent="0.25">
      <c r="A2336">
        <v>129</v>
      </c>
      <c r="B2336">
        <v>44469602</v>
      </c>
      <c r="C2336" t="s">
        <v>2306</v>
      </c>
      <c r="D2336" t="s">
        <v>1</v>
      </c>
      <c r="E2336" t="s">
        <v>2</v>
      </c>
      <c r="F2336">
        <v>17000000</v>
      </c>
      <c r="G2336">
        <v>2015</v>
      </c>
      <c r="H2336">
        <v>7.4</v>
      </c>
    </row>
    <row r="2337" spans="1:8" x14ac:dyDescent="0.25">
      <c r="A2337">
        <v>112</v>
      </c>
      <c r="B2337">
        <v>64998368</v>
      </c>
      <c r="C2337" t="s">
        <v>2307</v>
      </c>
      <c r="D2337" t="s">
        <v>1</v>
      </c>
      <c r="E2337" t="s">
        <v>2</v>
      </c>
      <c r="F2337">
        <v>17000000</v>
      </c>
      <c r="G2337">
        <v>2012</v>
      </c>
      <c r="H2337">
        <v>7.2</v>
      </c>
    </row>
    <row r="2338" spans="1:8" x14ac:dyDescent="0.25">
      <c r="A2338">
        <v>121</v>
      </c>
      <c r="B2338">
        <v>16311763</v>
      </c>
      <c r="C2338" t="s">
        <v>2309</v>
      </c>
      <c r="D2338" t="s">
        <v>1</v>
      </c>
      <c r="E2338" t="s">
        <v>5</v>
      </c>
      <c r="F2338">
        <v>17000000</v>
      </c>
      <c r="G2338">
        <v>1998</v>
      </c>
      <c r="H2338">
        <v>7.5</v>
      </c>
    </row>
    <row r="2339" spans="1:8" x14ac:dyDescent="0.25">
      <c r="A2339">
        <v>89</v>
      </c>
      <c r="B2339">
        <v>12693621</v>
      </c>
      <c r="C2339" t="s">
        <v>2310</v>
      </c>
      <c r="D2339" t="s">
        <v>1</v>
      </c>
      <c r="E2339" t="s">
        <v>2</v>
      </c>
      <c r="F2339">
        <v>17000000</v>
      </c>
      <c r="G2339">
        <v>2002</v>
      </c>
      <c r="H2339">
        <v>4.8</v>
      </c>
    </row>
    <row r="2340" spans="1:8" x14ac:dyDescent="0.25">
      <c r="A2340">
        <v>73</v>
      </c>
      <c r="B2340">
        <v>11634458</v>
      </c>
      <c r="C2340" t="s">
        <v>2312</v>
      </c>
      <c r="D2340" t="s">
        <v>1</v>
      </c>
      <c r="E2340" t="s">
        <v>2</v>
      </c>
      <c r="F2340">
        <v>17000000</v>
      </c>
      <c r="G2340">
        <v>1999</v>
      </c>
      <c r="H2340">
        <v>5.8</v>
      </c>
    </row>
    <row r="2341" spans="1:8" x14ac:dyDescent="0.25">
      <c r="A2341">
        <v>132</v>
      </c>
      <c r="B2341">
        <v>27154426</v>
      </c>
      <c r="C2341" t="s">
        <v>2313</v>
      </c>
      <c r="D2341" t="s">
        <v>1</v>
      </c>
      <c r="E2341" t="s">
        <v>2</v>
      </c>
      <c r="F2341">
        <v>17000000</v>
      </c>
      <c r="G2341">
        <v>2009</v>
      </c>
      <c r="H2341">
        <v>6.7</v>
      </c>
    </row>
    <row r="2342" spans="1:8" x14ac:dyDescent="0.25">
      <c r="A2342">
        <v>96</v>
      </c>
      <c r="B2342">
        <v>54239856</v>
      </c>
      <c r="C2342" t="s">
        <v>2314</v>
      </c>
      <c r="D2342" t="s">
        <v>1</v>
      </c>
      <c r="E2342" t="s">
        <v>2</v>
      </c>
      <c r="F2342">
        <v>17000000</v>
      </c>
      <c r="G2342">
        <v>2013</v>
      </c>
      <c r="H2342">
        <v>6.5</v>
      </c>
    </row>
    <row r="2343" spans="1:8" x14ac:dyDescent="0.25">
      <c r="A2343">
        <v>98</v>
      </c>
      <c r="B2343">
        <v>8662318</v>
      </c>
      <c r="C2343" t="s">
        <v>2315</v>
      </c>
      <c r="D2343" t="s">
        <v>1</v>
      </c>
      <c r="E2343" t="s">
        <v>2</v>
      </c>
      <c r="F2343">
        <v>17000000</v>
      </c>
      <c r="G2343">
        <v>2009</v>
      </c>
      <c r="H2343">
        <v>5.9</v>
      </c>
    </row>
    <row r="2344" spans="1:8" x14ac:dyDescent="0.25">
      <c r="A2344">
        <v>134</v>
      </c>
      <c r="B2344">
        <v>15681020</v>
      </c>
      <c r="C2344" t="s">
        <v>2317</v>
      </c>
      <c r="D2344" t="s">
        <v>1</v>
      </c>
      <c r="E2344" t="s">
        <v>5</v>
      </c>
      <c r="F2344">
        <v>17000000</v>
      </c>
      <c r="G2344">
        <v>1987</v>
      </c>
      <c r="H2344">
        <v>3.6</v>
      </c>
    </row>
    <row r="2345" spans="1:8" x14ac:dyDescent="0.25">
      <c r="A2345">
        <v>122</v>
      </c>
      <c r="B2345">
        <v>6855137</v>
      </c>
      <c r="C2345" t="s">
        <v>2318</v>
      </c>
      <c r="D2345" t="s">
        <v>1</v>
      </c>
      <c r="E2345" t="s">
        <v>119</v>
      </c>
      <c r="F2345">
        <v>17000000</v>
      </c>
      <c r="G2345">
        <v>2006</v>
      </c>
      <c r="H2345">
        <v>7.4</v>
      </c>
    </row>
    <row r="2346" spans="1:8" x14ac:dyDescent="0.25">
      <c r="A2346">
        <v>97</v>
      </c>
      <c r="B2346">
        <v>2315683</v>
      </c>
      <c r="C2346" t="s">
        <v>2319</v>
      </c>
      <c r="D2346" t="s">
        <v>1</v>
      </c>
      <c r="E2346" t="s">
        <v>5</v>
      </c>
      <c r="F2346">
        <v>17000000</v>
      </c>
      <c r="G2346">
        <v>1986</v>
      </c>
      <c r="H2346">
        <v>3</v>
      </c>
    </row>
    <row r="2347" spans="1:8" x14ac:dyDescent="0.25">
      <c r="A2347">
        <v>102</v>
      </c>
      <c r="B2347">
        <v>2000000</v>
      </c>
      <c r="C2347" t="s">
        <v>2321</v>
      </c>
      <c r="D2347" t="s">
        <v>1</v>
      </c>
      <c r="E2347" t="s">
        <v>2</v>
      </c>
      <c r="F2347">
        <v>17000000</v>
      </c>
      <c r="G2347">
        <v>1981</v>
      </c>
      <c r="H2347">
        <v>6.4</v>
      </c>
    </row>
    <row r="2348" spans="1:8" x14ac:dyDescent="0.25">
      <c r="A2348">
        <v>98</v>
      </c>
      <c r="B2348">
        <v>1569918</v>
      </c>
      <c r="C2348" t="s">
        <v>2322</v>
      </c>
      <c r="D2348" t="s">
        <v>1</v>
      </c>
      <c r="E2348" t="s">
        <v>1489</v>
      </c>
      <c r="F2348">
        <v>17000000</v>
      </c>
      <c r="G2348">
        <v>2003</v>
      </c>
      <c r="H2348">
        <v>6.9</v>
      </c>
    </row>
    <row r="2349" spans="1:8" x14ac:dyDescent="0.25">
      <c r="A2349">
        <v>160</v>
      </c>
      <c r="B2349">
        <v>273420</v>
      </c>
      <c r="C2349" t="s">
        <v>2323</v>
      </c>
      <c r="D2349" t="s">
        <v>1</v>
      </c>
      <c r="E2349" t="s">
        <v>244</v>
      </c>
      <c r="F2349">
        <v>17000000</v>
      </c>
      <c r="G2349">
        <v>2006</v>
      </c>
      <c r="H2349">
        <v>5.5</v>
      </c>
    </row>
    <row r="2350" spans="1:8" x14ac:dyDescent="0.25">
      <c r="A2350">
        <v>83</v>
      </c>
      <c r="B2350">
        <v>4930798</v>
      </c>
      <c r="C2350" t="s">
        <v>2324</v>
      </c>
      <c r="D2350" t="s">
        <v>1</v>
      </c>
      <c r="E2350" t="s">
        <v>2</v>
      </c>
      <c r="F2350">
        <v>17000000</v>
      </c>
      <c r="G2350">
        <v>2012</v>
      </c>
      <c r="H2350">
        <v>4.0999999999999996</v>
      </c>
    </row>
    <row r="2351" spans="1:8" x14ac:dyDescent="0.25">
      <c r="A2351">
        <v>95</v>
      </c>
      <c r="B2351">
        <v>54322273</v>
      </c>
      <c r="C2351" t="s">
        <v>2407</v>
      </c>
      <c r="D2351" t="s">
        <v>1</v>
      </c>
      <c r="E2351" t="s">
        <v>5</v>
      </c>
      <c r="F2351">
        <v>17000000</v>
      </c>
      <c r="G2351">
        <v>2012</v>
      </c>
      <c r="H2351">
        <v>6.4</v>
      </c>
    </row>
    <row r="2352" spans="1:8" x14ac:dyDescent="0.25">
      <c r="A2352">
        <v>94</v>
      </c>
      <c r="B2352">
        <v>42672630</v>
      </c>
      <c r="C2352" t="s">
        <v>2411</v>
      </c>
      <c r="D2352" t="s">
        <v>1</v>
      </c>
      <c r="E2352" t="s">
        <v>2</v>
      </c>
      <c r="F2352">
        <v>17000000</v>
      </c>
      <c r="G2352">
        <v>2003</v>
      </c>
      <c r="H2352">
        <v>5.3</v>
      </c>
    </row>
    <row r="2353" spans="1:8" x14ac:dyDescent="0.25">
      <c r="A2353">
        <v>86</v>
      </c>
      <c r="B2353">
        <v>54257433</v>
      </c>
      <c r="C2353" t="s">
        <v>2586</v>
      </c>
      <c r="D2353" t="s">
        <v>1</v>
      </c>
      <c r="E2353" t="s">
        <v>2</v>
      </c>
      <c r="F2353">
        <v>17000000</v>
      </c>
      <c r="G2353">
        <v>2016</v>
      </c>
      <c r="H2353">
        <v>6.8</v>
      </c>
    </row>
    <row r="2354" spans="1:8" x14ac:dyDescent="0.25">
      <c r="A2354">
        <v>125</v>
      </c>
      <c r="B2354">
        <v>4068087</v>
      </c>
      <c r="C2354" t="s">
        <v>2763</v>
      </c>
      <c r="D2354" t="s">
        <v>1</v>
      </c>
      <c r="E2354" t="s">
        <v>38</v>
      </c>
      <c r="F2354">
        <v>17000000</v>
      </c>
      <c r="G2354">
        <v>2003</v>
      </c>
      <c r="H2354">
        <v>7.7</v>
      </c>
    </row>
    <row r="2355" spans="1:8" x14ac:dyDescent="0.25">
      <c r="A2355">
        <v>114</v>
      </c>
      <c r="B2355">
        <v>30050028</v>
      </c>
      <c r="C2355" t="s">
        <v>2810</v>
      </c>
      <c r="D2355" t="s">
        <v>1</v>
      </c>
      <c r="E2355" t="s">
        <v>2</v>
      </c>
      <c r="F2355">
        <v>17000000</v>
      </c>
      <c r="G2355">
        <v>1989</v>
      </c>
      <c r="H2355">
        <v>6.5</v>
      </c>
    </row>
    <row r="2356" spans="1:8" x14ac:dyDescent="0.25">
      <c r="A2356">
        <v>116</v>
      </c>
      <c r="B2356">
        <v>24397469</v>
      </c>
      <c r="C2356" t="s">
        <v>2817</v>
      </c>
      <c r="D2356" t="s">
        <v>1</v>
      </c>
      <c r="E2356" t="s">
        <v>2</v>
      </c>
      <c r="F2356">
        <v>17000000</v>
      </c>
      <c r="G2356">
        <v>2012</v>
      </c>
      <c r="H2356">
        <v>5.7</v>
      </c>
    </row>
    <row r="2357" spans="1:8" x14ac:dyDescent="0.25">
      <c r="A2357">
        <v>122</v>
      </c>
      <c r="B2357">
        <v>220914</v>
      </c>
      <c r="C2357" t="s">
        <v>2326</v>
      </c>
      <c r="D2357" t="s">
        <v>1</v>
      </c>
      <c r="E2357" t="s">
        <v>2</v>
      </c>
      <c r="F2357">
        <v>16800000</v>
      </c>
      <c r="G2357">
        <v>2006</v>
      </c>
      <c r="H2357">
        <v>6.5</v>
      </c>
    </row>
    <row r="2358" spans="1:8" x14ac:dyDescent="0.25">
      <c r="A2358">
        <v>102</v>
      </c>
      <c r="B2358">
        <v>59847242</v>
      </c>
      <c r="C2358" t="s">
        <v>2325</v>
      </c>
      <c r="D2358" t="s">
        <v>1</v>
      </c>
      <c r="E2358" t="s">
        <v>2</v>
      </c>
      <c r="F2358">
        <v>16500000</v>
      </c>
      <c r="G2358">
        <v>1991</v>
      </c>
      <c r="H2358">
        <v>6.8</v>
      </c>
    </row>
    <row r="2359" spans="1:8" x14ac:dyDescent="0.25">
      <c r="A2359">
        <v>136</v>
      </c>
      <c r="B2359">
        <v>42700000</v>
      </c>
      <c r="C2359" t="s">
        <v>2328</v>
      </c>
      <c r="D2359" t="s">
        <v>1</v>
      </c>
      <c r="E2359" t="s">
        <v>2</v>
      </c>
      <c r="F2359">
        <v>16500000</v>
      </c>
      <c r="G2359">
        <v>1995</v>
      </c>
      <c r="H2359">
        <v>7.7</v>
      </c>
    </row>
    <row r="2360" spans="1:8" x14ac:dyDescent="0.25">
      <c r="A2360">
        <v>120</v>
      </c>
      <c r="B2360">
        <v>18663911</v>
      </c>
      <c r="C2360" t="s">
        <v>2329</v>
      </c>
      <c r="D2360" t="s">
        <v>1</v>
      </c>
      <c r="E2360" t="s">
        <v>5</v>
      </c>
      <c r="F2360">
        <v>16500000</v>
      </c>
      <c r="G2360">
        <v>2007</v>
      </c>
      <c r="H2360">
        <v>7.1</v>
      </c>
    </row>
    <row r="2361" spans="1:8" x14ac:dyDescent="0.25">
      <c r="A2361">
        <v>108</v>
      </c>
      <c r="B2361">
        <v>11702090</v>
      </c>
      <c r="C2361" t="s">
        <v>2330</v>
      </c>
      <c r="D2361" t="s">
        <v>1</v>
      </c>
      <c r="E2361" t="s">
        <v>2</v>
      </c>
      <c r="F2361">
        <v>16500000</v>
      </c>
      <c r="G2361">
        <v>2007</v>
      </c>
      <c r="H2361">
        <v>6.3</v>
      </c>
    </row>
    <row r="2362" spans="1:8" x14ac:dyDescent="0.25">
      <c r="A2362">
        <v>114</v>
      </c>
      <c r="B2362">
        <v>26896744</v>
      </c>
      <c r="C2362" t="s">
        <v>2351</v>
      </c>
      <c r="D2362" t="s">
        <v>1</v>
      </c>
      <c r="E2362" t="s">
        <v>2</v>
      </c>
      <c r="F2362">
        <v>16500000</v>
      </c>
      <c r="G2362">
        <v>2008</v>
      </c>
      <c r="H2362">
        <v>4.9000000000000004</v>
      </c>
    </row>
    <row r="2363" spans="1:8" x14ac:dyDescent="0.25">
      <c r="A2363">
        <v>128</v>
      </c>
      <c r="B2363">
        <v>95860116</v>
      </c>
      <c r="C2363" t="s">
        <v>2332</v>
      </c>
      <c r="D2363" t="s">
        <v>1</v>
      </c>
      <c r="E2363" t="s">
        <v>2</v>
      </c>
      <c r="F2363">
        <v>16400000</v>
      </c>
      <c r="G2363">
        <v>1989</v>
      </c>
      <c r="H2363">
        <v>8</v>
      </c>
    </row>
    <row r="2364" spans="1:8" x14ac:dyDescent="0.25">
      <c r="A2364">
        <v>164</v>
      </c>
      <c r="B2364">
        <v>26400000</v>
      </c>
      <c r="C2364" t="s">
        <v>1706</v>
      </c>
      <c r="D2364" t="s">
        <v>1</v>
      </c>
      <c r="E2364" t="s">
        <v>5</v>
      </c>
      <c r="F2364">
        <v>16000000</v>
      </c>
      <c r="G2364">
        <v>1984</v>
      </c>
      <c r="H2364">
        <v>7.4</v>
      </c>
    </row>
    <row r="2365" spans="1:8" x14ac:dyDescent="0.25">
      <c r="A2365">
        <v>115</v>
      </c>
      <c r="B2365">
        <v>15045676</v>
      </c>
      <c r="C2365" t="s">
        <v>1851</v>
      </c>
      <c r="D2365" t="s">
        <v>1</v>
      </c>
      <c r="E2365" t="s">
        <v>2</v>
      </c>
      <c r="F2365">
        <v>16000000</v>
      </c>
      <c r="G2365">
        <v>2009</v>
      </c>
      <c r="H2365">
        <v>5.6</v>
      </c>
    </row>
    <row r="2366" spans="1:8" x14ac:dyDescent="0.25">
      <c r="A2366">
        <v>120</v>
      </c>
      <c r="B2366">
        <v>634277</v>
      </c>
      <c r="C2366" t="s">
        <v>1991</v>
      </c>
      <c r="D2366" t="s">
        <v>243</v>
      </c>
      <c r="E2366" t="s">
        <v>244</v>
      </c>
      <c r="F2366">
        <v>16000000</v>
      </c>
      <c r="G2366">
        <v>2007</v>
      </c>
      <c r="H2366">
        <v>7.3</v>
      </c>
    </row>
    <row r="2367" spans="1:8" x14ac:dyDescent="0.25">
      <c r="A2367">
        <v>110</v>
      </c>
      <c r="B2367">
        <v>13998282</v>
      </c>
      <c r="C2367" t="s">
        <v>2220</v>
      </c>
      <c r="D2367" t="s">
        <v>1</v>
      </c>
      <c r="E2367" t="s">
        <v>2</v>
      </c>
      <c r="F2367">
        <v>16000000</v>
      </c>
      <c r="G2367">
        <v>2014</v>
      </c>
      <c r="H2367">
        <v>3.1</v>
      </c>
    </row>
    <row r="2368" spans="1:8" x14ac:dyDescent="0.25">
      <c r="A2368">
        <v>110</v>
      </c>
      <c r="B2368">
        <v>39825798</v>
      </c>
      <c r="C2368" t="s">
        <v>2320</v>
      </c>
      <c r="D2368" t="s">
        <v>1</v>
      </c>
      <c r="E2368" t="s">
        <v>2</v>
      </c>
      <c r="F2368">
        <v>16000000</v>
      </c>
      <c r="G2368">
        <v>2006</v>
      </c>
      <c r="H2368">
        <v>7.6</v>
      </c>
    </row>
    <row r="2369" spans="1:8" x14ac:dyDescent="0.25">
      <c r="A2369">
        <v>110</v>
      </c>
      <c r="B2369">
        <v>39825798</v>
      </c>
      <c r="C2369" t="s">
        <v>2320</v>
      </c>
      <c r="D2369" t="s">
        <v>1</v>
      </c>
      <c r="E2369" t="s">
        <v>2</v>
      </c>
      <c r="F2369">
        <v>16000000</v>
      </c>
      <c r="G2369">
        <v>2006</v>
      </c>
      <c r="H2369">
        <v>7.6</v>
      </c>
    </row>
    <row r="2370" spans="1:8" x14ac:dyDescent="0.25">
      <c r="A2370">
        <v>113</v>
      </c>
      <c r="B2370">
        <v>127175354</v>
      </c>
      <c r="C2370" t="s">
        <v>2333</v>
      </c>
      <c r="D2370" t="s">
        <v>1</v>
      </c>
      <c r="E2370" t="s">
        <v>2</v>
      </c>
      <c r="F2370">
        <v>16000000</v>
      </c>
      <c r="G2370">
        <v>1994</v>
      </c>
      <c r="H2370">
        <v>7.3</v>
      </c>
    </row>
    <row r="2371" spans="1:8" x14ac:dyDescent="0.25">
      <c r="A2371">
        <v>89</v>
      </c>
      <c r="B2371">
        <v>92823600</v>
      </c>
      <c r="C2371" t="s">
        <v>2334</v>
      </c>
      <c r="D2371" t="s">
        <v>1</v>
      </c>
      <c r="E2371" t="s">
        <v>2</v>
      </c>
      <c r="F2371">
        <v>16000000</v>
      </c>
      <c r="G2371">
        <v>1989</v>
      </c>
      <c r="H2371">
        <v>7.6</v>
      </c>
    </row>
    <row r="2372" spans="1:8" x14ac:dyDescent="0.25">
      <c r="A2372">
        <v>129</v>
      </c>
      <c r="B2372">
        <v>54000000</v>
      </c>
      <c r="C2372" t="s">
        <v>2335</v>
      </c>
      <c r="D2372" t="s">
        <v>1</v>
      </c>
      <c r="E2372" t="s">
        <v>2</v>
      </c>
      <c r="F2372">
        <v>16000000</v>
      </c>
      <c r="G2372">
        <v>1982</v>
      </c>
      <c r="H2372">
        <v>7.8</v>
      </c>
    </row>
    <row r="2373" spans="1:8" x14ac:dyDescent="0.25">
      <c r="A2373">
        <v>106</v>
      </c>
      <c r="B2373">
        <v>52885587</v>
      </c>
      <c r="C2373" t="s">
        <v>2337</v>
      </c>
      <c r="D2373" t="s">
        <v>1</v>
      </c>
      <c r="E2373" t="s">
        <v>2</v>
      </c>
      <c r="F2373">
        <v>16000000</v>
      </c>
      <c r="G2373">
        <v>1999</v>
      </c>
      <c r="H2373">
        <v>6.4</v>
      </c>
    </row>
    <row r="2374" spans="1:8" x14ac:dyDescent="0.25">
      <c r="A2374">
        <v>89</v>
      </c>
      <c r="B2374">
        <v>42638165</v>
      </c>
      <c r="C2374" t="s">
        <v>2339</v>
      </c>
      <c r="D2374" t="s">
        <v>1</v>
      </c>
      <c r="E2374" t="s">
        <v>2</v>
      </c>
      <c r="F2374">
        <v>16000000</v>
      </c>
      <c r="G2374">
        <v>2009</v>
      </c>
      <c r="H2374">
        <v>4.8</v>
      </c>
    </row>
    <row r="2375" spans="1:8" x14ac:dyDescent="0.25">
      <c r="A2375">
        <v>94</v>
      </c>
      <c r="B2375">
        <v>45507053</v>
      </c>
      <c r="C2375" t="s">
        <v>2340</v>
      </c>
      <c r="D2375" t="s">
        <v>1</v>
      </c>
      <c r="E2375" t="s">
        <v>2</v>
      </c>
      <c r="F2375">
        <v>16000000</v>
      </c>
      <c r="G2375">
        <v>2012</v>
      </c>
      <c r="H2375">
        <v>7.8</v>
      </c>
    </row>
    <row r="2376" spans="1:8" x14ac:dyDescent="0.25">
      <c r="A2376">
        <v>83</v>
      </c>
      <c r="B2376">
        <v>39511038</v>
      </c>
      <c r="C2376" t="s">
        <v>2341</v>
      </c>
      <c r="D2376" t="s">
        <v>1</v>
      </c>
      <c r="E2376" t="s">
        <v>2</v>
      </c>
      <c r="F2376">
        <v>16000000</v>
      </c>
      <c r="G2376">
        <v>2006</v>
      </c>
      <c r="H2376">
        <v>5.9</v>
      </c>
    </row>
    <row r="2377" spans="1:8" x14ac:dyDescent="0.25">
      <c r="A2377">
        <v>80</v>
      </c>
      <c r="B2377">
        <v>40363530</v>
      </c>
      <c r="C2377" t="s">
        <v>2343</v>
      </c>
      <c r="D2377" t="s">
        <v>1</v>
      </c>
      <c r="E2377" t="s">
        <v>2</v>
      </c>
      <c r="F2377">
        <v>16000000</v>
      </c>
      <c r="G2377">
        <v>2002</v>
      </c>
      <c r="H2377">
        <v>3.3</v>
      </c>
    </row>
    <row r="2378" spans="1:8" x14ac:dyDescent="0.25">
      <c r="A2378">
        <v>130</v>
      </c>
      <c r="B2378">
        <v>28734552</v>
      </c>
      <c r="C2378" t="s">
        <v>2346</v>
      </c>
      <c r="D2378" t="s">
        <v>1</v>
      </c>
      <c r="E2378" t="s">
        <v>2</v>
      </c>
      <c r="F2378">
        <v>16000000</v>
      </c>
      <c r="G2378">
        <v>2001</v>
      </c>
      <c r="H2378">
        <v>6.4</v>
      </c>
    </row>
    <row r="2379" spans="1:8" x14ac:dyDescent="0.25">
      <c r="A2379">
        <v>91</v>
      </c>
      <c r="B2379">
        <v>37300107</v>
      </c>
      <c r="C2379" t="s">
        <v>2347</v>
      </c>
      <c r="D2379" t="s">
        <v>1</v>
      </c>
      <c r="E2379" t="s">
        <v>2</v>
      </c>
      <c r="F2379">
        <v>16000000</v>
      </c>
      <c r="G2379">
        <v>2011</v>
      </c>
      <c r="H2379">
        <v>4.8</v>
      </c>
    </row>
    <row r="2380" spans="1:8" x14ac:dyDescent="0.25">
      <c r="A2380">
        <v>94</v>
      </c>
      <c r="B2380">
        <v>20627372</v>
      </c>
      <c r="C2380" t="s">
        <v>2355</v>
      </c>
      <c r="D2380" t="s">
        <v>1</v>
      </c>
      <c r="E2380" t="s">
        <v>2</v>
      </c>
      <c r="F2380">
        <v>16000000</v>
      </c>
      <c r="G2380">
        <v>2000</v>
      </c>
      <c r="H2380">
        <v>5.3</v>
      </c>
    </row>
    <row r="2381" spans="1:8" x14ac:dyDescent="0.25">
      <c r="A2381">
        <v>109</v>
      </c>
      <c r="B2381">
        <v>16346122</v>
      </c>
      <c r="C2381" t="s">
        <v>2356</v>
      </c>
      <c r="D2381" t="s">
        <v>1</v>
      </c>
      <c r="E2381" t="s">
        <v>2</v>
      </c>
      <c r="F2381">
        <v>16000000</v>
      </c>
      <c r="G2381">
        <v>2002</v>
      </c>
      <c r="H2381">
        <v>7.2</v>
      </c>
    </row>
    <row r="2382" spans="1:8" x14ac:dyDescent="0.25">
      <c r="A2382">
        <v>107</v>
      </c>
      <c r="B2382">
        <v>16204793</v>
      </c>
      <c r="C2382" t="s">
        <v>2357</v>
      </c>
      <c r="D2382" t="s">
        <v>1</v>
      </c>
      <c r="E2382" t="s">
        <v>2</v>
      </c>
      <c r="F2382">
        <v>16000000</v>
      </c>
      <c r="G2382">
        <v>2009</v>
      </c>
      <c r="H2382">
        <v>5.0999999999999996</v>
      </c>
    </row>
    <row r="2383" spans="1:8" x14ac:dyDescent="0.25">
      <c r="A2383">
        <v>96</v>
      </c>
      <c r="B2383">
        <v>15427192</v>
      </c>
      <c r="C2383" t="s">
        <v>2358</v>
      </c>
      <c r="D2383" t="s">
        <v>1</v>
      </c>
      <c r="E2383" t="s">
        <v>2</v>
      </c>
      <c r="F2383">
        <v>16000000</v>
      </c>
      <c r="G2383">
        <v>2000</v>
      </c>
      <c r="H2383">
        <v>5.6</v>
      </c>
    </row>
    <row r="2384" spans="1:8" x14ac:dyDescent="0.25">
      <c r="A2384">
        <v>88</v>
      </c>
      <c r="B2384">
        <v>14792779</v>
      </c>
      <c r="C2384" t="s">
        <v>2359</v>
      </c>
      <c r="D2384" t="s">
        <v>1</v>
      </c>
      <c r="E2384" t="s">
        <v>2</v>
      </c>
      <c r="F2384">
        <v>16000000</v>
      </c>
      <c r="G2384">
        <v>1987</v>
      </c>
      <c r="H2384">
        <v>7.6</v>
      </c>
    </row>
    <row r="2385" spans="1:8" x14ac:dyDescent="0.25">
      <c r="A2385">
        <v>110</v>
      </c>
      <c r="B2385">
        <v>13998282</v>
      </c>
      <c r="C2385" t="s">
        <v>2220</v>
      </c>
      <c r="D2385" t="s">
        <v>1</v>
      </c>
      <c r="E2385" t="s">
        <v>2</v>
      </c>
      <c r="F2385">
        <v>16000000</v>
      </c>
      <c r="G2385">
        <v>2014</v>
      </c>
      <c r="H2385">
        <v>3.1</v>
      </c>
    </row>
    <row r="2386" spans="1:8" x14ac:dyDescent="0.25">
      <c r="A2386">
        <v>113</v>
      </c>
      <c r="B2386">
        <v>19057024</v>
      </c>
      <c r="C2386" t="s">
        <v>2360</v>
      </c>
      <c r="D2386" t="s">
        <v>1</v>
      </c>
      <c r="E2386" t="s">
        <v>2</v>
      </c>
      <c r="F2386">
        <v>16000000</v>
      </c>
      <c r="G2386">
        <v>2010</v>
      </c>
      <c r="H2386">
        <v>7.2</v>
      </c>
    </row>
    <row r="2387" spans="1:8" x14ac:dyDescent="0.25">
      <c r="A2387">
        <v>101</v>
      </c>
      <c r="B2387">
        <v>14108518</v>
      </c>
      <c r="C2387" t="s">
        <v>2361</v>
      </c>
      <c r="D2387" t="s">
        <v>1</v>
      </c>
      <c r="E2387" t="s">
        <v>2</v>
      </c>
      <c r="F2387">
        <v>16000000</v>
      </c>
      <c r="G2387">
        <v>2003</v>
      </c>
      <c r="H2387">
        <v>5.7</v>
      </c>
    </row>
    <row r="2388" spans="1:8" x14ac:dyDescent="0.25">
      <c r="A2388">
        <v>100</v>
      </c>
      <c r="B2388">
        <v>15500000</v>
      </c>
      <c r="C2388" t="s">
        <v>2364</v>
      </c>
      <c r="D2388" t="s">
        <v>1</v>
      </c>
      <c r="E2388" t="s">
        <v>119</v>
      </c>
      <c r="F2388">
        <v>16000000</v>
      </c>
      <c r="G2388">
        <v>1999</v>
      </c>
      <c r="H2388">
        <v>7</v>
      </c>
    </row>
    <row r="2389" spans="1:8" x14ac:dyDescent="0.25">
      <c r="A2389">
        <v>112</v>
      </c>
      <c r="B2389">
        <v>4839383</v>
      </c>
      <c r="C2389" t="s">
        <v>2366</v>
      </c>
      <c r="D2389" t="s">
        <v>1</v>
      </c>
      <c r="E2389" t="s">
        <v>2</v>
      </c>
      <c r="F2389">
        <v>16000000</v>
      </c>
      <c r="G2389">
        <v>2002</v>
      </c>
      <c r="H2389">
        <v>6.6</v>
      </c>
    </row>
    <row r="2390" spans="1:8" x14ac:dyDescent="0.25">
      <c r="A2390">
        <v>110</v>
      </c>
      <c r="B2390">
        <v>5900000</v>
      </c>
      <c r="C2390" t="s">
        <v>2368</v>
      </c>
      <c r="D2390" t="s">
        <v>1</v>
      </c>
      <c r="E2390" t="s">
        <v>5</v>
      </c>
      <c r="F2390">
        <v>16000000</v>
      </c>
      <c r="G2390">
        <v>1986</v>
      </c>
      <c r="H2390">
        <v>7.2</v>
      </c>
    </row>
    <row r="2391" spans="1:8" x14ac:dyDescent="0.25">
      <c r="A2391">
        <v>118</v>
      </c>
      <c r="B2391">
        <v>2849142</v>
      </c>
      <c r="C2391" t="s">
        <v>2369</v>
      </c>
      <c r="D2391" t="s">
        <v>1</v>
      </c>
      <c r="E2391" t="s">
        <v>2</v>
      </c>
      <c r="F2391">
        <v>16000000</v>
      </c>
      <c r="G2391">
        <v>2007</v>
      </c>
      <c r="H2391">
        <v>7.2</v>
      </c>
    </row>
    <row r="2392" spans="1:8" x14ac:dyDescent="0.25">
      <c r="A2392">
        <v>97</v>
      </c>
      <c r="B2392">
        <v>1686429</v>
      </c>
      <c r="C2392" t="s">
        <v>2370</v>
      </c>
      <c r="D2392" t="s">
        <v>1</v>
      </c>
      <c r="E2392" t="s">
        <v>2</v>
      </c>
      <c r="F2392">
        <v>16000000</v>
      </c>
      <c r="G2392">
        <v>1997</v>
      </c>
      <c r="H2392">
        <v>2.8</v>
      </c>
    </row>
    <row r="2393" spans="1:8" x14ac:dyDescent="0.25">
      <c r="A2393">
        <v>120</v>
      </c>
      <c r="B2393">
        <v>1984743</v>
      </c>
      <c r="C2393" t="s">
        <v>2371</v>
      </c>
      <c r="D2393" t="s">
        <v>1</v>
      </c>
      <c r="E2393" t="s">
        <v>2</v>
      </c>
      <c r="F2393">
        <v>16000000</v>
      </c>
      <c r="G2393">
        <v>2013</v>
      </c>
      <c r="H2393">
        <v>6.6</v>
      </c>
    </row>
    <row r="2394" spans="1:8" x14ac:dyDescent="0.25">
      <c r="A2394">
        <v>135</v>
      </c>
      <c r="B2394">
        <v>1666262</v>
      </c>
      <c r="C2394" t="s">
        <v>2372</v>
      </c>
      <c r="D2394" t="s">
        <v>1</v>
      </c>
      <c r="E2394" t="s">
        <v>5</v>
      </c>
      <c r="F2394">
        <v>16000000</v>
      </c>
      <c r="G2394">
        <v>2005</v>
      </c>
      <c r="H2394">
        <v>6.7</v>
      </c>
    </row>
    <row r="2395" spans="1:8" x14ac:dyDescent="0.25">
      <c r="A2395">
        <v>92</v>
      </c>
      <c r="B2395">
        <v>13922211</v>
      </c>
      <c r="C2395" t="s">
        <v>2374</v>
      </c>
      <c r="D2395" t="s">
        <v>1</v>
      </c>
      <c r="E2395" t="s">
        <v>2</v>
      </c>
      <c r="F2395">
        <v>16000000</v>
      </c>
      <c r="G2395">
        <v>2004</v>
      </c>
      <c r="H2395">
        <v>4.4000000000000004</v>
      </c>
    </row>
    <row r="2396" spans="1:8" x14ac:dyDescent="0.25">
      <c r="A2396">
        <v>92</v>
      </c>
      <c r="B2396">
        <v>2964</v>
      </c>
      <c r="C2396" t="s">
        <v>2377</v>
      </c>
      <c r="D2396" t="s">
        <v>1</v>
      </c>
      <c r="E2396" t="s">
        <v>2</v>
      </c>
      <c r="F2396">
        <v>16000000</v>
      </c>
      <c r="G2396">
        <v>2012</v>
      </c>
      <c r="H2396">
        <v>5.0999999999999996</v>
      </c>
    </row>
    <row r="2397" spans="1:8" x14ac:dyDescent="0.25">
      <c r="A2397">
        <v>122</v>
      </c>
      <c r="B2397">
        <v>2428883</v>
      </c>
      <c r="C2397" t="s">
        <v>2378</v>
      </c>
      <c r="D2397" t="s">
        <v>1</v>
      </c>
      <c r="E2397" t="s">
        <v>2</v>
      </c>
      <c r="F2397">
        <v>16000000</v>
      </c>
      <c r="G2397">
        <v>2014</v>
      </c>
      <c r="H2397">
        <v>6.6</v>
      </c>
    </row>
    <row r="2398" spans="1:8" x14ac:dyDescent="0.25">
      <c r="A2398">
        <v>99</v>
      </c>
      <c r="B2398">
        <v>37882551</v>
      </c>
      <c r="C2398" t="s">
        <v>2416</v>
      </c>
      <c r="D2398" t="s">
        <v>1</v>
      </c>
      <c r="E2398" t="s">
        <v>2</v>
      </c>
      <c r="F2398">
        <v>16000000</v>
      </c>
      <c r="G2398">
        <v>2001</v>
      </c>
      <c r="H2398">
        <v>5.7</v>
      </c>
    </row>
    <row r="2399" spans="1:8" x14ac:dyDescent="0.25">
      <c r="A2399">
        <v>86</v>
      </c>
      <c r="B2399">
        <v>34308901</v>
      </c>
      <c r="C2399" t="s">
        <v>2420</v>
      </c>
      <c r="D2399" t="s">
        <v>1</v>
      </c>
      <c r="E2399" t="s">
        <v>2</v>
      </c>
      <c r="F2399">
        <v>16000000</v>
      </c>
      <c r="G2399">
        <v>2003</v>
      </c>
      <c r="H2399">
        <v>5.0999999999999996</v>
      </c>
    </row>
    <row r="2400" spans="1:8" x14ac:dyDescent="0.25">
      <c r="A2400">
        <v>98</v>
      </c>
      <c r="B2400">
        <v>30857814</v>
      </c>
      <c r="C2400" t="s">
        <v>2428</v>
      </c>
      <c r="D2400" t="s">
        <v>1</v>
      </c>
      <c r="E2400" t="s">
        <v>2</v>
      </c>
      <c r="F2400">
        <v>16000000</v>
      </c>
      <c r="G2400">
        <v>1987</v>
      </c>
      <c r="H2400">
        <v>8.1</v>
      </c>
    </row>
    <row r="2401" spans="1:8" x14ac:dyDescent="0.25">
      <c r="A2401">
        <v>108</v>
      </c>
      <c r="B2401">
        <v>9172810</v>
      </c>
      <c r="C2401" t="s">
        <v>2479</v>
      </c>
      <c r="D2401" t="s">
        <v>1</v>
      </c>
      <c r="E2401" t="s">
        <v>2</v>
      </c>
      <c r="F2401">
        <v>16000000</v>
      </c>
      <c r="G2401">
        <v>2007</v>
      </c>
      <c r="H2401">
        <v>6.7</v>
      </c>
    </row>
    <row r="2402" spans="1:8" x14ac:dyDescent="0.25">
      <c r="A2402">
        <v>97</v>
      </c>
      <c r="B2402">
        <v>38176108</v>
      </c>
      <c r="C2402" t="s">
        <v>2583</v>
      </c>
      <c r="D2402" t="s">
        <v>1</v>
      </c>
      <c r="E2402" t="s">
        <v>2</v>
      </c>
      <c r="F2402">
        <v>16000000</v>
      </c>
      <c r="G2402">
        <v>1999</v>
      </c>
      <c r="H2402">
        <v>7.2</v>
      </c>
    </row>
    <row r="2403" spans="1:8" x14ac:dyDescent="0.25">
      <c r="A2403">
        <v>101</v>
      </c>
      <c r="B2403">
        <v>11956207</v>
      </c>
      <c r="C2403" t="s">
        <v>2636</v>
      </c>
      <c r="D2403" t="s">
        <v>1</v>
      </c>
      <c r="E2403" t="s">
        <v>2</v>
      </c>
      <c r="F2403">
        <v>16000000</v>
      </c>
      <c r="G2403">
        <v>2009</v>
      </c>
      <c r="H2403">
        <v>5.0999999999999996</v>
      </c>
    </row>
    <row r="2404" spans="1:8" x14ac:dyDescent="0.25">
      <c r="A2404">
        <v>132</v>
      </c>
      <c r="B2404">
        <v>1508689</v>
      </c>
      <c r="C2404" t="s">
        <v>2640</v>
      </c>
      <c r="D2404" t="s">
        <v>1</v>
      </c>
      <c r="E2404" t="s">
        <v>2</v>
      </c>
      <c r="F2404">
        <v>16000000</v>
      </c>
      <c r="G2404">
        <v>1997</v>
      </c>
      <c r="H2404">
        <v>6.7</v>
      </c>
    </row>
    <row r="2405" spans="1:8" x14ac:dyDescent="0.25">
      <c r="A2405">
        <v>85</v>
      </c>
      <c r="B2405">
        <v>4356743</v>
      </c>
      <c r="C2405" t="s">
        <v>2860</v>
      </c>
      <c r="D2405" t="s">
        <v>1</v>
      </c>
      <c r="E2405" t="s">
        <v>2</v>
      </c>
      <c r="F2405">
        <v>16000000</v>
      </c>
      <c r="G2405">
        <v>2001</v>
      </c>
      <c r="H2405">
        <v>4.0999999999999996</v>
      </c>
    </row>
    <row r="2406" spans="1:8" x14ac:dyDescent="0.25">
      <c r="A2406">
        <v>112</v>
      </c>
      <c r="B2406">
        <v>317125</v>
      </c>
      <c r="C2406" t="s">
        <v>3346</v>
      </c>
      <c r="D2406" t="s">
        <v>1</v>
      </c>
      <c r="E2406" t="s">
        <v>55</v>
      </c>
      <c r="F2406">
        <v>16000000</v>
      </c>
      <c r="G2406">
        <v>2013</v>
      </c>
      <c r="H2406">
        <v>6.2</v>
      </c>
    </row>
    <row r="2407" spans="1:8" x14ac:dyDescent="0.25">
      <c r="A2407">
        <v>89</v>
      </c>
      <c r="B2407">
        <v>42638165</v>
      </c>
      <c r="C2407" t="s">
        <v>2339</v>
      </c>
      <c r="D2407" t="s">
        <v>1</v>
      </c>
      <c r="E2407" t="s">
        <v>2</v>
      </c>
      <c r="F2407">
        <v>16000000</v>
      </c>
      <c r="G2407">
        <v>2009</v>
      </c>
      <c r="H2407">
        <v>4.8</v>
      </c>
    </row>
    <row r="2408" spans="1:8" x14ac:dyDescent="0.25">
      <c r="A2408">
        <v>108</v>
      </c>
      <c r="B2408">
        <v>109306210</v>
      </c>
      <c r="C2408" t="s">
        <v>2523</v>
      </c>
      <c r="D2408" t="s">
        <v>1</v>
      </c>
      <c r="E2408" t="s">
        <v>55</v>
      </c>
      <c r="F2408">
        <v>15800000</v>
      </c>
      <c r="G2408">
        <v>1988</v>
      </c>
      <c r="H2408">
        <v>5.5</v>
      </c>
    </row>
    <row r="2409" spans="1:8" x14ac:dyDescent="0.25">
      <c r="A2409">
        <v>94</v>
      </c>
      <c r="B2409">
        <v>68525609</v>
      </c>
      <c r="C2409" t="s">
        <v>2336</v>
      </c>
      <c r="D2409" t="s">
        <v>1</v>
      </c>
      <c r="E2409" t="s">
        <v>2</v>
      </c>
      <c r="F2409">
        <v>15600000</v>
      </c>
      <c r="G2409">
        <v>2000</v>
      </c>
      <c r="H2409">
        <v>6.5</v>
      </c>
    </row>
    <row r="2410" spans="1:8" x14ac:dyDescent="0.25">
      <c r="A2410">
        <v>91</v>
      </c>
      <c r="B2410">
        <v>13571817</v>
      </c>
      <c r="C2410" t="s">
        <v>2379</v>
      </c>
      <c r="D2410" t="s">
        <v>1</v>
      </c>
      <c r="E2410" t="s">
        <v>2</v>
      </c>
      <c r="F2410">
        <v>15600000</v>
      </c>
      <c r="G2410">
        <v>2002</v>
      </c>
      <c r="H2410">
        <v>4.5</v>
      </c>
    </row>
    <row r="2411" spans="1:8" x14ac:dyDescent="0.25">
      <c r="A2411">
        <v>96</v>
      </c>
      <c r="B2411">
        <v>23213577</v>
      </c>
      <c r="C2411" t="s">
        <v>2352</v>
      </c>
      <c r="D2411" t="s">
        <v>1</v>
      </c>
      <c r="E2411" t="s">
        <v>620</v>
      </c>
      <c r="F2411">
        <v>15500000</v>
      </c>
      <c r="G2411">
        <v>2008</v>
      </c>
      <c r="H2411">
        <v>7.2</v>
      </c>
    </row>
    <row r="2412" spans="1:8" x14ac:dyDescent="0.25">
      <c r="A2412">
        <v>93</v>
      </c>
      <c r="B2412">
        <v>1181197</v>
      </c>
      <c r="C2412" t="s">
        <v>2381</v>
      </c>
      <c r="D2412" t="s">
        <v>1</v>
      </c>
      <c r="E2412" t="s">
        <v>2</v>
      </c>
      <c r="F2412">
        <v>15500000</v>
      </c>
      <c r="G2412">
        <v>2005</v>
      </c>
      <c r="H2412">
        <v>5.9</v>
      </c>
    </row>
    <row r="2413" spans="1:8" x14ac:dyDescent="0.25">
      <c r="A2413">
        <v>95</v>
      </c>
      <c r="B2413">
        <v>7774730</v>
      </c>
      <c r="C2413" t="s">
        <v>2383</v>
      </c>
      <c r="D2413" t="s">
        <v>1</v>
      </c>
      <c r="E2413" t="s">
        <v>38</v>
      </c>
      <c r="F2413">
        <v>15500000</v>
      </c>
      <c r="G2413">
        <v>2006</v>
      </c>
      <c r="H2413">
        <v>6.5</v>
      </c>
    </row>
    <row r="2414" spans="1:8" x14ac:dyDescent="0.25">
      <c r="A2414">
        <v>102</v>
      </c>
      <c r="B2414">
        <v>317040</v>
      </c>
      <c r="C2414" t="s">
        <v>2394</v>
      </c>
      <c r="D2414" t="s">
        <v>1</v>
      </c>
      <c r="E2414" t="s">
        <v>2</v>
      </c>
      <c r="F2414">
        <v>15500000</v>
      </c>
      <c r="G2414">
        <v>2008</v>
      </c>
      <c r="H2414">
        <v>6.8</v>
      </c>
    </row>
    <row r="2415" spans="1:8" x14ac:dyDescent="0.25">
      <c r="A2415">
        <v>89</v>
      </c>
      <c r="B2415">
        <v>313436</v>
      </c>
      <c r="C2415" t="s">
        <v>3480</v>
      </c>
      <c r="D2415" t="s">
        <v>3195</v>
      </c>
      <c r="E2415" t="s">
        <v>2380</v>
      </c>
      <c r="F2415">
        <v>15500000</v>
      </c>
      <c r="G2415">
        <v>2001</v>
      </c>
      <c r="H2415">
        <v>7.6</v>
      </c>
    </row>
    <row r="2416" spans="1:8" x14ac:dyDescent="0.25">
      <c r="A2416">
        <v>94</v>
      </c>
      <c r="B2416">
        <v>81525</v>
      </c>
      <c r="C2416" t="s">
        <v>2382</v>
      </c>
      <c r="D2416" t="s">
        <v>243</v>
      </c>
      <c r="E2416" t="s">
        <v>244</v>
      </c>
      <c r="F2416">
        <v>15300000</v>
      </c>
      <c r="G2416">
        <v>2001</v>
      </c>
      <c r="H2416">
        <v>6.6</v>
      </c>
    </row>
    <row r="2417" spans="1:8" x14ac:dyDescent="0.25">
      <c r="A2417">
        <v>109</v>
      </c>
      <c r="B2417">
        <v>13782838</v>
      </c>
      <c r="C2417" t="s">
        <v>1301</v>
      </c>
      <c r="D2417" t="s">
        <v>1</v>
      </c>
      <c r="E2417" t="s">
        <v>2</v>
      </c>
      <c r="F2417">
        <v>15000000</v>
      </c>
      <c r="G2417">
        <v>1982</v>
      </c>
      <c r="H2417">
        <v>8.1999999999999993</v>
      </c>
    </row>
    <row r="2418" spans="1:8" x14ac:dyDescent="0.25">
      <c r="A2418">
        <v>92</v>
      </c>
      <c r="B2418">
        <v>17508670</v>
      </c>
      <c r="C2418" t="s">
        <v>1707</v>
      </c>
      <c r="D2418" t="s">
        <v>1</v>
      </c>
      <c r="E2418" t="s">
        <v>5</v>
      </c>
      <c r="F2418">
        <v>15000000</v>
      </c>
      <c r="G2418">
        <v>2006</v>
      </c>
      <c r="H2418">
        <v>7.4</v>
      </c>
    </row>
    <row r="2419" spans="1:8" x14ac:dyDescent="0.25">
      <c r="A2419">
        <v>112</v>
      </c>
      <c r="B2419">
        <v>4485485</v>
      </c>
      <c r="C2419" t="s">
        <v>1729</v>
      </c>
      <c r="D2419" t="s">
        <v>1</v>
      </c>
      <c r="E2419" t="s">
        <v>2</v>
      </c>
      <c r="F2419">
        <v>15000000</v>
      </c>
      <c r="G2419">
        <v>1999</v>
      </c>
      <c r="H2419">
        <v>6.4</v>
      </c>
    </row>
    <row r="2420" spans="1:8" x14ac:dyDescent="0.25">
      <c r="A2420">
        <v>129</v>
      </c>
      <c r="B2420">
        <v>33565375</v>
      </c>
      <c r="C2420" t="s">
        <v>1763</v>
      </c>
      <c r="D2420" t="s">
        <v>1</v>
      </c>
      <c r="E2420" t="s">
        <v>5</v>
      </c>
      <c r="F2420">
        <v>15000000</v>
      </c>
      <c r="G2420">
        <v>2005</v>
      </c>
      <c r="H2420">
        <v>7.5</v>
      </c>
    </row>
    <row r="2421" spans="1:8" x14ac:dyDescent="0.25">
      <c r="A2421">
        <v>95</v>
      </c>
      <c r="B2421">
        <v>4006906</v>
      </c>
      <c r="C2421" t="s">
        <v>1883</v>
      </c>
      <c r="D2421" t="s">
        <v>1</v>
      </c>
      <c r="E2421" t="s">
        <v>2</v>
      </c>
      <c r="F2421">
        <v>15000000</v>
      </c>
      <c r="G2421">
        <v>2005</v>
      </c>
      <c r="H2421">
        <v>4.0999999999999996</v>
      </c>
    </row>
    <row r="2422" spans="1:8" x14ac:dyDescent="0.25">
      <c r="A2422">
        <v>148</v>
      </c>
      <c r="B2422">
        <v>18352454</v>
      </c>
      <c r="C2422" t="s">
        <v>2099</v>
      </c>
      <c r="D2422" t="s">
        <v>1</v>
      </c>
      <c r="E2422" t="s">
        <v>2</v>
      </c>
      <c r="F2422">
        <v>15000000</v>
      </c>
      <c r="G2422">
        <v>2007</v>
      </c>
      <c r="H2422">
        <v>8.1999999999999993</v>
      </c>
    </row>
    <row r="2423" spans="1:8" x14ac:dyDescent="0.25">
      <c r="A2423">
        <v>99</v>
      </c>
      <c r="B2423">
        <v>5702083</v>
      </c>
      <c r="C2423" t="s">
        <v>2153</v>
      </c>
      <c r="D2423" t="s">
        <v>1</v>
      </c>
      <c r="E2423" t="s">
        <v>5</v>
      </c>
      <c r="F2423">
        <v>15000000</v>
      </c>
      <c r="G2423">
        <v>2011</v>
      </c>
      <c r="H2423">
        <v>6.5</v>
      </c>
    </row>
    <row r="2424" spans="1:8" x14ac:dyDescent="0.25">
      <c r="A2424">
        <v>103</v>
      </c>
      <c r="B2424">
        <v>103001286</v>
      </c>
      <c r="C2424" t="s">
        <v>2188</v>
      </c>
      <c r="D2424" t="s">
        <v>1</v>
      </c>
      <c r="E2424" t="s">
        <v>2</v>
      </c>
      <c r="F2424">
        <v>15000000</v>
      </c>
      <c r="G2424">
        <v>1996</v>
      </c>
      <c r="H2424">
        <v>7.2</v>
      </c>
    </row>
    <row r="2425" spans="1:8" x14ac:dyDescent="0.25">
      <c r="A2425">
        <v>109</v>
      </c>
      <c r="B2425">
        <v>1357042</v>
      </c>
      <c r="C2425" t="s">
        <v>2195</v>
      </c>
      <c r="D2425" t="s">
        <v>1</v>
      </c>
      <c r="E2425" t="s">
        <v>88</v>
      </c>
      <c r="F2425">
        <v>15000000</v>
      </c>
      <c r="G2425">
        <v>2011</v>
      </c>
      <c r="H2425">
        <v>7.1</v>
      </c>
    </row>
    <row r="2426" spans="1:8" x14ac:dyDescent="0.25">
      <c r="A2426">
        <v>97</v>
      </c>
      <c r="B2426">
        <v>20433940</v>
      </c>
      <c r="C2426" t="s">
        <v>2209</v>
      </c>
      <c r="D2426" t="s">
        <v>1</v>
      </c>
      <c r="E2426" t="s">
        <v>38</v>
      </c>
      <c r="F2426">
        <v>15000000</v>
      </c>
      <c r="G2426">
        <v>2005</v>
      </c>
      <c r="H2426">
        <v>6.2</v>
      </c>
    </row>
    <row r="2427" spans="1:8" x14ac:dyDescent="0.25">
      <c r="A2427">
        <v>107</v>
      </c>
      <c r="B2427">
        <v>59735548</v>
      </c>
      <c r="C2427" t="s">
        <v>2227</v>
      </c>
      <c r="D2427" t="s">
        <v>1</v>
      </c>
      <c r="E2427" t="s">
        <v>2</v>
      </c>
      <c r="F2427">
        <v>15000000</v>
      </c>
      <c r="G2427">
        <v>1987</v>
      </c>
      <c r="H2427">
        <v>7.8</v>
      </c>
    </row>
    <row r="2428" spans="1:8" x14ac:dyDescent="0.25">
      <c r="A2428">
        <v>111</v>
      </c>
      <c r="B2428">
        <v>31471430</v>
      </c>
      <c r="C2428" t="s">
        <v>2236</v>
      </c>
      <c r="D2428" t="s">
        <v>1</v>
      </c>
      <c r="E2428" t="s">
        <v>2</v>
      </c>
      <c r="F2428">
        <v>15000000</v>
      </c>
      <c r="G2428">
        <v>2006</v>
      </c>
      <c r="H2428">
        <v>7.6</v>
      </c>
    </row>
    <row r="2429" spans="1:8" x14ac:dyDescent="0.25">
      <c r="A2429">
        <v>108</v>
      </c>
      <c r="B2429">
        <v>41777564</v>
      </c>
      <c r="C2429" t="s">
        <v>2304</v>
      </c>
      <c r="D2429" t="s">
        <v>1</v>
      </c>
      <c r="E2429" t="s">
        <v>2</v>
      </c>
      <c r="F2429">
        <v>15000000</v>
      </c>
      <c r="G2429">
        <v>2006</v>
      </c>
      <c r="H2429">
        <v>6.4</v>
      </c>
    </row>
    <row r="2430" spans="1:8" x14ac:dyDescent="0.25">
      <c r="A2430">
        <v>126</v>
      </c>
      <c r="B2430">
        <v>43848100</v>
      </c>
      <c r="C2430" t="s">
        <v>2327</v>
      </c>
      <c r="D2430" t="s">
        <v>1</v>
      </c>
      <c r="E2430" t="s">
        <v>2</v>
      </c>
      <c r="F2430">
        <v>15000000</v>
      </c>
      <c r="G2430">
        <v>1987</v>
      </c>
      <c r="H2430">
        <v>7.4</v>
      </c>
    </row>
    <row r="2431" spans="1:8" x14ac:dyDescent="0.25">
      <c r="A2431">
        <v>126</v>
      </c>
      <c r="B2431">
        <v>13005485</v>
      </c>
      <c r="C2431" t="s">
        <v>2331</v>
      </c>
      <c r="D2431" t="s">
        <v>1</v>
      </c>
      <c r="E2431" t="s">
        <v>2</v>
      </c>
      <c r="F2431">
        <v>15000000</v>
      </c>
      <c r="G2431">
        <v>2003</v>
      </c>
      <c r="H2431">
        <v>7.6</v>
      </c>
    </row>
    <row r="2432" spans="1:8" x14ac:dyDescent="0.25">
      <c r="A2432">
        <v>100</v>
      </c>
      <c r="B2432">
        <v>44667095</v>
      </c>
      <c r="C2432" t="s">
        <v>2338</v>
      </c>
      <c r="D2432" t="s">
        <v>1</v>
      </c>
      <c r="E2432" t="s">
        <v>244</v>
      </c>
      <c r="F2432">
        <v>15000000</v>
      </c>
      <c r="G2432">
        <v>2011</v>
      </c>
      <c r="H2432">
        <v>8</v>
      </c>
    </row>
    <row r="2433" spans="1:8" x14ac:dyDescent="0.25">
      <c r="A2433">
        <v>110</v>
      </c>
      <c r="B2433">
        <v>30102717</v>
      </c>
      <c r="C2433" t="s">
        <v>2349</v>
      </c>
      <c r="D2433" t="s">
        <v>1</v>
      </c>
      <c r="E2433" t="s">
        <v>2</v>
      </c>
      <c r="F2433">
        <v>15000000</v>
      </c>
      <c r="G2433">
        <v>1991</v>
      </c>
      <c r="H2433">
        <v>5.5</v>
      </c>
    </row>
    <row r="2434" spans="1:8" x14ac:dyDescent="0.25">
      <c r="A2434">
        <v>112</v>
      </c>
      <c r="B2434">
        <v>4734235</v>
      </c>
      <c r="C2434" t="s">
        <v>2365</v>
      </c>
      <c r="D2434" t="s">
        <v>1</v>
      </c>
      <c r="E2434" t="s">
        <v>2</v>
      </c>
      <c r="F2434">
        <v>15000000</v>
      </c>
      <c r="G2434">
        <v>2000</v>
      </c>
      <c r="H2434">
        <v>6</v>
      </c>
    </row>
    <row r="2435" spans="1:8" x14ac:dyDescent="0.25">
      <c r="A2435">
        <v>95</v>
      </c>
      <c r="B2435">
        <v>4193025</v>
      </c>
      <c r="C2435" t="s">
        <v>2367</v>
      </c>
      <c r="D2435" t="s">
        <v>1</v>
      </c>
      <c r="E2435" t="s">
        <v>2</v>
      </c>
      <c r="F2435">
        <v>15000000</v>
      </c>
      <c r="G2435">
        <v>1999</v>
      </c>
      <c r="H2435">
        <v>6.8</v>
      </c>
    </row>
    <row r="2436" spans="1:8" x14ac:dyDescent="0.25">
      <c r="A2436">
        <v>92</v>
      </c>
      <c r="B2436">
        <v>23091</v>
      </c>
      <c r="C2436" t="s">
        <v>2375</v>
      </c>
      <c r="D2436" t="s">
        <v>1</v>
      </c>
      <c r="E2436" t="s">
        <v>5</v>
      </c>
      <c r="F2436">
        <v>15000000</v>
      </c>
      <c r="G2436">
        <v>2008</v>
      </c>
      <c r="H2436">
        <v>6.2</v>
      </c>
    </row>
    <row r="2437" spans="1:8" x14ac:dyDescent="0.25">
      <c r="A2437">
        <v>110</v>
      </c>
      <c r="B2437">
        <v>176781728</v>
      </c>
      <c r="C2437" t="s">
        <v>2388</v>
      </c>
      <c r="D2437" t="s">
        <v>1</v>
      </c>
      <c r="E2437" t="s">
        <v>2</v>
      </c>
      <c r="F2437">
        <v>15000000</v>
      </c>
      <c r="G2437">
        <v>1986</v>
      </c>
      <c r="H2437">
        <v>6.9</v>
      </c>
    </row>
    <row r="2438" spans="1:8" x14ac:dyDescent="0.25">
      <c r="A2438">
        <v>120</v>
      </c>
      <c r="B2438">
        <v>128067808</v>
      </c>
      <c r="C2438" t="s">
        <v>2389</v>
      </c>
      <c r="D2438" t="s">
        <v>326</v>
      </c>
      <c r="E2438" t="s">
        <v>2390</v>
      </c>
      <c r="F2438">
        <v>15000000</v>
      </c>
      <c r="G2438">
        <v>2000</v>
      </c>
      <c r="H2438">
        <v>7.9</v>
      </c>
    </row>
    <row r="2439" spans="1:8" x14ac:dyDescent="0.25">
      <c r="A2439">
        <v>122</v>
      </c>
      <c r="B2439">
        <v>130058047</v>
      </c>
      <c r="C2439" t="s">
        <v>2391</v>
      </c>
      <c r="D2439" t="s">
        <v>1</v>
      </c>
      <c r="E2439" t="s">
        <v>2</v>
      </c>
      <c r="F2439">
        <v>15000000</v>
      </c>
      <c r="G2439">
        <v>1999</v>
      </c>
      <c r="H2439">
        <v>8.4</v>
      </c>
    </row>
    <row r="2440" spans="1:8" x14ac:dyDescent="0.25">
      <c r="A2440">
        <v>118</v>
      </c>
      <c r="B2440">
        <v>138795342</v>
      </c>
      <c r="C2440" t="s">
        <v>2392</v>
      </c>
      <c r="D2440" t="s">
        <v>1</v>
      </c>
      <c r="E2440" t="s">
        <v>5</v>
      </c>
      <c r="F2440">
        <v>15000000</v>
      </c>
      <c r="G2440">
        <v>2010</v>
      </c>
      <c r="H2440">
        <v>8</v>
      </c>
    </row>
    <row r="2441" spans="1:8" x14ac:dyDescent="0.25">
      <c r="A2441">
        <v>107</v>
      </c>
      <c r="B2441">
        <v>111936400</v>
      </c>
      <c r="C2441" t="s">
        <v>2393</v>
      </c>
      <c r="D2441" t="s">
        <v>1</v>
      </c>
      <c r="E2441" t="s">
        <v>2</v>
      </c>
      <c r="F2441">
        <v>15000000</v>
      </c>
      <c r="G2441">
        <v>1988</v>
      </c>
      <c r="H2441">
        <v>6</v>
      </c>
    </row>
    <row r="2442" spans="1:8" x14ac:dyDescent="0.25">
      <c r="A2442">
        <v>154</v>
      </c>
      <c r="B2442">
        <v>94175854</v>
      </c>
      <c r="C2442" t="s">
        <v>2395</v>
      </c>
      <c r="D2442" t="s">
        <v>1</v>
      </c>
      <c r="E2442" t="s">
        <v>2</v>
      </c>
      <c r="F2442">
        <v>15000000</v>
      </c>
      <c r="G2442">
        <v>1985</v>
      </c>
      <c r="H2442">
        <v>7.8</v>
      </c>
    </row>
    <row r="2443" spans="1:8" x14ac:dyDescent="0.25">
      <c r="A2443">
        <v>94</v>
      </c>
      <c r="B2443">
        <v>64001297</v>
      </c>
      <c r="C2443" t="s">
        <v>2399</v>
      </c>
      <c r="D2443" t="s">
        <v>1</v>
      </c>
      <c r="E2443" t="s">
        <v>2</v>
      </c>
      <c r="F2443">
        <v>15000000</v>
      </c>
      <c r="G2443">
        <v>2010</v>
      </c>
      <c r="H2443">
        <v>6.2</v>
      </c>
    </row>
    <row r="2444" spans="1:8" x14ac:dyDescent="0.25">
      <c r="A2444">
        <v>98</v>
      </c>
      <c r="B2444">
        <v>61400000</v>
      </c>
      <c r="C2444" t="s">
        <v>2401</v>
      </c>
      <c r="D2444" t="s">
        <v>1</v>
      </c>
      <c r="E2444" t="s">
        <v>2</v>
      </c>
      <c r="F2444">
        <v>15000000</v>
      </c>
      <c r="G2444">
        <v>1983</v>
      </c>
      <c r="H2444">
        <v>7.4</v>
      </c>
    </row>
    <row r="2445" spans="1:8" x14ac:dyDescent="0.25">
      <c r="A2445">
        <v>102</v>
      </c>
      <c r="B2445">
        <v>101978840</v>
      </c>
      <c r="C2445" t="s">
        <v>2402</v>
      </c>
      <c r="D2445" t="s">
        <v>1</v>
      </c>
      <c r="E2445" t="s">
        <v>2</v>
      </c>
      <c r="F2445">
        <v>15000000</v>
      </c>
      <c r="G2445">
        <v>2013</v>
      </c>
      <c r="H2445">
        <v>6.6</v>
      </c>
    </row>
    <row r="2446" spans="1:8" x14ac:dyDescent="0.25">
      <c r="A2446">
        <v>92</v>
      </c>
      <c r="B2446">
        <v>73326666</v>
      </c>
      <c r="C2446" t="s">
        <v>2404</v>
      </c>
      <c r="D2446" t="s">
        <v>1</v>
      </c>
      <c r="E2446" t="s">
        <v>2</v>
      </c>
      <c r="F2446">
        <v>15000000</v>
      </c>
      <c r="G2446">
        <v>1988</v>
      </c>
      <c r="H2446">
        <v>7.5</v>
      </c>
    </row>
    <row r="2447" spans="1:8" x14ac:dyDescent="0.25">
      <c r="A2447">
        <v>113</v>
      </c>
      <c r="B2447">
        <v>55184721</v>
      </c>
      <c r="C2447" t="s">
        <v>2405</v>
      </c>
      <c r="D2447" t="s">
        <v>1</v>
      </c>
      <c r="E2447" t="s">
        <v>2</v>
      </c>
      <c r="F2447">
        <v>15000000</v>
      </c>
      <c r="G2447">
        <v>2007</v>
      </c>
      <c r="H2447">
        <v>5.6</v>
      </c>
    </row>
    <row r="2448" spans="1:8" x14ac:dyDescent="0.25">
      <c r="A2448">
        <v>115</v>
      </c>
      <c r="B2448">
        <v>50003300</v>
      </c>
      <c r="C2448" t="s">
        <v>2406</v>
      </c>
      <c r="D2448" t="s">
        <v>1</v>
      </c>
      <c r="E2448" t="s">
        <v>2</v>
      </c>
      <c r="F2448">
        <v>15000000</v>
      </c>
      <c r="G2448">
        <v>1994</v>
      </c>
      <c r="H2448">
        <v>7.3</v>
      </c>
    </row>
    <row r="2449" spans="1:8" x14ac:dyDescent="0.25">
      <c r="A2449">
        <v>87</v>
      </c>
      <c r="B2449">
        <v>47860214</v>
      </c>
      <c r="C2449" t="s">
        <v>2408</v>
      </c>
      <c r="D2449" t="s">
        <v>1</v>
      </c>
      <c r="E2449" t="s">
        <v>2</v>
      </c>
      <c r="F2449">
        <v>15000000</v>
      </c>
      <c r="G2449">
        <v>2006</v>
      </c>
      <c r="H2449">
        <v>5</v>
      </c>
    </row>
    <row r="2450" spans="1:8" x14ac:dyDescent="0.25">
      <c r="A2450">
        <v>88</v>
      </c>
      <c r="B2450">
        <v>47811275</v>
      </c>
      <c r="C2450" t="s">
        <v>2409</v>
      </c>
      <c r="D2450" t="s">
        <v>1</v>
      </c>
      <c r="E2450" t="s">
        <v>2</v>
      </c>
      <c r="F2450">
        <v>15000000</v>
      </c>
      <c r="G2450">
        <v>2002</v>
      </c>
      <c r="H2450">
        <v>5.4</v>
      </c>
    </row>
    <row r="2451" spans="1:8" x14ac:dyDescent="0.25">
      <c r="A2451">
        <v>97</v>
      </c>
      <c r="B2451">
        <v>43022524</v>
      </c>
      <c r="C2451" t="s">
        <v>2410</v>
      </c>
      <c r="D2451" t="s">
        <v>1</v>
      </c>
      <c r="E2451" t="s">
        <v>2</v>
      </c>
      <c r="F2451">
        <v>15000000</v>
      </c>
      <c r="G2451">
        <v>1997</v>
      </c>
      <c r="H2451">
        <v>7.1</v>
      </c>
    </row>
    <row r="2452" spans="1:8" x14ac:dyDescent="0.25">
      <c r="A2452">
        <v>112</v>
      </c>
      <c r="B2452">
        <v>42919096</v>
      </c>
      <c r="C2452" t="s">
        <v>2412</v>
      </c>
      <c r="D2452" t="s">
        <v>1</v>
      </c>
      <c r="E2452" t="s">
        <v>2</v>
      </c>
      <c r="F2452">
        <v>15000000</v>
      </c>
      <c r="G2452">
        <v>2013</v>
      </c>
      <c r="H2452">
        <v>6.5</v>
      </c>
    </row>
    <row r="2453" spans="1:8" x14ac:dyDescent="0.25">
      <c r="A2453">
        <v>98</v>
      </c>
      <c r="B2453">
        <v>42592530</v>
      </c>
      <c r="C2453" t="s">
        <v>2413</v>
      </c>
      <c r="D2453" t="s">
        <v>1</v>
      </c>
      <c r="E2453" t="s">
        <v>2</v>
      </c>
      <c r="F2453">
        <v>15000000</v>
      </c>
      <c r="G2453">
        <v>2015</v>
      </c>
      <c r="H2453">
        <v>6.2</v>
      </c>
    </row>
    <row r="2454" spans="1:8" x14ac:dyDescent="0.25">
      <c r="A2454">
        <v>104</v>
      </c>
      <c r="B2454">
        <v>40064955</v>
      </c>
      <c r="C2454" t="s">
        <v>2414</v>
      </c>
      <c r="D2454" t="s">
        <v>1</v>
      </c>
      <c r="E2454" t="s">
        <v>2</v>
      </c>
      <c r="F2454">
        <v>15000000</v>
      </c>
      <c r="G2454">
        <v>1998</v>
      </c>
      <c r="H2454">
        <v>6.4</v>
      </c>
    </row>
    <row r="2455" spans="1:8" x14ac:dyDescent="0.25">
      <c r="A2455">
        <v>106</v>
      </c>
      <c r="B2455">
        <v>35007180</v>
      </c>
      <c r="C2455" t="s">
        <v>2418</v>
      </c>
      <c r="D2455" t="s">
        <v>1</v>
      </c>
      <c r="E2455" t="s">
        <v>2</v>
      </c>
      <c r="F2455">
        <v>15000000</v>
      </c>
      <c r="G2455">
        <v>2000</v>
      </c>
      <c r="H2455">
        <v>5.6</v>
      </c>
    </row>
    <row r="2456" spans="1:8" x14ac:dyDescent="0.25">
      <c r="A2456">
        <v>123</v>
      </c>
      <c r="B2456">
        <v>35887263</v>
      </c>
      <c r="C2456" t="s">
        <v>2419</v>
      </c>
      <c r="D2456" t="s">
        <v>1</v>
      </c>
      <c r="E2456" t="s">
        <v>5</v>
      </c>
      <c r="F2456">
        <v>15000000</v>
      </c>
      <c r="G2456">
        <v>2014</v>
      </c>
      <c r="H2456">
        <v>7.7</v>
      </c>
    </row>
    <row r="2457" spans="1:8" x14ac:dyDescent="0.25">
      <c r="A2457">
        <v>120</v>
      </c>
      <c r="B2457">
        <v>33771174</v>
      </c>
      <c r="C2457" t="s">
        <v>2421</v>
      </c>
      <c r="D2457" t="s">
        <v>1</v>
      </c>
      <c r="E2457" t="s">
        <v>2</v>
      </c>
      <c r="F2457">
        <v>15000000</v>
      </c>
      <c r="G2457">
        <v>2000</v>
      </c>
      <c r="H2457">
        <v>6.8</v>
      </c>
    </row>
    <row r="2458" spans="1:8" x14ac:dyDescent="0.25">
      <c r="A2458">
        <v>227</v>
      </c>
      <c r="B2458">
        <v>6000000</v>
      </c>
      <c r="C2458" t="s">
        <v>2422</v>
      </c>
      <c r="D2458" t="s">
        <v>1</v>
      </c>
      <c r="E2458" t="s">
        <v>5</v>
      </c>
      <c r="F2458">
        <v>15000000</v>
      </c>
      <c r="G2458">
        <v>1962</v>
      </c>
      <c r="H2458">
        <v>8.4</v>
      </c>
    </row>
    <row r="2459" spans="1:8" x14ac:dyDescent="0.25">
      <c r="A2459">
        <v>119</v>
      </c>
      <c r="B2459">
        <v>33386128</v>
      </c>
      <c r="C2459" t="s">
        <v>2423</v>
      </c>
      <c r="D2459" t="s">
        <v>1</v>
      </c>
      <c r="E2459" t="s">
        <v>2</v>
      </c>
      <c r="F2459">
        <v>15000000</v>
      </c>
      <c r="G2459">
        <v>2009</v>
      </c>
      <c r="H2459">
        <v>4.9000000000000004</v>
      </c>
    </row>
    <row r="2460" spans="1:8" x14ac:dyDescent="0.25">
      <c r="A2460">
        <v>115</v>
      </c>
      <c r="B2460">
        <v>37877959</v>
      </c>
      <c r="C2460" t="s">
        <v>2424</v>
      </c>
      <c r="D2460" t="s">
        <v>1</v>
      </c>
      <c r="E2460" t="s">
        <v>2</v>
      </c>
      <c r="F2460">
        <v>15000000</v>
      </c>
      <c r="G2460">
        <v>2014</v>
      </c>
      <c r="H2460">
        <v>7.1</v>
      </c>
    </row>
    <row r="2461" spans="1:8" x14ac:dyDescent="0.25">
      <c r="A2461">
        <v>114</v>
      </c>
      <c r="B2461">
        <v>32721635</v>
      </c>
      <c r="C2461" t="s">
        <v>2425</v>
      </c>
      <c r="D2461" t="s">
        <v>1</v>
      </c>
      <c r="E2461" t="s">
        <v>2</v>
      </c>
      <c r="F2461">
        <v>15000000</v>
      </c>
      <c r="G2461">
        <v>2009</v>
      </c>
      <c r="H2461">
        <v>6.6</v>
      </c>
    </row>
    <row r="2462" spans="1:8" x14ac:dyDescent="0.25">
      <c r="A2462">
        <v>90</v>
      </c>
      <c r="B2462">
        <v>31585300</v>
      </c>
      <c r="C2462" t="s">
        <v>2426</v>
      </c>
      <c r="D2462" t="s">
        <v>1</v>
      </c>
      <c r="E2462" t="s">
        <v>2</v>
      </c>
      <c r="F2462">
        <v>15000000</v>
      </c>
      <c r="G2462">
        <v>2005</v>
      </c>
      <c r="H2462">
        <v>6.1</v>
      </c>
    </row>
    <row r="2463" spans="1:8" x14ac:dyDescent="0.25">
      <c r="A2463">
        <v>94</v>
      </c>
      <c r="B2463">
        <v>30259652</v>
      </c>
      <c r="C2463" t="s">
        <v>2427</v>
      </c>
      <c r="D2463" t="s">
        <v>1</v>
      </c>
      <c r="E2463" t="s">
        <v>2</v>
      </c>
      <c r="F2463">
        <v>15000000</v>
      </c>
      <c r="G2463">
        <v>2002</v>
      </c>
      <c r="H2463">
        <v>4.0999999999999996</v>
      </c>
    </row>
    <row r="2464" spans="1:8" x14ac:dyDescent="0.25">
      <c r="A2464">
        <v>126</v>
      </c>
      <c r="B2464">
        <v>30226144</v>
      </c>
      <c r="C2464" t="s">
        <v>2429</v>
      </c>
      <c r="D2464" t="s">
        <v>1</v>
      </c>
      <c r="E2464" t="s">
        <v>2</v>
      </c>
      <c r="F2464">
        <v>15000000</v>
      </c>
      <c r="G2464">
        <v>2007</v>
      </c>
      <c r="H2464">
        <v>7.6</v>
      </c>
    </row>
    <row r="2465" spans="1:8" x14ac:dyDescent="0.25">
      <c r="A2465">
        <v>100</v>
      </c>
      <c r="B2465">
        <v>35054909</v>
      </c>
      <c r="C2465" t="s">
        <v>2430</v>
      </c>
      <c r="D2465" t="s">
        <v>1</v>
      </c>
      <c r="E2465" t="s">
        <v>2</v>
      </c>
      <c r="F2465">
        <v>15000000</v>
      </c>
      <c r="G2465">
        <v>2011</v>
      </c>
      <c r="H2465">
        <v>7.8</v>
      </c>
    </row>
    <row r="2466" spans="1:8" x14ac:dyDescent="0.25">
      <c r="A2466">
        <v>89</v>
      </c>
      <c r="B2466">
        <v>29302097</v>
      </c>
      <c r="C2466" t="s">
        <v>2431</v>
      </c>
      <c r="D2466" t="s">
        <v>1</v>
      </c>
      <c r="E2466" t="s">
        <v>119</v>
      </c>
      <c r="F2466">
        <v>15000000</v>
      </c>
      <c r="G2466">
        <v>2004</v>
      </c>
      <c r="H2466">
        <v>4.5999999999999996</v>
      </c>
    </row>
    <row r="2467" spans="1:8" x14ac:dyDescent="0.25">
      <c r="A2467">
        <v>111</v>
      </c>
      <c r="B2467">
        <v>29106737</v>
      </c>
      <c r="C2467" t="s">
        <v>2432</v>
      </c>
      <c r="D2467" t="s">
        <v>1</v>
      </c>
      <c r="E2467" t="s">
        <v>2</v>
      </c>
      <c r="F2467">
        <v>15000000</v>
      </c>
      <c r="G2467">
        <v>1998</v>
      </c>
      <c r="H2467">
        <v>6</v>
      </c>
    </row>
    <row r="2468" spans="1:8" x14ac:dyDescent="0.25">
      <c r="A2468">
        <v>100</v>
      </c>
      <c r="B2468">
        <v>28637507</v>
      </c>
      <c r="C2468" t="s">
        <v>2433</v>
      </c>
      <c r="D2468" t="s">
        <v>1</v>
      </c>
      <c r="E2468" t="s">
        <v>5</v>
      </c>
      <c r="F2468">
        <v>15000000</v>
      </c>
      <c r="G2468">
        <v>2007</v>
      </c>
      <c r="H2468">
        <v>7</v>
      </c>
    </row>
    <row r="2469" spans="1:8" x14ac:dyDescent="0.25">
      <c r="A2469">
        <v>115</v>
      </c>
      <c r="B2469">
        <v>30127963</v>
      </c>
      <c r="C2469" t="s">
        <v>2434</v>
      </c>
      <c r="D2469" t="s">
        <v>1</v>
      </c>
      <c r="E2469" t="s">
        <v>2</v>
      </c>
      <c r="F2469">
        <v>15000000</v>
      </c>
      <c r="G2469">
        <v>2014</v>
      </c>
      <c r="H2469">
        <v>6.7</v>
      </c>
    </row>
    <row r="2470" spans="1:8" x14ac:dyDescent="0.25">
      <c r="A2470">
        <v>124</v>
      </c>
      <c r="B2470">
        <v>27441122</v>
      </c>
      <c r="C2470" t="s">
        <v>2436</v>
      </c>
      <c r="D2470" t="s">
        <v>1</v>
      </c>
      <c r="E2470" t="s">
        <v>2</v>
      </c>
      <c r="F2470">
        <v>15000000</v>
      </c>
      <c r="G2470">
        <v>2000</v>
      </c>
      <c r="H2470">
        <v>7.2</v>
      </c>
    </row>
    <row r="2471" spans="1:8" x14ac:dyDescent="0.25">
      <c r="A2471">
        <v>107</v>
      </c>
      <c r="B2471">
        <v>28014536</v>
      </c>
      <c r="C2471" t="s">
        <v>2437</v>
      </c>
      <c r="D2471" t="s">
        <v>1</v>
      </c>
      <c r="E2471" t="s">
        <v>2</v>
      </c>
      <c r="F2471">
        <v>15000000</v>
      </c>
      <c r="G2471">
        <v>1997</v>
      </c>
      <c r="H2471">
        <v>7.4</v>
      </c>
    </row>
    <row r="2472" spans="1:8" x14ac:dyDescent="0.25">
      <c r="A2472">
        <v>99</v>
      </c>
      <c r="B2472">
        <v>33860010</v>
      </c>
      <c r="C2472" t="s">
        <v>2438</v>
      </c>
      <c r="D2472" t="s">
        <v>1</v>
      </c>
      <c r="E2472" t="s">
        <v>2</v>
      </c>
      <c r="F2472">
        <v>15000000</v>
      </c>
      <c r="G2472">
        <v>2009</v>
      </c>
      <c r="H2472">
        <v>4.8</v>
      </c>
    </row>
    <row r="2473" spans="1:8" x14ac:dyDescent="0.25">
      <c r="A2473">
        <v>90</v>
      </c>
      <c r="B2473">
        <v>26421314</v>
      </c>
      <c r="C2473" t="s">
        <v>2439</v>
      </c>
      <c r="D2473" t="s">
        <v>1</v>
      </c>
      <c r="E2473" t="s">
        <v>2</v>
      </c>
      <c r="F2473">
        <v>15000000</v>
      </c>
      <c r="G2473">
        <v>2000</v>
      </c>
      <c r="H2473">
        <v>4</v>
      </c>
    </row>
    <row r="2474" spans="1:8" x14ac:dyDescent="0.25">
      <c r="A2474">
        <v>101</v>
      </c>
      <c r="B2474">
        <v>24881000</v>
      </c>
      <c r="C2474" t="s">
        <v>2440</v>
      </c>
      <c r="D2474" t="s">
        <v>1</v>
      </c>
      <c r="E2474" t="s">
        <v>2</v>
      </c>
      <c r="F2474">
        <v>15000000</v>
      </c>
      <c r="G2474">
        <v>1996</v>
      </c>
      <c r="H2474">
        <v>6.2</v>
      </c>
    </row>
    <row r="2475" spans="1:8" x14ac:dyDescent="0.25">
      <c r="A2475">
        <v>119</v>
      </c>
      <c r="B2475">
        <v>23089926</v>
      </c>
      <c r="C2475" t="s">
        <v>2441</v>
      </c>
      <c r="D2475" t="s">
        <v>1</v>
      </c>
      <c r="E2475" t="s">
        <v>5</v>
      </c>
      <c r="F2475">
        <v>15000000</v>
      </c>
      <c r="G2475">
        <v>2005</v>
      </c>
      <c r="H2475">
        <v>7.7</v>
      </c>
    </row>
    <row r="2476" spans="1:8" x14ac:dyDescent="0.25">
      <c r="A2476">
        <v>103</v>
      </c>
      <c r="B2476">
        <v>26161406</v>
      </c>
      <c r="C2476" t="s">
        <v>2442</v>
      </c>
      <c r="D2476" t="s">
        <v>1</v>
      </c>
      <c r="E2476" t="s">
        <v>2</v>
      </c>
      <c r="F2476">
        <v>15000000</v>
      </c>
      <c r="G2476">
        <v>2010</v>
      </c>
      <c r="H2476">
        <v>6.7</v>
      </c>
    </row>
    <row r="2477" spans="1:8" x14ac:dyDescent="0.25">
      <c r="A2477">
        <v>155</v>
      </c>
      <c r="B2477">
        <v>26384919</v>
      </c>
      <c r="C2477" t="s">
        <v>2444</v>
      </c>
      <c r="D2477" t="s">
        <v>1</v>
      </c>
      <c r="E2477" t="s">
        <v>2</v>
      </c>
      <c r="F2477">
        <v>15000000</v>
      </c>
      <c r="G2477">
        <v>1997</v>
      </c>
      <c r="H2477">
        <v>7.9</v>
      </c>
    </row>
    <row r="2478" spans="1:8" x14ac:dyDescent="0.25">
      <c r="A2478">
        <v>94</v>
      </c>
      <c r="B2478">
        <v>22189039</v>
      </c>
      <c r="C2478" t="s">
        <v>2445</v>
      </c>
      <c r="D2478" t="s">
        <v>1</v>
      </c>
      <c r="E2478" t="s">
        <v>2</v>
      </c>
      <c r="F2478">
        <v>15000000</v>
      </c>
      <c r="G2478">
        <v>1993</v>
      </c>
      <c r="H2478">
        <v>5.5</v>
      </c>
    </row>
    <row r="2479" spans="1:8" x14ac:dyDescent="0.25">
      <c r="A2479">
        <v>95</v>
      </c>
      <c r="B2479">
        <v>20998709</v>
      </c>
      <c r="C2479" t="s">
        <v>2446</v>
      </c>
      <c r="D2479" t="s">
        <v>1</v>
      </c>
      <c r="E2479" t="s">
        <v>2</v>
      </c>
      <c r="F2479">
        <v>15000000</v>
      </c>
      <c r="G2479">
        <v>2006</v>
      </c>
      <c r="H2479">
        <v>6.2</v>
      </c>
    </row>
    <row r="2480" spans="1:8" x14ac:dyDescent="0.25">
      <c r="A2480">
        <v>89</v>
      </c>
      <c r="B2480">
        <v>20801344</v>
      </c>
      <c r="C2480" t="s">
        <v>2447</v>
      </c>
      <c r="D2480" t="s">
        <v>1</v>
      </c>
      <c r="E2480" t="s">
        <v>2</v>
      </c>
      <c r="F2480">
        <v>15000000</v>
      </c>
      <c r="G2480">
        <v>2007</v>
      </c>
      <c r="H2480">
        <v>5.0999999999999996</v>
      </c>
    </row>
    <row r="2481" spans="1:8" x14ac:dyDescent="0.25">
      <c r="A2481">
        <v>90</v>
      </c>
      <c r="B2481">
        <v>19158074</v>
      </c>
      <c r="C2481" t="s">
        <v>2449</v>
      </c>
      <c r="D2481" t="s">
        <v>1</v>
      </c>
      <c r="E2481" t="s">
        <v>2</v>
      </c>
      <c r="F2481">
        <v>15000000</v>
      </c>
      <c r="G2481">
        <v>2002</v>
      </c>
      <c r="H2481">
        <v>6.7</v>
      </c>
    </row>
    <row r="2482" spans="1:8" x14ac:dyDescent="0.25">
      <c r="A2482">
        <v>100</v>
      </c>
      <c r="B2482">
        <v>20566327</v>
      </c>
      <c r="C2482" t="s">
        <v>2451</v>
      </c>
      <c r="D2482" t="s">
        <v>1</v>
      </c>
      <c r="E2482" t="s">
        <v>2</v>
      </c>
      <c r="F2482">
        <v>15000000</v>
      </c>
      <c r="G2482">
        <v>2016</v>
      </c>
      <c r="H2482">
        <v>6.4</v>
      </c>
    </row>
    <row r="2483" spans="1:8" x14ac:dyDescent="0.25">
      <c r="A2483">
        <v>84</v>
      </c>
      <c r="B2483">
        <v>17411331</v>
      </c>
      <c r="C2483" t="s">
        <v>2452</v>
      </c>
      <c r="D2483" t="s">
        <v>1</v>
      </c>
      <c r="E2483" t="s">
        <v>55</v>
      </c>
      <c r="F2483">
        <v>15000000</v>
      </c>
      <c r="G2483">
        <v>1998</v>
      </c>
      <c r="H2483">
        <v>5.5</v>
      </c>
    </row>
    <row r="2484" spans="1:8" x14ac:dyDescent="0.25">
      <c r="A2484">
        <v>140</v>
      </c>
      <c r="B2484">
        <v>21383298</v>
      </c>
      <c r="C2484" t="s">
        <v>2453</v>
      </c>
      <c r="D2484" t="s">
        <v>1</v>
      </c>
      <c r="E2484" t="s">
        <v>2</v>
      </c>
      <c r="F2484">
        <v>15000000</v>
      </c>
      <c r="G2484">
        <v>2012</v>
      </c>
      <c r="H2484">
        <v>7.3</v>
      </c>
    </row>
    <row r="2485" spans="1:8" x14ac:dyDescent="0.25">
      <c r="A2485">
        <v>108</v>
      </c>
      <c r="B2485">
        <v>24984868</v>
      </c>
      <c r="C2485" t="s">
        <v>2454</v>
      </c>
      <c r="D2485" t="s">
        <v>1</v>
      </c>
      <c r="E2485" t="s">
        <v>2</v>
      </c>
      <c r="F2485">
        <v>15000000</v>
      </c>
      <c r="G2485">
        <v>2014</v>
      </c>
      <c r="H2485">
        <v>6.3</v>
      </c>
    </row>
    <row r="2486" spans="1:8" x14ac:dyDescent="0.25">
      <c r="A2486">
        <v>109</v>
      </c>
      <c r="B2486">
        <v>16459004</v>
      </c>
      <c r="C2486" t="s">
        <v>2455</v>
      </c>
      <c r="D2486" t="s">
        <v>1</v>
      </c>
      <c r="E2486" t="s">
        <v>38</v>
      </c>
      <c r="F2486">
        <v>15000000</v>
      </c>
      <c r="G2486">
        <v>1999</v>
      </c>
      <c r="H2486">
        <v>4.9000000000000004</v>
      </c>
    </row>
    <row r="2487" spans="1:8" x14ac:dyDescent="0.25">
      <c r="A2487">
        <v>131</v>
      </c>
      <c r="B2487">
        <v>15700000</v>
      </c>
      <c r="C2487" t="s">
        <v>2456</v>
      </c>
      <c r="D2487" t="s">
        <v>1</v>
      </c>
      <c r="E2487" t="s">
        <v>2</v>
      </c>
      <c r="F2487">
        <v>15000000</v>
      </c>
      <c r="G2487">
        <v>2008</v>
      </c>
      <c r="H2487">
        <v>7.6</v>
      </c>
    </row>
    <row r="2488" spans="1:8" x14ac:dyDescent="0.25">
      <c r="A2488">
        <v>114</v>
      </c>
      <c r="B2488">
        <v>15100000</v>
      </c>
      <c r="C2488" t="s">
        <v>2457</v>
      </c>
      <c r="D2488" t="s">
        <v>1</v>
      </c>
      <c r="E2488" t="s">
        <v>2</v>
      </c>
      <c r="F2488">
        <v>15000000</v>
      </c>
      <c r="G2488">
        <v>1984</v>
      </c>
      <c r="H2488">
        <v>6</v>
      </c>
    </row>
    <row r="2489" spans="1:8" x14ac:dyDescent="0.25">
      <c r="A2489">
        <v>97</v>
      </c>
      <c r="B2489">
        <v>14938570</v>
      </c>
      <c r="C2489" t="s">
        <v>2458</v>
      </c>
      <c r="D2489" t="s">
        <v>1</v>
      </c>
      <c r="E2489" t="s">
        <v>2</v>
      </c>
      <c r="F2489">
        <v>15000000</v>
      </c>
      <c r="G2489">
        <v>2012</v>
      </c>
      <c r="H2489">
        <v>6.2</v>
      </c>
    </row>
    <row r="2490" spans="1:8" x14ac:dyDescent="0.25">
      <c r="A2490">
        <v>122</v>
      </c>
      <c r="B2490">
        <v>17237244</v>
      </c>
      <c r="C2490" t="s">
        <v>2459</v>
      </c>
      <c r="D2490" t="s">
        <v>1</v>
      </c>
      <c r="E2490" t="s">
        <v>5</v>
      </c>
      <c r="F2490">
        <v>15000000</v>
      </c>
      <c r="G2490">
        <v>2014</v>
      </c>
      <c r="H2490">
        <v>6.8</v>
      </c>
    </row>
    <row r="2491" spans="1:8" x14ac:dyDescent="0.25">
      <c r="A2491">
        <v>87</v>
      </c>
      <c r="B2491">
        <v>14249005</v>
      </c>
      <c r="C2491" t="s">
        <v>2460</v>
      </c>
      <c r="D2491" t="s">
        <v>1</v>
      </c>
      <c r="E2491" t="s">
        <v>2</v>
      </c>
      <c r="F2491">
        <v>15000000</v>
      </c>
      <c r="G2491">
        <v>2001</v>
      </c>
      <c r="H2491">
        <v>4.5</v>
      </c>
    </row>
    <row r="2492" spans="1:8" x14ac:dyDescent="0.25">
      <c r="A2492">
        <v>85</v>
      </c>
      <c r="B2492">
        <v>12701880</v>
      </c>
      <c r="C2492" t="s">
        <v>2461</v>
      </c>
      <c r="D2492" t="s">
        <v>1</v>
      </c>
      <c r="E2492" t="s">
        <v>2</v>
      </c>
      <c r="F2492">
        <v>15000000</v>
      </c>
      <c r="G2492">
        <v>2008</v>
      </c>
      <c r="H2492">
        <v>5.7</v>
      </c>
    </row>
    <row r="2493" spans="1:8" x14ac:dyDescent="0.25">
      <c r="A2493">
        <v>101</v>
      </c>
      <c r="B2493">
        <v>12801190</v>
      </c>
      <c r="C2493" t="s">
        <v>2462</v>
      </c>
      <c r="D2493" t="s">
        <v>1</v>
      </c>
      <c r="E2493" t="s">
        <v>2</v>
      </c>
      <c r="F2493">
        <v>15000000</v>
      </c>
      <c r="G2493">
        <v>2000</v>
      </c>
      <c r="H2493">
        <v>4.5999999999999996</v>
      </c>
    </row>
    <row r="2494" spans="1:8" x14ac:dyDescent="0.25">
      <c r="A2494">
        <v>121</v>
      </c>
      <c r="B2494">
        <v>12549485</v>
      </c>
      <c r="C2494" t="s">
        <v>2463</v>
      </c>
      <c r="D2494" t="s">
        <v>1</v>
      </c>
      <c r="E2494" t="s">
        <v>2</v>
      </c>
      <c r="F2494">
        <v>15000000</v>
      </c>
      <c r="G2494">
        <v>2006</v>
      </c>
      <c r="H2494">
        <v>6.2</v>
      </c>
    </row>
    <row r="2495" spans="1:8" x14ac:dyDescent="0.25">
      <c r="A2495">
        <v>107</v>
      </c>
      <c r="B2495">
        <v>13766014</v>
      </c>
      <c r="C2495" t="s">
        <v>2464</v>
      </c>
      <c r="D2495" t="s">
        <v>1</v>
      </c>
      <c r="E2495" t="s">
        <v>2</v>
      </c>
      <c r="F2495">
        <v>15000000</v>
      </c>
      <c r="G2495">
        <v>2011</v>
      </c>
      <c r="H2495">
        <v>7</v>
      </c>
    </row>
    <row r="2496" spans="1:8" x14ac:dyDescent="0.25">
      <c r="A2496">
        <v>111</v>
      </c>
      <c r="B2496">
        <v>13034417</v>
      </c>
      <c r="C2496" t="s">
        <v>2465</v>
      </c>
      <c r="D2496" t="s">
        <v>1</v>
      </c>
      <c r="E2496" t="s">
        <v>2</v>
      </c>
      <c r="F2496">
        <v>15000000</v>
      </c>
      <c r="G2496">
        <v>2009</v>
      </c>
      <c r="H2496">
        <v>6.9</v>
      </c>
    </row>
    <row r="2497" spans="1:8" x14ac:dyDescent="0.25">
      <c r="A2497">
        <v>97</v>
      </c>
      <c r="B2497">
        <v>12212417</v>
      </c>
      <c r="C2497" t="s">
        <v>2466</v>
      </c>
      <c r="D2497" t="s">
        <v>1</v>
      </c>
      <c r="E2497" t="s">
        <v>2</v>
      </c>
      <c r="F2497">
        <v>15000000</v>
      </c>
      <c r="G2497">
        <v>2003</v>
      </c>
      <c r="H2497">
        <v>6.7</v>
      </c>
    </row>
    <row r="2498" spans="1:8" x14ac:dyDescent="0.25">
      <c r="A2498">
        <v>97</v>
      </c>
      <c r="B2498">
        <v>11614236</v>
      </c>
      <c r="C2498" t="s">
        <v>2467</v>
      </c>
      <c r="D2498" t="s">
        <v>1</v>
      </c>
      <c r="E2498" t="s">
        <v>2</v>
      </c>
      <c r="F2498">
        <v>15000000</v>
      </c>
      <c r="G2498">
        <v>1999</v>
      </c>
      <c r="H2498">
        <v>5.6</v>
      </c>
    </row>
    <row r="2499" spans="1:8" x14ac:dyDescent="0.25">
      <c r="A2499">
        <v>124</v>
      </c>
      <c r="B2499">
        <v>10763469</v>
      </c>
      <c r="C2499" t="s">
        <v>2469</v>
      </c>
      <c r="D2499" t="s">
        <v>1</v>
      </c>
      <c r="E2499" t="s">
        <v>2</v>
      </c>
      <c r="F2499">
        <v>15000000</v>
      </c>
      <c r="G2499">
        <v>1989</v>
      </c>
      <c r="H2499">
        <v>6.4</v>
      </c>
    </row>
    <row r="2500" spans="1:8" x14ac:dyDescent="0.25">
      <c r="A2500">
        <v>76</v>
      </c>
      <c r="B2500">
        <v>11144518</v>
      </c>
      <c r="C2500" t="s">
        <v>2470</v>
      </c>
      <c r="D2500" t="s">
        <v>1</v>
      </c>
      <c r="E2500" t="s">
        <v>38</v>
      </c>
      <c r="F2500">
        <v>15000000</v>
      </c>
      <c r="G2500">
        <v>1998</v>
      </c>
      <c r="H2500">
        <v>2.8</v>
      </c>
    </row>
    <row r="2501" spans="1:8" x14ac:dyDescent="0.25">
      <c r="A2501">
        <v>107</v>
      </c>
      <c r="B2501">
        <v>15608545</v>
      </c>
      <c r="C2501" t="s">
        <v>2471</v>
      </c>
      <c r="D2501" t="s">
        <v>1</v>
      </c>
      <c r="E2501" t="s">
        <v>2</v>
      </c>
      <c r="F2501">
        <v>15000000</v>
      </c>
      <c r="G2501">
        <v>2012</v>
      </c>
      <c r="H2501">
        <v>5.4</v>
      </c>
    </row>
    <row r="2502" spans="1:8" x14ac:dyDescent="0.25">
      <c r="A2502">
        <v>91</v>
      </c>
      <c r="B2502">
        <v>10443316</v>
      </c>
      <c r="C2502" t="s">
        <v>2472</v>
      </c>
      <c r="D2502" t="s">
        <v>1</v>
      </c>
      <c r="E2502" t="s">
        <v>2</v>
      </c>
      <c r="F2502">
        <v>15000000</v>
      </c>
      <c r="G2502">
        <v>1998</v>
      </c>
      <c r="H2502">
        <v>5</v>
      </c>
    </row>
    <row r="2503" spans="1:8" x14ac:dyDescent="0.25">
      <c r="A2503">
        <v>96</v>
      </c>
      <c r="B2503">
        <v>10494147</v>
      </c>
      <c r="C2503" t="s">
        <v>2473</v>
      </c>
      <c r="D2503" t="s">
        <v>1</v>
      </c>
      <c r="E2503" t="s">
        <v>2</v>
      </c>
      <c r="F2503">
        <v>15000000</v>
      </c>
      <c r="G2503">
        <v>2000</v>
      </c>
      <c r="H2503">
        <v>5.0999999999999996</v>
      </c>
    </row>
    <row r="2504" spans="1:8" x14ac:dyDescent="0.25">
      <c r="A2504">
        <v>142</v>
      </c>
      <c r="B2504">
        <v>9929000</v>
      </c>
      <c r="C2504" t="s">
        <v>2474</v>
      </c>
      <c r="D2504" t="s">
        <v>1</v>
      </c>
      <c r="E2504" t="s">
        <v>5</v>
      </c>
      <c r="F2504">
        <v>15000000</v>
      </c>
      <c r="G2504">
        <v>1985</v>
      </c>
      <c r="H2504">
        <v>8</v>
      </c>
    </row>
    <row r="2505" spans="1:8" x14ac:dyDescent="0.25">
      <c r="A2505">
        <v>103</v>
      </c>
      <c r="B2505">
        <v>10411980</v>
      </c>
      <c r="C2505" t="s">
        <v>2475</v>
      </c>
      <c r="D2505" t="s">
        <v>1</v>
      </c>
      <c r="E2505" t="s">
        <v>2</v>
      </c>
      <c r="F2505">
        <v>15000000</v>
      </c>
      <c r="G2505">
        <v>2004</v>
      </c>
      <c r="H2505">
        <v>5.9</v>
      </c>
    </row>
    <row r="2506" spans="1:8" x14ac:dyDescent="0.25">
      <c r="A2506">
        <v>117</v>
      </c>
      <c r="B2506">
        <v>17439163</v>
      </c>
      <c r="C2506" t="s">
        <v>2476</v>
      </c>
      <c r="D2506" t="s">
        <v>1</v>
      </c>
      <c r="E2506" t="s">
        <v>2</v>
      </c>
      <c r="F2506">
        <v>15000000</v>
      </c>
      <c r="G2506">
        <v>1998</v>
      </c>
      <c r="H2506">
        <v>8.1999999999999993</v>
      </c>
    </row>
    <row r="2507" spans="1:8" x14ac:dyDescent="0.25">
      <c r="A2507">
        <v>116</v>
      </c>
      <c r="B2507">
        <v>9396487</v>
      </c>
      <c r="C2507" t="s">
        <v>2477</v>
      </c>
      <c r="D2507" t="s">
        <v>1</v>
      </c>
      <c r="E2507" t="s">
        <v>2</v>
      </c>
      <c r="F2507">
        <v>15000000</v>
      </c>
      <c r="G2507">
        <v>2006</v>
      </c>
      <c r="H2507">
        <v>7</v>
      </c>
    </row>
    <row r="2508" spans="1:8" x14ac:dyDescent="0.25">
      <c r="A2508">
        <v>118</v>
      </c>
      <c r="B2508">
        <v>9059588</v>
      </c>
      <c r="C2508" t="s">
        <v>2478</v>
      </c>
      <c r="D2508" t="s">
        <v>1</v>
      </c>
      <c r="E2508" t="s">
        <v>2</v>
      </c>
      <c r="F2508">
        <v>15000000</v>
      </c>
      <c r="G2508">
        <v>2002</v>
      </c>
      <c r="H2508">
        <v>6.6</v>
      </c>
    </row>
    <row r="2509" spans="1:8" x14ac:dyDescent="0.25">
      <c r="A2509">
        <v>94</v>
      </c>
      <c r="B2509">
        <v>8735529</v>
      </c>
      <c r="C2509" t="s">
        <v>2480</v>
      </c>
      <c r="D2509" t="s">
        <v>1</v>
      </c>
      <c r="E2509" t="s">
        <v>2</v>
      </c>
      <c r="F2509">
        <v>15000000</v>
      </c>
      <c r="G2509">
        <v>2000</v>
      </c>
      <c r="H2509">
        <v>5.5</v>
      </c>
    </row>
    <row r="2510" spans="1:8" x14ac:dyDescent="0.25">
      <c r="A2510">
        <v>97</v>
      </c>
      <c r="B2510">
        <v>8378141</v>
      </c>
      <c r="C2510" t="s">
        <v>2482</v>
      </c>
      <c r="D2510" t="s">
        <v>1</v>
      </c>
      <c r="E2510" t="s">
        <v>5</v>
      </c>
      <c r="F2510">
        <v>15000000</v>
      </c>
      <c r="G2510">
        <v>2002</v>
      </c>
      <c r="H2510">
        <v>6.9</v>
      </c>
    </row>
    <row r="2511" spans="1:8" x14ac:dyDescent="0.25">
      <c r="A2511">
        <v>91</v>
      </c>
      <c r="B2511">
        <v>8080116</v>
      </c>
      <c r="C2511" t="s">
        <v>2483</v>
      </c>
      <c r="D2511" t="s">
        <v>1</v>
      </c>
      <c r="E2511" t="s">
        <v>2</v>
      </c>
      <c r="F2511">
        <v>15000000</v>
      </c>
      <c r="G2511">
        <v>2006</v>
      </c>
      <c r="H2511">
        <v>5.6</v>
      </c>
    </row>
    <row r="2512" spans="1:8" x14ac:dyDescent="0.25">
      <c r="A2512">
        <v>107</v>
      </c>
      <c r="B2512">
        <v>7757130</v>
      </c>
      <c r="C2512" t="s">
        <v>2484</v>
      </c>
      <c r="D2512" t="s">
        <v>1</v>
      </c>
      <c r="E2512" t="s">
        <v>5</v>
      </c>
      <c r="F2512">
        <v>15000000</v>
      </c>
      <c r="G2512">
        <v>2008</v>
      </c>
      <c r="H2512">
        <v>8</v>
      </c>
    </row>
    <row r="2513" spans="1:8" x14ac:dyDescent="0.25">
      <c r="A2513">
        <v>95</v>
      </c>
      <c r="B2513">
        <v>9123834</v>
      </c>
      <c r="C2513" t="s">
        <v>2485</v>
      </c>
      <c r="D2513" t="s">
        <v>1</v>
      </c>
      <c r="E2513" t="s">
        <v>2</v>
      </c>
      <c r="F2513">
        <v>15000000</v>
      </c>
      <c r="G2513">
        <v>2013</v>
      </c>
      <c r="H2513">
        <v>5.3</v>
      </c>
    </row>
    <row r="2514" spans="1:8" x14ac:dyDescent="0.25">
      <c r="A2514">
        <v>102</v>
      </c>
      <c r="B2514">
        <v>6409206</v>
      </c>
      <c r="C2514" t="s">
        <v>2486</v>
      </c>
      <c r="D2514" t="s">
        <v>1</v>
      </c>
      <c r="E2514" t="s">
        <v>2</v>
      </c>
      <c r="F2514">
        <v>15000000</v>
      </c>
      <c r="G2514">
        <v>2008</v>
      </c>
      <c r="H2514">
        <v>6.2</v>
      </c>
    </row>
    <row r="2515" spans="1:8" x14ac:dyDescent="0.25">
      <c r="A2515">
        <v>88</v>
      </c>
      <c r="B2515">
        <v>6373693</v>
      </c>
      <c r="C2515" t="s">
        <v>2487</v>
      </c>
      <c r="D2515" t="s">
        <v>1</v>
      </c>
      <c r="E2515" t="s">
        <v>2</v>
      </c>
      <c r="F2515">
        <v>15000000</v>
      </c>
      <c r="G2515">
        <v>2009</v>
      </c>
      <c r="H2515">
        <v>5.3</v>
      </c>
    </row>
    <row r="2516" spans="1:8" x14ac:dyDescent="0.25">
      <c r="A2516">
        <v>106</v>
      </c>
      <c r="B2516">
        <v>7556708</v>
      </c>
      <c r="C2516" t="s">
        <v>2488</v>
      </c>
      <c r="D2516" t="s">
        <v>1</v>
      </c>
      <c r="E2516" t="s">
        <v>2</v>
      </c>
      <c r="F2516">
        <v>15000000</v>
      </c>
      <c r="G2516">
        <v>2012</v>
      </c>
      <c r="H2516">
        <v>6.6</v>
      </c>
    </row>
    <row r="2517" spans="1:8" x14ac:dyDescent="0.25">
      <c r="A2517">
        <v>92</v>
      </c>
      <c r="B2517">
        <v>5306447</v>
      </c>
      <c r="C2517" t="s">
        <v>2489</v>
      </c>
      <c r="D2517" t="s">
        <v>1</v>
      </c>
      <c r="E2517" t="s">
        <v>2</v>
      </c>
      <c r="F2517">
        <v>15000000</v>
      </c>
      <c r="G2517">
        <v>2009</v>
      </c>
      <c r="H2517">
        <v>7.2</v>
      </c>
    </row>
    <row r="2518" spans="1:8" x14ac:dyDescent="0.25">
      <c r="A2518">
        <v>105</v>
      </c>
      <c r="B2518">
        <v>5217498</v>
      </c>
      <c r="C2518" t="s">
        <v>2490</v>
      </c>
      <c r="D2518" t="s">
        <v>1</v>
      </c>
      <c r="E2518" t="s">
        <v>2</v>
      </c>
      <c r="F2518">
        <v>15000000</v>
      </c>
      <c r="G2518">
        <v>2000</v>
      </c>
      <c r="H2518">
        <v>4.5999999999999996</v>
      </c>
    </row>
    <row r="2519" spans="1:8" x14ac:dyDescent="0.25">
      <c r="A2519">
        <v>107</v>
      </c>
      <c r="B2519">
        <v>5023275</v>
      </c>
      <c r="C2519" t="s">
        <v>2491</v>
      </c>
      <c r="D2519" t="s">
        <v>1</v>
      </c>
      <c r="E2519" t="s">
        <v>244</v>
      </c>
      <c r="F2519">
        <v>15000000</v>
      </c>
      <c r="G2519">
        <v>2005</v>
      </c>
      <c r="H2519">
        <v>7.5</v>
      </c>
    </row>
    <row r="2520" spans="1:8" x14ac:dyDescent="0.25">
      <c r="A2520">
        <v>120</v>
      </c>
      <c r="B2520">
        <v>4956401</v>
      </c>
      <c r="C2520" t="s">
        <v>2492</v>
      </c>
      <c r="D2520" t="s">
        <v>1</v>
      </c>
      <c r="E2520" t="s">
        <v>244</v>
      </c>
      <c r="F2520">
        <v>15000000</v>
      </c>
      <c r="G2520">
        <v>1999</v>
      </c>
      <c r="H2520">
        <v>6.5</v>
      </c>
    </row>
    <row r="2521" spans="1:8" x14ac:dyDescent="0.25">
      <c r="A2521">
        <v>103</v>
      </c>
      <c r="B2521">
        <v>4235837</v>
      </c>
      <c r="C2521" t="s">
        <v>2493</v>
      </c>
      <c r="D2521" t="s">
        <v>1</v>
      </c>
      <c r="E2521" t="s">
        <v>2</v>
      </c>
      <c r="F2521">
        <v>15000000</v>
      </c>
      <c r="G2521">
        <v>2005</v>
      </c>
      <c r="H2521">
        <v>7.6</v>
      </c>
    </row>
    <row r="2522" spans="1:8" x14ac:dyDescent="0.25">
      <c r="A2522">
        <v>147</v>
      </c>
      <c r="B2522">
        <v>7219578</v>
      </c>
      <c r="C2522" t="s">
        <v>2495</v>
      </c>
      <c r="D2522" t="s">
        <v>1</v>
      </c>
      <c r="E2522" t="s">
        <v>244</v>
      </c>
      <c r="F2522">
        <v>15000000</v>
      </c>
      <c r="G2522">
        <v>2001</v>
      </c>
      <c r="H2522">
        <v>8</v>
      </c>
    </row>
    <row r="2523" spans="1:8" x14ac:dyDescent="0.25">
      <c r="A2523">
        <v>103</v>
      </c>
      <c r="B2523">
        <v>2412045</v>
      </c>
      <c r="C2523" t="s">
        <v>2497</v>
      </c>
      <c r="D2523" t="s">
        <v>1</v>
      </c>
      <c r="E2523" t="s">
        <v>5</v>
      </c>
      <c r="F2523">
        <v>15000000</v>
      </c>
      <c r="G2523">
        <v>2010</v>
      </c>
      <c r="H2523">
        <v>7.2</v>
      </c>
    </row>
    <row r="2524" spans="1:8" x14ac:dyDescent="0.25">
      <c r="A2524">
        <v>111</v>
      </c>
      <c r="B2524">
        <v>2203641</v>
      </c>
      <c r="C2524" t="s">
        <v>2498</v>
      </c>
      <c r="D2524" t="s">
        <v>1</v>
      </c>
      <c r="E2524" t="s">
        <v>620</v>
      </c>
      <c r="F2524">
        <v>15000000</v>
      </c>
      <c r="G2524">
        <v>2008</v>
      </c>
      <c r="H2524">
        <v>6.7</v>
      </c>
    </row>
    <row r="2525" spans="1:8" x14ac:dyDescent="0.25">
      <c r="A2525">
        <v>98</v>
      </c>
      <c r="B2525">
        <v>1953732</v>
      </c>
      <c r="C2525" t="s">
        <v>2499</v>
      </c>
      <c r="D2525" t="s">
        <v>1</v>
      </c>
      <c r="E2525" t="s">
        <v>2</v>
      </c>
      <c r="F2525">
        <v>15000000</v>
      </c>
      <c r="G2525">
        <v>1986</v>
      </c>
      <c r="H2525">
        <v>5.3</v>
      </c>
    </row>
    <row r="2526" spans="1:8" x14ac:dyDescent="0.25">
      <c r="A2526">
        <v>111</v>
      </c>
      <c r="B2526">
        <v>1954202</v>
      </c>
      <c r="C2526" t="s">
        <v>2500</v>
      </c>
      <c r="D2526" t="s">
        <v>1</v>
      </c>
      <c r="E2526" t="s">
        <v>2</v>
      </c>
      <c r="F2526">
        <v>15000000</v>
      </c>
      <c r="G2526">
        <v>1999</v>
      </c>
      <c r="H2526">
        <v>6.3</v>
      </c>
    </row>
    <row r="2527" spans="1:8" x14ac:dyDescent="0.25">
      <c r="A2527">
        <v>111</v>
      </c>
      <c r="B2527">
        <v>1294640</v>
      </c>
      <c r="C2527" t="s">
        <v>2501</v>
      </c>
      <c r="D2527" t="s">
        <v>1</v>
      </c>
      <c r="E2527" t="s">
        <v>2</v>
      </c>
      <c r="F2527">
        <v>15000000</v>
      </c>
      <c r="G2527">
        <v>2007</v>
      </c>
      <c r="H2527">
        <v>6.5</v>
      </c>
    </row>
    <row r="2528" spans="1:8" x14ac:dyDescent="0.25">
      <c r="A2528">
        <v>105</v>
      </c>
      <c r="B2528">
        <v>613556</v>
      </c>
      <c r="C2528" t="s">
        <v>2505</v>
      </c>
      <c r="D2528" t="s">
        <v>326</v>
      </c>
      <c r="E2528" t="s">
        <v>2390</v>
      </c>
      <c r="F2528">
        <v>15000000</v>
      </c>
      <c r="G2528">
        <v>2015</v>
      </c>
      <c r="H2528">
        <v>6.4</v>
      </c>
    </row>
    <row r="2529" spans="1:8" x14ac:dyDescent="0.25">
      <c r="A2529">
        <v>98</v>
      </c>
      <c r="B2529">
        <v>353743</v>
      </c>
      <c r="C2529" t="s">
        <v>2506</v>
      </c>
      <c r="D2529" t="s">
        <v>1</v>
      </c>
      <c r="E2529" t="s">
        <v>5</v>
      </c>
      <c r="F2529">
        <v>15000000</v>
      </c>
      <c r="G2529">
        <v>2001</v>
      </c>
      <c r="H2529">
        <v>6.9</v>
      </c>
    </row>
    <row r="2530" spans="1:8" x14ac:dyDescent="0.25">
      <c r="A2530">
        <v>103</v>
      </c>
      <c r="B2530">
        <v>73548</v>
      </c>
      <c r="C2530" t="s">
        <v>2510</v>
      </c>
      <c r="D2530" t="s">
        <v>1</v>
      </c>
      <c r="E2530" t="s">
        <v>2</v>
      </c>
      <c r="F2530">
        <v>15000000</v>
      </c>
      <c r="G2530">
        <v>2008</v>
      </c>
      <c r="H2530">
        <v>6.1</v>
      </c>
    </row>
    <row r="2531" spans="1:8" x14ac:dyDescent="0.25">
      <c r="A2531">
        <v>90</v>
      </c>
      <c r="B2531">
        <v>28870</v>
      </c>
      <c r="C2531" t="s">
        <v>2511</v>
      </c>
      <c r="D2531" t="s">
        <v>1</v>
      </c>
      <c r="E2531" t="s">
        <v>2</v>
      </c>
      <c r="F2531">
        <v>15000000</v>
      </c>
      <c r="G2531">
        <v>2011</v>
      </c>
      <c r="H2531">
        <v>5.0999999999999996</v>
      </c>
    </row>
    <row r="2532" spans="1:8" x14ac:dyDescent="0.25">
      <c r="A2532">
        <v>93</v>
      </c>
      <c r="B2532">
        <v>20380</v>
      </c>
      <c r="C2532" t="s">
        <v>2513</v>
      </c>
      <c r="D2532" t="s">
        <v>1</v>
      </c>
      <c r="E2532" t="s">
        <v>2</v>
      </c>
      <c r="F2532">
        <v>15000000</v>
      </c>
      <c r="G2532">
        <v>2007</v>
      </c>
      <c r="H2532">
        <v>5.9</v>
      </c>
    </row>
    <row r="2533" spans="1:8" x14ac:dyDescent="0.25">
      <c r="A2533">
        <v>120</v>
      </c>
      <c r="B2533">
        <v>141319195</v>
      </c>
      <c r="C2533" t="s">
        <v>2520</v>
      </c>
      <c r="D2533" t="s">
        <v>1</v>
      </c>
      <c r="E2533" t="s">
        <v>5</v>
      </c>
      <c r="F2533">
        <v>15000000</v>
      </c>
      <c r="G2533">
        <v>2008</v>
      </c>
      <c r="H2533">
        <v>8</v>
      </c>
    </row>
    <row r="2534" spans="1:8" x14ac:dyDescent="0.25">
      <c r="A2534">
        <v>98</v>
      </c>
      <c r="B2534">
        <v>68856263</v>
      </c>
      <c r="C2534" t="s">
        <v>2525</v>
      </c>
      <c r="D2534" t="s">
        <v>1</v>
      </c>
      <c r="E2534" t="s">
        <v>2</v>
      </c>
      <c r="F2534">
        <v>15000000</v>
      </c>
      <c r="G2534">
        <v>1993</v>
      </c>
      <c r="H2534">
        <v>6.9</v>
      </c>
    </row>
    <row r="2535" spans="1:8" x14ac:dyDescent="0.25">
      <c r="A2535">
        <v>101</v>
      </c>
      <c r="B2535">
        <v>51527787</v>
      </c>
      <c r="C2535" t="s">
        <v>2526</v>
      </c>
      <c r="D2535" t="s">
        <v>1</v>
      </c>
      <c r="E2535" t="s">
        <v>2</v>
      </c>
      <c r="F2535">
        <v>15000000</v>
      </c>
      <c r="G2535">
        <v>2009</v>
      </c>
      <c r="H2535">
        <v>5.5</v>
      </c>
    </row>
    <row r="2536" spans="1:8" x14ac:dyDescent="0.25">
      <c r="A2536">
        <v>88</v>
      </c>
      <c r="B2536">
        <v>47811275</v>
      </c>
      <c r="C2536" t="s">
        <v>2409</v>
      </c>
      <c r="D2536" t="s">
        <v>1</v>
      </c>
      <c r="E2536" t="s">
        <v>2</v>
      </c>
      <c r="F2536">
        <v>15000000</v>
      </c>
      <c r="G2536">
        <v>2002</v>
      </c>
      <c r="H2536">
        <v>5.4</v>
      </c>
    </row>
    <row r="2537" spans="1:8" x14ac:dyDescent="0.25">
      <c r="A2537">
        <v>115</v>
      </c>
      <c r="B2537">
        <v>183088</v>
      </c>
      <c r="C2537" t="s">
        <v>2559</v>
      </c>
      <c r="D2537" t="s">
        <v>1</v>
      </c>
      <c r="E2537" t="s">
        <v>2</v>
      </c>
      <c r="F2537">
        <v>15000000</v>
      </c>
      <c r="G2537">
        <v>2008</v>
      </c>
      <c r="H2537">
        <v>7</v>
      </c>
    </row>
    <row r="2538" spans="1:8" x14ac:dyDescent="0.25">
      <c r="A2538">
        <v>110</v>
      </c>
      <c r="B2538">
        <v>14989761</v>
      </c>
      <c r="C2538" t="s">
        <v>2568</v>
      </c>
      <c r="D2538" t="s">
        <v>1</v>
      </c>
      <c r="E2538" t="s">
        <v>5</v>
      </c>
      <c r="F2538">
        <v>15000000</v>
      </c>
      <c r="G2538">
        <v>2012</v>
      </c>
      <c r="H2538">
        <v>7.2</v>
      </c>
    </row>
    <row r="2539" spans="1:8" x14ac:dyDescent="0.25">
      <c r="A2539">
        <v>108</v>
      </c>
      <c r="B2539">
        <v>25440971</v>
      </c>
      <c r="C2539" t="s">
        <v>2596</v>
      </c>
      <c r="D2539" t="s">
        <v>1</v>
      </c>
      <c r="E2539" t="s">
        <v>5</v>
      </c>
      <c r="F2539">
        <v>15000000</v>
      </c>
      <c r="G2539">
        <v>2015</v>
      </c>
      <c r="H2539">
        <v>7.7</v>
      </c>
    </row>
    <row r="2540" spans="1:8" x14ac:dyDescent="0.25">
      <c r="A2540">
        <v>90</v>
      </c>
      <c r="B2540">
        <v>4360548</v>
      </c>
      <c r="C2540" t="s">
        <v>2642</v>
      </c>
      <c r="D2540" t="s">
        <v>1</v>
      </c>
      <c r="E2540" t="s">
        <v>2</v>
      </c>
      <c r="F2540">
        <v>15000000</v>
      </c>
      <c r="G2540">
        <v>2009</v>
      </c>
      <c r="H2540">
        <v>6.4</v>
      </c>
    </row>
    <row r="2541" spans="1:8" x14ac:dyDescent="0.25">
      <c r="A2541">
        <v>108</v>
      </c>
      <c r="B2541">
        <v>1039869</v>
      </c>
      <c r="C2541" t="s">
        <v>2644</v>
      </c>
      <c r="D2541" t="s">
        <v>1</v>
      </c>
      <c r="E2541" t="s">
        <v>38</v>
      </c>
      <c r="F2541">
        <v>15000000</v>
      </c>
      <c r="G2541">
        <v>2010</v>
      </c>
      <c r="H2541">
        <v>6.2</v>
      </c>
    </row>
    <row r="2542" spans="1:8" x14ac:dyDescent="0.25">
      <c r="A2542">
        <v>118</v>
      </c>
      <c r="B2542">
        <v>399879</v>
      </c>
      <c r="C2542" t="s">
        <v>2772</v>
      </c>
      <c r="D2542" t="s">
        <v>1</v>
      </c>
      <c r="E2542" t="s">
        <v>55</v>
      </c>
      <c r="F2542">
        <v>15000000</v>
      </c>
      <c r="G2542">
        <v>2006</v>
      </c>
      <c r="H2542">
        <v>6.4</v>
      </c>
    </row>
    <row r="2543" spans="1:8" x14ac:dyDescent="0.25">
      <c r="A2543">
        <v>125</v>
      </c>
      <c r="B2543">
        <v>927107</v>
      </c>
      <c r="C2543" t="s">
        <v>3090</v>
      </c>
      <c r="D2543" t="s">
        <v>1644</v>
      </c>
      <c r="E2543" t="s">
        <v>119</v>
      </c>
      <c r="F2543">
        <v>15000000</v>
      </c>
      <c r="G2543">
        <v>1999</v>
      </c>
      <c r="H2543">
        <v>7.3</v>
      </c>
    </row>
    <row r="2544" spans="1:8" x14ac:dyDescent="0.25">
      <c r="A2544">
        <v>104</v>
      </c>
      <c r="B2544">
        <v>71897215</v>
      </c>
      <c r="C2544" t="s">
        <v>3199</v>
      </c>
      <c r="D2544" t="s">
        <v>1</v>
      </c>
      <c r="E2544" t="s">
        <v>2</v>
      </c>
      <c r="F2544">
        <v>15000000</v>
      </c>
      <c r="G2544">
        <v>2016</v>
      </c>
      <c r="H2544">
        <v>7.3</v>
      </c>
    </row>
    <row r="2545" spans="1:8" x14ac:dyDescent="0.25">
      <c r="A2545">
        <v>108</v>
      </c>
      <c r="B2545">
        <v>13060843</v>
      </c>
      <c r="C2545" t="s">
        <v>3286</v>
      </c>
      <c r="D2545" t="s">
        <v>1</v>
      </c>
      <c r="E2545" t="s">
        <v>2</v>
      </c>
      <c r="F2545">
        <v>15000000</v>
      </c>
      <c r="G2545">
        <v>2002</v>
      </c>
      <c r="H2545">
        <v>7.7</v>
      </c>
    </row>
    <row r="2546" spans="1:8" x14ac:dyDescent="0.25">
      <c r="A2546">
        <v>119</v>
      </c>
      <c r="B2546">
        <v>33386128</v>
      </c>
      <c r="C2546" t="s">
        <v>2423</v>
      </c>
      <c r="D2546" t="s">
        <v>1</v>
      </c>
      <c r="E2546" t="s">
        <v>2</v>
      </c>
      <c r="F2546">
        <v>15000000</v>
      </c>
      <c r="G2546">
        <v>2009</v>
      </c>
      <c r="H2546">
        <v>4.9000000000000004</v>
      </c>
    </row>
    <row r="2547" spans="1:8" x14ac:dyDescent="0.25">
      <c r="A2547">
        <v>112</v>
      </c>
      <c r="B2547">
        <v>42919096</v>
      </c>
      <c r="C2547" t="s">
        <v>2412</v>
      </c>
      <c r="D2547" t="s">
        <v>1</v>
      </c>
      <c r="E2547" t="s">
        <v>2</v>
      </c>
      <c r="F2547">
        <v>15000000</v>
      </c>
      <c r="G2547">
        <v>2013</v>
      </c>
      <c r="H2547">
        <v>6.5</v>
      </c>
    </row>
    <row r="2548" spans="1:8" x14ac:dyDescent="0.25">
      <c r="A2548">
        <v>114</v>
      </c>
      <c r="B2548">
        <v>32721635</v>
      </c>
      <c r="C2548" t="s">
        <v>2425</v>
      </c>
      <c r="D2548" t="s">
        <v>1</v>
      </c>
      <c r="E2548" t="s">
        <v>2</v>
      </c>
      <c r="F2548">
        <v>15000000</v>
      </c>
      <c r="G2548">
        <v>2009</v>
      </c>
      <c r="H2548">
        <v>6.6</v>
      </c>
    </row>
    <row r="2549" spans="1:8" x14ac:dyDescent="0.25">
      <c r="A2549">
        <v>115</v>
      </c>
      <c r="B2549">
        <v>66009973</v>
      </c>
      <c r="C2549" t="s">
        <v>2515</v>
      </c>
      <c r="D2549" t="s">
        <v>1</v>
      </c>
      <c r="E2549" t="s">
        <v>2</v>
      </c>
      <c r="F2549">
        <v>14800000</v>
      </c>
      <c r="G2549">
        <v>2015</v>
      </c>
      <c r="H2549">
        <v>5.7</v>
      </c>
    </row>
    <row r="2550" spans="1:8" x14ac:dyDescent="0.25">
      <c r="A2550">
        <v>101</v>
      </c>
      <c r="B2550">
        <v>70906973</v>
      </c>
      <c r="C2550" t="s">
        <v>2514</v>
      </c>
      <c r="D2550" t="s">
        <v>1</v>
      </c>
      <c r="E2550" t="s">
        <v>2</v>
      </c>
      <c r="F2550">
        <v>14600000</v>
      </c>
      <c r="G2550">
        <v>1993</v>
      </c>
      <c r="H2550">
        <v>8.1</v>
      </c>
    </row>
    <row r="2551" spans="1:8" x14ac:dyDescent="0.25">
      <c r="A2551">
        <v>120</v>
      </c>
      <c r="B2551">
        <v>46338728</v>
      </c>
      <c r="C2551" t="s">
        <v>2516</v>
      </c>
      <c r="D2551" t="s">
        <v>1</v>
      </c>
      <c r="E2551" t="s">
        <v>2</v>
      </c>
      <c r="F2551">
        <v>14500000</v>
      </c>
      <c r="G2551">
        <v>1996</v>
      </c>
      <c r="H2551">
        <v>6.8</v>
      </c>
    </row>
    <row r="2552" spans="1:8" x14ac:dyDescent="0.25">
      <c r="A2552">
        <v>131</v>
      </c>
      <c r="B2552">
        <v>101157447</v>
      </c>
      <c r="C2552" t="s">
        <v>2518</v>
      </c>
      <c r="D2552" t="s">
        <v>1</v>
      </c>
      <c r="E2552" t="s">
        <v>2</v>
      </c>
      <c r="F2552">
        <v>14400000</v>
      </c>
      <c r="G2552">
        <v>1992</v>
      </c>
      <c r="H2552">
        <v>8.3000000000000007</v>
      </c>
    </row>
    <row r="2553" spans="1:8" x14ac:dyDescent="0.25">
      <c r="A2553">
        <v>139</v>
      </c>
      <c r="B2553">
        <v>74205</v>
      </c>
      <c r="C2553" t="s">
        <v>2519</v>
      </c>
      <c r="D2553" t="s">
        <v>1</v>
      </c>
      <c r="E2553" t="s">
        <v>1438</v>
      </c>
      <c r="F2553">
        <v>14200000</v>
      </c>
      <c r="G2553">
        <v>2005</v>
      </c>
      <c r="H2553">
        <v>7.4</v>
      </c>
    </row>
    <row r="2554" spans="1:8" x14ac:dyDescent="0.25">
      <c r="A2554">
        <v>92</v>
      </c>
      <c r="B2554">
        <v>49122319</v>
      </c>
      <c r="C2554" t="s">
        <v>1873</v>
      </c>
      <c r="D2554" t="s">
        <v>1</v>
      </c>
      <c r="E2554" t="s">
        <v>2</v>
      </c>
      <c r="F2554">
        <v>14000000</v>
      </c>
      <c r="G2554">
        <v>2012</v>
      </c>
      <c r="H2554">
        <v>5.9</v>
      </c>
    </row>
    <row r="2555" spans="1:8" x14ac:dyDescent="0.25">
      <c r="A2555">
        <v>119</v>
      </c>
      <c r="B2555">
        <v>34700000</v>
      </c>
      <c r="C2555" t="s">
        <v>1895</v>
      </c>
      <c r="D2555" t="s">
        <v>1</v>
      </c>
      <c r="E2555" t="s">
        <v>2</v>
      </c>
      <c r="F2555">
        <v>14000000</v>
      </c>
      <c r="G2555">
        <v>1988</v>
      </c>
      <c r="H2555">
        <v>7.7</v>
      </c>
    </row>
    <row r="2556" spans="1:8" x14ac:dyDescent="0.25">
      <c r="A2556">
        <v>105</v>
      </c>
      <c r="B2556">
        <v>63260</v>
      </c>
      <c r="C2556" t="s">
        <v>2281</v>
      </c>
      <c r="D2556" t="s">
        <v>1</v>
      </c>
      <c r="E2556" t="s">
        <v>244</v>
      </c>
      <c r="F2556">
        <v>14000000</v>
      </c>
      <c r="G2556">
        <v>2006</v>
      </c>
      <c r="H2556">
        <v>6.7</v>
      </c>
    </row>
    <row r="2557" spans="1:8" x14ac:dyDescent="0.25">
      <c r="A2557">
        <v>105</v>
      </c>
      <c r="B2557">
        <v>234760500</v>
      </c>
      <c r="C2557" t="s">
        <v>2384</v>
      </c>
      <c r="D2557" t="s">
        <v>1</v>
      </c>
      <c r="E2557" t="s">
        <v>2</v>
      </c>
      <c r="F2557">
        <v>14000000</v>
      </c>
      <c r="G2557">
        <v>1984</v>
      </c>
      <c r="H2557">
        <v>7.3</v>
      </c>
    </row>
    <row r="2558" spans="1:8" x14ac:dyDescent="0.25">
      <c r="A2558">
        <v>114</v>
      </c>
      <c r="B2558">
        <v>91121452</v>
      </c>
      <c r="C2558" t="s">
        <v>2397</v>
      </c>
      <c r="D2558" t="s">
        <v>1</v>
      </c>
      <c r="E2558" t="s">
        <v>5</v>
      </c>
      <c r="F2558">
        <v>14000000</v>
      </c>
      <c r="G2558">
        <v>2014</v>
      </c>
      <c r="H2558">
        <v>8.1</v>
      </c>
    </row>
    <row r="2559" spans="1:8" x14ac:dyDescent="0.25">
      <c r="A2559">
        <v>106</v>
      </c>
      <c r="B2559">
        <v>32645546</v>
      </c>
      <c r="C2559" t="s">
        <v>2435</v>
      </c>
      <c r="D2559" t="s">
        <v>1</v>
      </c>
      <c r="E2559" t="s">
        <v>2</v>
      </c>
      <c r="F2559">
        <v>14000000</v>
      </c>
      <c r="G2559">
        <v>2005</v>
      </c>
      <c r="H2559">
        <v>6.4</v>
      </c>
    </row>
    <row r="2560" spans="1:8" x14ac:dyDescent="0.25">
      <c r="A2560">
        <v>97</v>
      </c>
      <c r="B2560">
        <v>21468807</v>
      </c>
      <c r="C2560" t="s">
        <v>2448</v>
      </c>
      <c r="D2560" t="s">
        <v>1</v>
      </c>
      <c r="E2560" t="s">
        <v>2</v>
      </c>
      <c r="F2560">
        <v>14000000</v>
      </c>
      <c r="G2560">
        <v>2000</v>
      </c>
      <c r="H2560">
        <v>4.0999999999999996</v>
      </c>
    </row>
    <row r="2561" spans="1:8" x14ac:dyDescent="0.25">
      <c r="A2561">
        <v>119</v>
      </c>
      <c r="B2561">
        <v>156645693</v>
      </c>
      <c r="C2561" t="s">
        <v>2521</v>
      </c>
      <c r="D2561" t="s">
        <v>1</v>
      </c>
      <c r="E2561" t="s">
        <v>2</v>
      </c>
      <c r="F2561">
        <v>14000000</v>
      </c>
      <c r="G2561">
        <v>1987</v>
      </c>
      <c r="H2561">
        <v>6.9</v>
      </c>
    </row>
    <row r="2562" spans="1:8" x14ac:dyDescent="0.25">
      <c r="A2562">
        <v>125</v>
      </c>
      <c r="B2562">
        <v>178406268</v>
      </c>
      <c r="C2562" t="s">
        <v>2522</v>
      </c>
      <c r="D2562" t="s">
        <v>1</v>
      </c>
      <c r="E2562" t="s">
        <v>2</v>
      </c>
      <c r="F2562">
        <v>14000000</v>
      </c>
      <c r="G2562">
        <v>1990</v>
      </c>
      <c r="H2562">
        <v>6.9</v>
      </c>
    </row>
    <row r="2563" spans="1:8" x14ac:dyDescent="0.25">
      <c r="A2563">
        <v>145</v>
      </c>
      <c r="B2563">
        <v>70001698</v>
      </c>
      <c r="C2563" t="s">
        <v>2524</v>
      </c>
      <c r="D2563" t="s">
        <v>1</v>
      </c>
      <c r="E2563" t="s">
        <v>2</v>
      </c>
      <c r="F2563">
        <v>14000000</v>
      </c>
      <c r="G2563">
        <v>1989</v>
      </c>
      <c r="H2563">
        <v>7.2</v>
      </c>
    </row>
    <row r="2564" spans="1:8" x14ac:dyDescent="0.25">
      <c r="A2564">
        <v>92</v>
      </c>
      <c r="B2564">
        <v>49122319</v>
      </c>
      <c r="C2564" t="s">
        <v>1873</v>
      </c>
      <c r="D2564" t="s">
        <v>1</v>
      </c>
      <c r="E2564" t="s">
        <v>2</v>
      </c>
      <c r="F2564">
        <v>14000000</v>
      </c>
      <c r="G2564">
        <v>2012</v>
      </c>
      <c r="H2564">
        <v>5.9</v>
      </c>
    </row>
    <row r="2565" spans="1:8" x14ac:dyDescent="0.25">
      <c r="A2565">
        <v>109</v>
      </c>
      <c r="B2565">
        <v>61356221</v>
      </c>
      <c r="C2565" t="s">
        <v>2527</v>
      </c>
      <c r="D2565" t="s">
        <v>1</v>
      </c>
      <c r="E2565" t="s">
        <v>2</v>
      </c>
      <c r="F2565">
        <v>14000000</v>
      </c>
      <c r="G2565">
        <v>2007</v>
      </c>
      <c r="H2565">
        <v>5.2</v>
      </c>
    </row>
    <row r="2566" spans="1:8" x14ac:dyDescent="0.25">
      <c r="A2566">
        <v>123</v>
      </c>
      <c r="B2566">
        <v>46800000</v>
      </c>
      <c r="C2566" t="s">
        <v>2528</v>
      </c>
      <c r="D2566" t="s">
        <v>1</v>
      </c>
      <c r="E2566" t="s">
        <v>5</v>
      </c>
      <c r="F2566">
        <v>14000000</v>
      </c>
      <c r="G2566">
        <v>1977</v>
      </c>
      <c r="H2566">
        <v>7.1</v>
      </c>
    </row>
    <row r="2567" spans="1:8" x14ac:dyDescent="0.25">
      <c r="A2567">
        <v>99</v>
      </c>
      <c r="B2567">
        <v>38048637</v>
      </c>
      <c r="C2567" t="s">
        <v>2529</v>
      </c>
      <c r="D2567" t="s">
        <v>1</v>
      </c>
      <c r="E2567" t="s">
        <v>2</v>
      </c>
      <c r="F2567">
        <v>14000000</v>
      </c>
      <c r="G2567">
        <v>1998</v>
      </c>
      <c r="H2567">
        <v>5.5</v>
      </c>
    </row>
    <row r="2568" spans="1:8" x14ac:dyDescent="0.25">
      <c r="A2568">
        <v>119</v>
      </c>
      <c r="B2568">
        <v>34700000</v>
      </c>
      <c r="C2568" t="s">
        <v>1895</v>
      </c>
      <c r="D2568" t="s">
        <v>1</v>
      </c>
      <c r="E2568" t="s">
        <v>2</v>
      </c>
      <c r="F2568">
        <v>14000000</v>
      </c>
      <c r="G2568">
        <v>1988</v>
      </c>
      <c r="H2568">
        <v>7.7</v>
      </c>
    </row>
    <row r="2569" spans="1:8" x14ac:dyDescent="0.25">
      <c r="A2569">
        <v>107</v>
      </c>
      <c r="B2569">
        <v>34793160</v>
      </c>
      <c r="C2569" t="s">
        <v>2530</v>
      </c>
      <c r="D2569" t="s">
        <v>1</v>
      </c>
      <c r="E2569" t="s">
        <v>2</v>
      </c>
      <c r="F2569">
        <v>14000000</v>
      </c>
      <c r="G2569">
        <v>1991</v>
      </c>
      <c r="H2569">
        <v>6.7</v>
      </c>
    </row>
    <row r="2570" spans="1:8" x14ac:dyDescent="0.25">
      <c r="A2570">
        <v>81</v>
      </c>
      <c r="B2570">
        <v>30628981</v>
      </c>
      <c r="C2570" t="s">
        <v>2531</v>
      </c>
      <c r="D2570" t="s">
        <v>1</v>
      </c>
      <c r="E2570" t="s">
        <v>2</v>
      </c>
      <c r="F2570">
        <v>14000000</v>
      </c>
      <c r="G2570">
        <v>1999</v>
      </c>
      <c r="H2570">
        <v>5</v>
      </c>
    </row>
    <row r="2571" spans="1:8" x14ac:dyDescent="0.25">
      <c r="A2571">
        <v>82</v>
      </c>
      <c r="B2571">
        <v>25571351</v>
      </c>
      <c r="C2571" t="s">
        <v>2533</v>
      </c>
      <c r="D2571" t="s">
        <v>1</v>
      </c>
      <c r="E2571" t="s">
        <v>2</v>
      </c>
      <c r="F2571">
        <v>14000000</v>
      </c>
      <c r="G2571">
        <v>2002</v>
      </c>
      <c r="H2571">
        <v>6.6</v>
      </c>
    </row>
    <row r="2572" spans="1:8" x14ac:dyDescent="0.25">
      <c r="A2572">
        <v>109</v>
      </c>
      <c r="B2572">
        <v>27515786</v>
      </c>
      <c r="C2572" t="s">
        <v>2534</v>
      </c>
      <c r="D2572" t="s">
        <v>1</v>
      </c>
      <c r="E2572" t="s">
        <v>2</v>
      </c>
      <c r="F2572">
        <v>14000000</v>
      </c>
      <c r="G2572">
        <v>1993</v>
      </c>
      <c r="H2572">
        <v>5.9</v>
      </c>
    </row>
    <row r="2573" spans="1:8" x14ac:dyDescent="0.25">
      <c r="A2573">
        <v>95</v>
      </c>
      <c r="B2573">
        <v>25482931</v>
      </c>
      <c r="C2573" t="s">
        <v>2535</v>
      </c>
      <c r="D2573" t="s">
        <v>1</v>
      </c>
      <c r="E2573" t="s">
        <v>2</v>
      </c>
      <c r="F2573">
        <v>14000000</v>
      </c>
      <c r="G2573">
        <v>2002</v>
      </c>
      <c r="H2573">
        <v>5.7</v>
      </c>
    </row>
    <row r="2574" spans="1:8" x14ac:dyDescent="0.25">
      <c r="A2574">
        <v>91</v>
      </c>
      <c r="B2574">
        <v>16298046</v>
      </c>
      <c r="C2574" t="s">
        <v>2537</v>
      </c>
      <c r="D2574" t="s">
        <v>1</v>
      </c>
      <c r="E2574" t="s">
        <v>5</v>
      </c>
      <c r="F2574">
        <v>14000000</v>
      </c>
      <c r="G2574">
        <v>2005</v>
      </c>
      <c r="H2574">
        <v>5</v>
      </c>
    </row>
    <row r="2575" spans="1:8" x14ac:dyDescent="0.25">
      <c r="A2575">
        <v>90</v>
      </c>
      <c r="B2575">
        <v>15549702</v>
      </c>
      <c r="C2575" t="s">
        <v>2538</v>
      </c>
      <c r="D2575" t="s">
        <v>1</v>
      </c>
      <c r="E2575" t="s">
        <v>2</v>
      </c>
      <c r="F2575">
        <v>14000000</v>
      </c>
      <c r="G2575">
        <v>2003</v>
      </c>
      <c r="H2575">
        <v>4.5999999999999996</v>
      </c>
    </row>
    <row r="2576" spans="1:8" x14ac:dyDescent="0.25">
      <c r="A2576">
        <v>108</v>
      </c>
      <c r="B2576">
        <v>15483540</v>
      </c>
      <c r="C2576" t="s">
        <v>2539</v>
      </c>
      <c r="D2576" t="s">
        <v>1</v>
      </c>
      <c r="E2576" t="s">
        <v>2</v>
      </c>
      <c r="F2576">
        <v>14000000</v>
      </c>
      <c r="G2576">
        <v>2009</v>
      </c>
      <c r="H2576">
        <v>6.5</v>
      </c>
    </row>
    <row r="2577" spans="1:8" x14ac:dyDescent="0.25">
      <c r="A2577">
        <v>103</v>
      </c>
      <c r="B2577">
        <v>20246959</v>
      </c>
      <c r="C2577" t="s">
        <v>2540</v>
      </c>
      <c r="D2577" t="s">
        <v>1</v>
      </c>
      <c r="E2577" t="s">
        <v>2</v>
      </c>
      <c r="F2577">
        <v>14000000</v>
      </c>
      <c r="G2577">
        <v>2010</v>
      </c>
      <c r="H2577">
        <v>4.9000000000000004</v>
      </c>
    </row>
    <row r="2578" spans="1:8" x14ac:dyDescent="0.25">
      <c r="A2578">
        <v>96</v>
      </c>
      <c r="B2578">
        <v>15062898</v>
      </c>
      <c r="C2578" t="s">
        <v>2541</v>
      </c>
      <c r="D2578" t="s">
        <v>1</v>
      </c>
      <c r="E2578" t="s">
        <v>2</v>
      </c>
      <c r="F2578">
        <v>14000000</v>
      </c>
      <c r="G2578">
        <v>1998</v>
      </c>
      <c r="H2578">
        <v>6</v>
      </c>
    </row>
    <row r="2579" spans="1:8" x14ac:dyDescent="0.25">
      <c r="A2579">
        <v>115</v>
      </c>
      <c r="B2579">
        <v>13640000</v>
      </c>
      <c r="C2579" t="s">
        <v>2544</v>
      </c>
      <c r="D2579" t="s">
        <v>1</v>
      </c>
      <c r="E2579" t="s">
        <v>2</v>
      </c>
      <c r="F2579">
        <v>14000000</v>
      </c>
      <c r="G2579">
        <v>1994</v>
      </c>
      <c r="H2579">
        <v>6.9</v>
      </c>
    </row>
    <row r="2580" spans="1:8" x14ac:dyDescent="0.25">
      <c r="A2580">
        <v>112</v>
      </c>
      <c r="B2580">
        <v>11204499</v>
      </c>
      <c r="C2580" t="s">
        <v>2546</v>
      </c>
      <c r="D2580" t="s">
        <v>1</v>
      </c>
      <c r="E2580" t="s">
        <v>2</v>
      </c>
      <c r="F2580">
        <v>14000000</v>
      </c>
      <c r="G2580">
        <v>2006</v>
      </c>
      <c r="H2580">
        <v>7</v>
      </c>
    </row>
    <row r="2581" spans="1:8" x14ac:dyDescent="0.25">
      <c r="A2581">
        <v>86</v>
      </c>
      <c r="B2581">
        <v>10397365</v>
      </c>
      <c r="C2581" t="s">
        <v>2547</v>
      </c>
      <c r="D2581" t="s">
        <v>1</v>
      </c>
      <c r="E2581" t="s">
        <v>2</v>
      </c>
      <c r="F2581">
        <v>14000000</v>
      </c>
      <c r="G2581">
        <v>2001</v>
      </c>
      <c r="H2581">
        <v>5.4</v>
      </c>
    </row>
    <row r="2582" spans="1:8" x14ac:dyDescent="0.25">
      <c r="A2582">
        <v>86</v>
      </c>
      <c r="B2582">
        <v>9402410</v>
      </c>
      <c r="C2582" t="s">
        <v>2548</v>
      </c>
      <c r="D2582" t="s">
        <v>1</v>
      </c>
      <c r="E2582" t="s">
        <v>2</v>
      </c>
      <c r="F2582">
        <v>14000000</v>
      </c>
      <c r="G2582">
        <v>2012</v>
      </c>
      <c r="H2582">
        <v>5.4</v>
      </c>
    </row>
    <row r="2583" spans="1:8" x14ac:dyDescent="0.25">
      <c r="A2583">
        <v>107</v>
      </c>
      <c r="B2583">
        <v>4741987</v>
      </c>
      <c r="C2583" t="s">
        <v>2551</v>
      </c>
      <c r="D2583" t="s">
        <v>1</v>
      </c>
      <c r="E2583" t="s">
        <v>2</v>
      </c>
      <c r="F2583">
        <v>14000000</v>
      </c>
      <c r="G2583">
        <v>1999</v>
      </c>
      <c r="H2583">
        <v>6.6</v>
      </c>
    </row>
    <row r="2584" spans="1:8" x14ac:dyDescent="0.25">
      <c r="A2584">
        <v>98</v>
      </c>
      <c r="B2584">
        <v>4291965</v>
      </c>
      <c r="C2584" t="s">
        <v>2552</v>
      </c>
      <c r="D2584" t="s">
        <v>1</v>
      </c>
      <c r="E2584" t="s">
        <v>244</v>
      </c>
      <c r="F2584">
        <v>14000000</v>
      </c>
      <c r="G2584">
        <v>2006</v>
      </c>
      <c r="H2584">
        <v>6.7</v>
      </c>
    </row>
    <row r="2585" spans="1:8" x14ac:dyDescent="0.25">
      <c r="A2585">
        <v>84</v>
      </c>
      <c r="B2585">
        <v>3100650</v>
      </c>
      <c r="C2585" t="s">
        <v>2553</v>
      </c>
      <c r="D2585" t="s">
        <v>1</v>
      </c>
      <c r="E2585" t="s">
        <v>2</v>
      </c>
      <c r="F2585">
        <v>14000000</v>
      </c>
      <c r="G2585">
        <v>2001</v>
      </c>
      <c r="H2585">
        <v>3.9</v>
      </c>
    </row>
    <row r="2586" spans="1:8" x14ac:dyDescent="0.25">
      <c r="A2586">
        <v>139</v>
      </c>
      <c r="B2586">
        <v>2474000</v>
      </c>
      <c r="C2586" t="s">
        <v>2554</v>
      </c>
      <c r="D2586" t="s">
        <v>1</v>
      </c>
      <c r="E2586" t="s">
        <v>244</v>
      </c>
      <c r="F2586">
        <v>14000000</v>
      </c>
      <c r="G2586">
        <v>1995</v>
      </c>
      <c r="H2586">
        <v>5.7</v>
      </c>
    </row>
    <row r="2587" spans="1:8" x14ac:dyDescent="0.25">
      <c r="A2587">
        <v>127</v>
      </c>
      <c r="B2587">
        <v>1000000</v>
      </c>
      <c r="C2587" t="s">
        <v>2555</v>
      </c>
      <c r="D2587" t="s">
        <v>1</v>
      </c>
      <c r="E2587" t="s">
        <v>2556</v>
      </c>
      <c r="F2587">
        <v>14000000</v>
      </c>
      <c r="G2587">
        <v>1978</v>
      </c>
      <c r="H2587">
        <v>6.5</v>
      </c>
    </row>
    <row r="2588" spans="1:8" x14ac:dyDescent="0.25">
      <c r="A2588">
        <v>186</v>
      </c>
      <c r="B2588">
        <v>46495</v>
      </c>
      <c r="C2588" t="s">
        <v>2560</v>
      </c>
      <c r="D2588" t="s">
        <v>1</v>
      </c>
      <c r="E2588" t="s">
        <v>2</v>
      </c>
      <c r="F2588">
        <v>14000000</v>
      </c>
      <c r="G2588">
        <v>2011</v>
      </c>
      <c r="H2588">
        <v>6.5</v>
      </c>
    </row>
    <row r="2589" spans="1:8" x14ac:dyDescent="0.25">
      <c r="A2589">
        <v>90</v>
      </c>
      <c r="B2589">
        <v>1752214</v>
      </c>
      <c r="C2589" t="s">
        <v>2561</v>
      </c>
      <c r="D2589" t="s">
        <v>1</v>
      </c>
      <c r="E2589" t="s">
        <v>2</v>
      </c>
      <c r="F2589">
        <v>14000000</v>
      </c>
      <c r="G2589">
        <v>2010</v>
      </c>
      <c r="H2589">
        <v>7.7</v>
      </c>
    </row>
    <row r="2590" spans="1:8" x14ac:dyDescent="0.25">
      <c r="A2590">
        <v>134</v>
      </c>
      <c r="B2590">
        <v>83025853</v>
      </c>
      <c r="C2590" t="s">
        <v>2562</v>
      </c>
      <c r="D2590" t="s">
        <v>1</v>
      </c>
      <c r="E2590" t="s">
        <v>2</v>
      </c>
      <c r="F2590">
        <v>14000000</v>
      </c>
      <c r="G2590">
        <v>2005</v>
      </c>
      <c r="H2590">
        <v>7.7</v>
      </c>
    </row>
    <row r="2591" spans="1:8" x14ac:dyDescent="0.25">
      <c r="A2591">
        <v>99</v>
      </c>
      <c r="B2591">
        <v>12282677</v>
      </c>
      <c r="C2591" t="s">
        <v>2565</v>
      </c>
      <c r="D2591" t="s">
        <v>1</v>
      </c>
      <c r="E2591" t="s">
        <v>2</v>
      </c>
      <c r="F2591">
        <v>14000000</v>
      </c>
      <c r="G2591">
        <v>2015</v>
      </c>
      <c r="H2591">
        <v>5.0999999999999996</v>
      </c>
    </row>
    <row r="2592" spans="1:8" x14ac:dyDescent="0.25">
      <c r="A2592">
        <v>135</v>
      </c>
      <c r="B2592">
        <v>16929123</v>
      </c>
      <c r="C2592" t="s">
        <v>2600</v>
      </c>
      <c r="D2592" t="s">
        <v>1</v>
      </c>
      <c r="E2592" t="s">
        <v>2</v>
      </c>
      <c r="F2592">
        <v>14000000</v>
      </c>
      <c r="G2592">
        <v>2001</v>
      </c>
      <c r="H2592">
        <v>6.5</v>
      </c>
    </row>
    <row r="2593" spans="1:8" x14ac:dyDescent="0.25">
      <c r="A2593">
        <v>293</v>
      </c>
      <c r="B2593">
        <v>11433134</v>
      </c>
      <c r="C2593" t="s">
        <v>2691</v>
      </c>
      <c r="D2593" t="s">
        <v>1644</v>
      </c>
      <c r="E2593" t="s">
        <v>1719</v>
      </c>
      <c r="F2593">
        <v>14000000</v>
      </c>
      <c r="G2593">
        <v>1981</v>
      </c>
      <c r="H2593">
        <v>8.4</v>
      </c>
    </row>
    <row r="2594" spans="1:8" x14ac:dyDescent="0.25">
      <c r="A2594">
        <v>97</v>
      </c>
      <c r="B2594">
        <v>18535191</v>
      </c>
      <c r="C2594" t="s">
        <v>2774</v>
      </c>
      <c r="D2594" t="s">
        <v>1</v>
      </c>
      <c r="E2594" t="s">
        <v>5</v>
      </c>
      <c r="F2594">
        <v>14000000</v>
      </c>
      <c r="G2594">
        <v>1999</v>
      </c>
      <c r="H2594">
        <v>6.9</v>
      </c>
    </row>
    <row r="2595" spans="1:8" x14ac:dyDescent="0.25">
      <c r="A2595">
        <v>118</v>
      </c>
      <c r="B2595">
        <v>800000</v>
      </c>
      <c r="C2595" t="s">
        <v>2874</v>
      </c>
      <c r="D2595" t="s">
        <v>1</v>
      </c>
      <c r="E2595" t="s">
        <v>2</v>
      </c>
      <c r="F2595">
        <v>14000000</v>
      </c>
      <c r="G2595">
        <v>1981</v>
      </c>
      <c r="H2595">
        <v>5.2</v>
      </c>
    </row>
    <row r="2596" spans="1:8" x14ac:dyDescent="0.25">
      <c r="A2596">
        <v>103</v>
      </c>
      <c r="B2596">
        <v>75078</v>
      </c>
      <c r="C2596" t="s">
        <v>3345</v>
      </c>
      <c r="D2596" t="s">
        <v>1</v>
      </c>
      <c r="E2596" t="s">
        <v>2</v>
      </c>
      <c r="F2596">
        <v>14000000</v>
      </c>
      <c r="G2596">
        <v>2000</v>
      </c>
      <c r="H2596">
        <v>6.3</v>
      </c>
    </row>
    <row r="2597" spans="1:8" x14ac:dyDescent="0.25">
      <c r="A2597">
        <v>106</v>
      </c>
      <c r="B2597">
        <v>115504</v>
      </c>
      <c r="C2597" t="s">
        <v>3467</v>
      </c>
      <c r="D2597" t="s">
        <v>1</v>
      </c>
      <c r="E2597" t="s">
        <v>5</v>
      </c>
      <c r="F2597">
        <v>14000000</v>
      </c>
      <c r="G2597">
        <v>2008</v>
      </c>
      <c r="H2597">
        <v>6.2</v>
      </c>
    </row>
    <row r="2598" spans="1:8" x14ac:dyDescent="0.25">
      <c r="A2598">
        <v>119</v>
      </c>
      <c r="B2598">
        <v>52293982</v>
      </c>
      <c r="C2598" t="s">
        <v>2790</v>
      </c>
      <c r="D2598" t="s">
        <v>1</v>
      </c>
      <c r="E2598" t="s">
        <v>2</v>
      </c>
      <c r="F2598">
        <v>13800000</v>
      </c>
      <c r="G2598">
        <v>1986</v>
      </c>
      <c r="H2598">
        <v>7</v>
      </c>
    </row>
    <row r="2599" spans="1:8" x14ac:dyDescent="0.25">
      <c r="A2599">
        <v>110</v>
      </c>
      <c r="B2599">
        <v>13823741</v>
      </c>
      <c r="C2599" t="s">
        <v>1721</v>
      </c>
      <c r="D2599" t="s">
        <v>1</v>
      </c>
      <c r="E2599" t="s">
        <v>5</v>
      </c>
      <c r="F2599">
        <v>13500000</v>
      </c>
      <c r="G2599">
        <v>2008</v>
      </c>
      <c r="H2599">
        <v>6.9</v>
      </c>
    </row>
    <row r="2600" spans="1:8" x14ac:dyDescent="0.25">
      <c r="A2600">
        <v>131</v>
      </c>
      <c r="B2600">
        <v>85433</v>
      </c>
      <c r="C2600" t="s">
        <v>1889</v>
      </c>
      <c r="D2600" t="s">
        <v>1</v>
      </c>
      <c r="E2600" t="s">
        <v>1307</v>
      </c>
      <c r="F2600">
        <v>13500000</v>
      </c>
      <c r="G2600">
        <v>2013</v>
      </c>
      <c r="H2600">
        <v>7.8</v>
      </c>
    </row>
    <row r="2601" spans="1:8" x14ac:dyDescent="0.25">
      <c r="A2601">
        <v>112</v>
      </c>
      <c r="B2601">
        <v>37623143</v>
      </c>
      <c r="C2601" t="s">
        <v>2344</v>
      </c>
      <c r="D2601" t="s">
        <v>475</v>
      </c>
      <c r="E2601" t="s">
        <v>620</v>
      </c>
      <c r="F2601">
        <v>13500000</v>
      </c>
      <c r="G2601">
        <v>2006</v>
      </c>
      <c r="H2601">
        <v>8.1999999999999993</v>
      </c>
    </row>
    <row r="2602" spans="1:8" x14ac:dyDescent="0.25">
      <c r="A2602">
        <v>107</v>
      </c>
      <c r="B2602">
        <v>15854988</v>
      </c>
      <c r="C2602" t="s">
        <v>2564</v>
      </c>
      <c r="D2602" t="s">
        <v>1</v>
      </c>
      <c r="E2602" t="s">
        <v>2</v>
      </c>
      <c r="F2602">
        <v>13500000</v>
      </c>
      <c r="G2602">
        <v>2002</v>
      </c>
      <c r="H2602">
        <v>7.4</v>
      </c>
    </row>
    <row r="2603" spans="1:8" x14ac:dyDescent="0.25">
      <c r="A2603">
        <v>124</v>
      </c>
      <c r="B2603">
        <v>7060876</v>
      </c>
      <c r="C2603" t="s">
        <v>2567</v>
      </c>
      <c r="D2603" t="s">
        <v>1</v>
      </c>
      <c r="E2603" t="s">
        <v>5</v>
      </c>
      <c r="F2603">
        <v>13500000</v>
      </c>
      <c r="G2603">
        <v>2000</v>
      </c>
      <c r="H2603">
        <v>7.4</v>
      </c>
    </row>
    <row r="2604" spans="1:8" x14ac:dyDescent="0.25">
      <c r="A2604">
        <v>178</v>
      </c>
      <c r="B2604">
        <v>5501940</v>
      </c>
      <c r="C2604" t="s">
        <v>2569</v>
      </c>
      <c r="D2604" t="s">
        <v>1644</v>
      </c>
      <c r="E2604" t="s">
        <v>119</v>
      </c>
      <c r="F2604">
        <v>13500000</v>
      </c>
      <c r="G2604">
        <v>2004</v>
      </c>
      <c r="H2604">
        <v>8.3000000000000007</v>
      </c>
    </row>
    <row r="2605" spans="1:8" x14ac:dyDescent="0.25">
      <c r="A2605">
        <v>129</v>
      </c>
      <c r="B2605">
        <v>186354</v>
      </c>
      <c r="C2605" t="s">
        <v>3515</v>
      </c>
      <c r="D2605" t="s">
        <v>1</v>
      </c>
      <c r="E2605" t="s">
        <v>2</v>
      </c>
      <c r="F2605">
        <v>13500000</v>
      </c>
      <c r="G2605">
        <v>2015</v>
      </c>
      <c r="H2605">
        <v>4.5</v>
      </c>
    </row>
    <row r="2606" spans="1:8" x14ac:dyDescent="0.25">
      <c r="A2606">
        <v>100</v>
      </c>
      <c r="B2606">
        <v>163591</v>
      </c>
      <c r="C2606" t="s">
        <v>2572</v>
      </c>
      <c r="D2606" t="s">
        <v>1</v>
      </c>
      <c r="E2606" t="s">
        <v>1028</v>
      </c>
      <c r="F2606">
        <v>13400000</v>
      </c>
      <c r="G2606">
        <v>2010</v>
      </c>
      <c r="H2606">
        <v>3.6</v>
      </c>
    </row>
    <row r="2607" spans="1:8" x14ac:dyDescent="0.25">
      <c r="A2607">
        <v>84</v>
      </c>
      <c r="B2607">
        <v>52543632</v>
      </c>
      <c r="C2607" t="s">
        <v>2594</v>
      </c>
      <c r="D2607" t="s">
        <v>1</v>
      </c>
      <c r="E2607" t="s">
        <v>2</v>
      </c>
      <c r="F2607">
        <v>13200000</v>
      </c>
      <c r="G2607">
        <v>2014</v>
      </c>
      <c r="H2607">
        <v>5.6</v>
      </c>
    </row>
    <row r="2608" spans="1:8" x14ac:dyDescent="0.25">
      <c r="A2608">
        <v>98</v>
      </c>
      <c r="B2608">
        <v>15361537</v>
      </c>
      <c r="C2608" t="s">
        <v>1846</v>
      </c>
      <c r="D2608" t="s">
        <v>1</v>
      </c>
      <c r="E2608" t="s">
        <v>119</v>
      </c>
      <c r="F2608">
        <v>13000000</v>
      </c>
      <c r="G2608">
        <v>2002</v>
      </c>
      <c r="H2608">
        <v>4.5999999999999996</v>
      </c>
    </row>
    <row r="2609" spans="1:8" x14ac:dyDescent="0.25">
      <c r="A2609">
        <v>113</v>
      </c>
      <c r="B2609">
        <v>51697449</v>
      </c>
      <c r="C2609" t="s">
        <v>2192</v>
      </c>
      <c r="D2609" t="s">
        <v>1</v>
      </c>
      <c r="E2609" t="s">
        <v>2</v>
      </c>
      <c r="F2609">
        <v>13000000</v>
      </c>
      <c r="G2609">
        <v>2009</v>
      </c>
      <c r="H2609">
        <v>4.0999999999999996</v>
      </c>
    </row>
    <row r="2610" spans="1:8" x14ac:dyDescent="0.25">
      <c r="A2610">
        <v>112</v>
      </c>
      <c r="B2610">
        <v>6615578</v>
      </c>
      <c r="C2610" t="s">
        <v>2265</v>
      </c>
      <c r="D2610" t="s">
        <v>1</v>
      </c>
      <c r="E2610" t="s">
        <v>119</v>
      </c>
      <c r="F2610">
        <v>13000000</v>
      </c>
      <c r="G2610">
        <v>2009</v>
      </c>
      <c r="H2610">
        <v>7</v>
      </c>
    </row>
    <row r="2611" spans="1:8" x14ac:dyDescent="0.25">
      <c r="A2611">
        <v>161</v>
      </c>
      <c r="B2611">
        <v>336467</v>
      </c>
      <c r="C2611" t="s">
        <v>2376</v>
      </c>
      <c r="D2611" t="s">
        <v>1</v>
      </c>
      <c r="E2611" t="s">
        <v>244</v>
      </c>
      <c r="F2611">
        <v>13000000</v>
      </c>
      <c r="G2611">
        <v>2009</v>
      </c>
      <c r="H2611">
        <v>7.3</v>
      </c>
    </row>
    <row r="2612" spans="1:8" x14ac:dyDescent="0.25">
      <c r="A2612">
        <v>105</v>
      </c>
      <c r="B2612">
        <v>29959436</v>
      </c>
      <c r="C2612" t="s">
        <v>2532</v>
      </c>
      <c r="D2612" t="s">
        <v>1</v>
      </c>
      <c r="E2612" t="s">
        <v>5</v>
      </c>
      <c r="F2612">
        <v>13000000</v>
      </c>
      <c r="G2612">
        <v>2011</v>
      </c>
      <c r="H2612">
        <v>6.4</v>
      </c>
    </row>
    <row r="2613" spans="1:8" x14ac:dyDescent="0.25">
      <c r="A2613">
        <v>121</v>
      </c>
      <c r="B2613">
        <v>123922370</v>
      </c>
      <c r="C2613" t="s">
        <v>2571</v>
      </c>
      <c r="D2613" t="s">
        <v>1</v>
      </c>
      <c r="E2613" t="s">
        <v>2</v>
      </c>
      <c r="F2613">
        <v>13000000</v>
      </c>
      <c r="G2613">
        <v>1987</v>
      </c>
      <c r="H2613">
        <v>7.3</v>
      </c>
    </row>
    <row r="2614" spans="1:8" x14ac:dyDescent="0.25">
      <c r="A2614">
        <v>115</v>
      </c>
      <c r="B2614">
        <v>73000942</v>
      </c>
      <c r="C2614" t="s">
        <v>2573</v>
      </c>
      <c r="D2614" t="s">
        <v>1</v>
      </c>
      <c r="E2614" t="s">
        <v>2</v>
      </c>
      <c r="F2614">
        <v>13000000</v>
      </c>
      <c r="G2614">
        <v>2011</v>
      </c>
      <c r="H2614">
        <v>1.6</v>
      </c>
    </row>
    <row r="2615" spans="1:8" x14ac:dyDescent="0.25">
      <c r="A2615">
        <v>108</v>
      </c>
      <c r="B2615">
        <v>106952327</v>
      </c>
      <c r="C2615" t="s">
        <v>2574</v>
      </c>
      <c r="D2615" t="s">
        <v>1</v>
      </c>
      <c r="E2615" t="s">
        <v>2</v>
      </c>
      <c r="F2615">
        <v>13000000</v>
      </c>
      <c r="G2615">
        <v>2010</v>
      </c>
      <c r="H2615">
        <v>8</v>
      </c>
    </row>
    <row r="2616" spans="1:8" x14ac:dyDescent="0.25">
      <c r="A2616">
        <v>220</v>
      </c>
      <c r="B2616">
        <v>57300000</v>
      </c>
      <c r="C2616" t="s">
        <v>2575</v>
      </c>
      <c r="D2616" t="s">
        <v>1</v>
      </c>
      <c r="E2616" t="s">
        <v>2</v>
      </c>
      <c r="F2616">
        <v>13000000</v>
      </c>
      <c r="G2616">
        <v>1974</v>
      </c>
      <c r="H2616">
        <v>9</v>
      </c>
    </row>
    <row r="2617" spans="1:8" x14ac:dyDescent="0.25">
      <c r="A2617">
        <v>112</v>
      </c>
      <c r="B2617">
        <v>91038276</v>
      </c>
      <c r="C2617" t="s">
        <v>2576</v>
      </c>
      <c r="D2617" t="s">
        <v>1</v>
      </c>
      <c r="E2617" t="s">
        <v>2</v>
      </c>
      <c r="F2617">
        <v>13000000</v>
      </c>
      <c r="G2617">
        <v>2001</v>
      </c>
      <c r="H2617">
        <v>6.1</v>
      </c>
    </row>
    <row r="2618" spans="1:8" x14ac:dyDescent="0.25">
      <c r="A2618">
        <v>109</v>
      </c>
      <c r="B2618">
        <v>61693523</v>
      </c>
      <c r="C2618" t="s">
        <v>2578</v>
      </c>
      <c r="D2618" t="s">
        <v>1</v>
      </c>
      <c r="E2618" t="s">
        <v>2</v>
      </c>
      <c r="F2618">
        <v>13000000</v>
      </c>
      <c r="G2618">
        <v>2016</v>
      </c>
      <c r="H2618">
        <v>6.8</v>
      </c>
    </row>
    <row r="2619" spans="1:8" x14ac:dyDescent="0.25">
      <c r="A2619">
        <v>83</v>
      </c>
      <c r="B2619">
        <v>46729374</v>
      </c>
      <c r="C2619" t="s">
        <v>2579</v>
      </c>
      <c r="D2619" t="s">
        <v>1</v>
      </c>
      <c r="E2619" t="s">
        <v>2</v>
      </c>
      <c r="F2619">
        <v>13000000</v>
      </c>
      <c r="G2619">
        <v>2000</v>
      </c>
      <c r="H2619">
        <v>5.5</v>
      </c>
    </row>
    <row r="2620" spans="1:8" x14ac:dyDescent="0.25">
      <c r="A2620">
        <v>107</v>
      </c>
      <c r="B2620">
        <v>44726644</v>
      </c>
      <c r="C2620" t="s">
        <v>2580</v>
      </c>
      <c r="D2620" t="s">
        <v>1</v>
      </c>
      <c r="E2620" t="s">
        <v>2</v>
      </c>
      <c r="F2620">
        <v>13000000</v>
      </c>
      <c r="G2620">
        <v>1988</v>
      </c>
      <c r="H2620">
        <v>6.8</v>
      </c>
    </row>
    <row r="2621" spans="1:8" x14ac:dyDescent="0.25">
      <c r="A2621">
        <v>102</v>
      </c>
      <c r="B2621">
        <v>44134898</v>
      </c>
      <c r="C2621" t="s">
        <v>2581</v>
      </c>
      <c r="D2621" t="s">
        <v>1</v>
      </c>
      <c r="E2621" t="s">
        <v>2</v>
      </c>
      <c r="F2621">
        <v>13000000</v>
      </c>
      <c r="G2621">
        <v>2014</v>
      </c>
      <c r="H2621">
        <v>7.3</v>
      </c>
    </row>
    <row r="2622" spans="1:8" x14ac:dyDescent="0.25">
      <c r="A2622">
        <v>92</v>
      </c>
      <c r="B2622">
        <v>28972187</v>
      </c>
      <c r="C2622" t="s">
        <v>2584</v>
      </c>
      <c r="D2622" t="s">
        <v>1</v>
      </c>
      <c r="E2622" t="s">
        <v>2</v>
      </c>
      <c r="F2622">
        <v>13000000</v>
      </c>
      <c r="G2622">
        <v>2002</v>
      </c>
      <c r="H2622">
        <v>5.9</v>
      </c>
    </row>
    <row r="2623" spans="1:8" x14ac:dyDescent="0.25">
      <c r="A2623">
        <v>120</v>
      </c>
      <c r="B2623">
        <v>23947</v>
      </c>
      <c r="C2623" t="s">
        <v>2587</v>
      </c>
      <c r="D2623" t="s">
        <v>1</v>
      </c>
      <c r="E2623" t="s">
        <v>2</v>
      </c>
      <c r="F2623">
        <v>13000000</v>
      </c>
      <c r="G2623">
        <v>2004</v>
      </c>
      <c r="H2623">
        <v>7.7</v>
      </c>
    </row>
    <row r="2624" spans="1:8" x14ac:dyDescent="0.25">
      <c r="A2624">
        <v>89</v>
      </c>
      <c r="B2624">
        <v>60008303</v>
      </c>
      <c r="C2624" t="s">
        <v>2588</v>
      </c>
      <c r="D2624" t="s">
        <v>1</v>
      </c>
      <c r="E2624" t="s">
        <v>2</v>
      </c>
      <c r="F2624">
        <v>13000000</v>
      </c>
      <c r="G2624">
        <v>2000</v>
      </c>
      <c r="H2624">
        <v>4.9000000000000004</v>
      </c>
    </row>
    <row r="2625" spans="1:8" x14ac:dyDescent="0.25">
      <c r="A2625">
        <v>117</v>
      </c>
      <c r="B2625">
        <v>49121934</v>
      </c>
      <c r="C2625" t="s">
        <v>2589</v>
      </c>
      <c r="D2625" t="s">
        <v>1</v>
      </c>
      <c r="E2625" t="s">
        <v>2</v>
      </c>
      <c r="F2625">
        <v>13000000</v>
      </c>
      <c r="G2625">
        <v>2007</v>
      </c>
      <c r="H2625">
        <v>6.1</v>
      </c>
    </row>
    <row r="2626" spans="1:8" x14ac:dyDescent="0.25">
      <c r="A2626">
        <v>91</v>
      </c>
      <c r="B2626">
        <v>27052167</v>
      </c>
      <c r="C2626" t="s">
        <v>2591</v>
      </c>
      <c r="D2626" t="s">
        <v>1</v>
      </c>
      <c r="E2626" t="s">
        <v>2</v>
      </c>
      <c r="F2626">
        <v>13000000</v>
      </c>
      <c r="G2626">
        <v>1998</v>
      </c>
      <c r="H2626">
        <v>6.1</v>
      </c>
    </row>
    <row r="2627" spans="1:8" x14ac:dyDescent="0.25">
      <c r="A2627">
        <v>100</v>
      </c>
      <c r="B2627">
        <v>26539321</v>
      </c>
      <c r="C2627" t="s">
        <v>2592</v>
      </c>
      <c r="D2627" t="s">
        <v>1</v>
      </c>
      <c r="E2627" t="s">
        <v>2</v>
      </c>
      <c r="F2627">
        <v>13000000</v>
      </c>
      <c r="G2627">
        <v>1996</v>
      </c>
      <c r="H2627">
        <v>5.9</v>
      </c>
    </row>
    <row r="2628" spans="1:8" x14ac:dyDescent="0.25">
      <c r="A2628">
        <v>72</v>
      </c>
      <c r="B2628">
        <v>28501605</v>
      </c>
      <c r="C2628" t="s">
        <v>2593</v>
      </c>
      <c r="D2628" t="s">
        <v>1</v>
      </c>
      <c r="E2628" t="s">
        <v>2</v>
      </c>
      <c r="F2628">
        <v>13000000</v>
      </c>
      <c r="G2628">
        <v>1990</v>
      </c>
      <c r="H2628">
        <v>5.7</v>
      </c>
    </row>
    <row r="2629" spans="1:8" x14ac:dyDescent="0.25">
      <c r="A2629">
        <v>112</v>
      </c>
      <c r="B2629">
        <v>22858926</v>
      </c>
      <c r="C2629" t="s">
        <v>2597</v>
      </c>
      <c r="D2629" t="s">
        <v>1</v>
      </c>
      <c r="E2629" t="s">
        <v>2</v>
      </c>
      <c r="F2629">
        <v>13000000</v>
      </c>
      <c r="G2629">
        <v>1999</v>
      </c>
      <c r="H2629">
        <v>7.8</v>
      </c>
    </row>
    <row r="2630" spans="1:8" x14ac:dyDescent="0.25">
      <c r="A2630">
        <v>91</v>
      </c>
      <c r="B2630">
        <v>38916903</v>
      </c>
      <c r="C2630" t="s">
        <v>2599</v>
      </c>
      <c r="D2630" t="s">
        <v>1</v>
      </c>
      <c r="E2630" t="s">
        <v>2</v>
      </c>
      <c r="F2630">
        <v>13000000</v>
      </c>
      <c r="G2630">
        <v>2014</v>
      </c>
      <c r="H2630">
        <v>5.8</v>
      </c>
    </row>
    <row r="2631" spans="1:8" x14ac:dyDescent="0.25">
      <c r="A2631">
        <v>104</v>
      </c>
      <c r="B2631">
        <v>10996440</v>
      </c>
      <c r="C2631" t="s">
        <v>2602</v>
      </c>
      <c r="D2631" t="s">
        <v>1</v>
      </c>
      <c r="E2631" t="s">
        <v>2</v>
      </c>
      <c r="F2631">
        <v>13000000</v>
      </c>
      <c r="G2631">
        <v>2006</v>
      </c>
      <c r="H2631">
        <v>6.3</v>
      </c>
    </row>
    <row r="2632" spans="1:8" x14ac:dyDescent="0.25">
      <c r="A2632">
        <v>118</v>
      </c>
      <c r="B2632">
        <v>14677654</v>
      </c>
      <c r="C2632" t="s">
        <v>2603</v>
      </c>
      <c r="D2632" t="s">
        <v>1</v>
      </c>
      <c r="E2632" t="s">
        <v>1489</v>
      </c>
      <c r="F2632">
        <v>13000000</v>
      </c>
      <c r="G2632">
        <v>2015</v>
      </c>
      <c r="H2632">
        <v>8.3000000000000007</v>
      </c>
    </row>
    <row r="2633" spans="1:8" x14ac:dyDescent="0.25">
      <c r="A2633">
        <v>82</v>
      </c>
      <c r="B2633">
        <v>9975684</v>
      </c>
      <c r="C2633" t="s">
        <v>2604</v>
      </c>
      <c r="D2633" t="s">
        <v>1</v>
      </c>
      <c r="E2633" t="s">
        <v>38</v>
      </c>
      <c r="F2633">
        <v>13000000</v>
      </c>
      <c r="G2633">
        <v>1998</v>
      </c>
      <c r="H2633">
        <v>6.4</v>
      </c>
    </row>
    <row r="2634" spans="1:8" x14ac:dyDescent="0.25">
      <c r="A2634">
        <v>95</v>
      </c>
      <c r="B2634">
        <v>7881335</v>
      </c>
      <c r="C2634" t="s">
        <v>2605</v>
      </c>
      <c r="D2634" t="s">
        <v>1</v>
      </c>
      <c r="E2634" t="s">
        <v>2</v>
      </c>
      <c r="F2634">
        <v>13000000</v>
      </c>
      <c r="G2634">
        <v>1994</v>
      </c>
      <c r="H2634">
        <v>6.7</v>
      </c>
    </row>
    <row r="2635" spans="1:8" x14ac:dyDescent="0.25">
      <c r="A2635">
        <v>94</v>
      </c>
      <c r="B2635">
        <v>6241697</v>
      </c>
      <c r="C2635" t="s">
        <v>2606</v>
      </c>
      <c r="D2635" t="s">
        <v>1</v>
      </c>
      <c r="E2635" t="s">
        <v>244</v>
      </c>
      <c r="F2635">
        <v>13000000</v>
      </c>
      <c r="G2635">
        <v>1999</v>
      </c>
      <c r="H2635">
        <v>6.1</v>
      </c>
    </row>
    <row r="2636" spans="1:8" x14ac:dyDescent="0.25">
      <c r="A2636">
        <v>99</v>
      </c>
      <c r="B2636">
        <v>5871603</v>
      </c>
      <c r="C2636" t="s">
        <v>2607</v>
      </c>
      <c r="D2636" t="s">
        <v>1</v>
      </c>
      <c r="E2636" t="s">
        <v>2</v>
      </c>
      <c r="F2636">
        <v>13000000</v>
      </c>
      <c r="G2636">
        <v>1999</v>
      </c>
      <c r="H2636">
        <v>6</v>
      </c>
    </row>
    <row r="2637" spans="1:8" x14ac:dyDescent="0.25">
      <c r="A2637">
        <v>121</v>
      </c>
      <c r="B2637">
        <v>16574731</v>
      </c>
      <c r="C2637" t="s">
        <v>2608</v>
      </c>
      <c r="D2637" t="s">
        <v>1</v>
      </c>
      <c r="E2637" t="s">
        <v>2</v>
      </c>
      <c r="F2637">
        <v>13000000</v>
      </c>
      <c r="G2637">
        <v>1998</v>
      </c>
      <c r="H2637">
        <v>5.8</v>
      </c>
    </row>
    <row r="2638" spans="1:8" x14ac:dyDescent="0.25">
      <c r="A2638">
        <v>84</v>
      </c>
      <c r="B2638">
        <v>5002310</v>
      </c>
      <c r="C2638" t="s">
        <v>2609</v>
      </c>
      <c r="D2638" t="s">
        <v>1</v>
      </c>
      <c r="E2638" t="s">
        <v>2</v>
      </c>
      <c r="F2638">
        <v>13000000</v>
      </c>
      <c r="G2638">
        <v>2001</v>
      </c>
      <c r="H2638">
        <v>5.6</v>
      </c>
    </row>
    <row r="2639" spans="1:8" x14ac:dyDescent="0.25">
      <c r="A2639">
        <v>93</v>
      </c>
      <c r="B2639">
        <v>4919896</v>
      </c>
      <c r="C2639" t="s">
        <v>2610</v>
      </c>
      <c r="D2639" t="s">
        <v>1</v>
      </c>
      <c r="E2639" t="s">
        <v>5</v>
      </c>
      <c r="F2639">
        <v>13000000</v>
      </c>
      <c r="G2639">
        <v>2001</v>
      </c>
      <c r="H2639">
        <v>6.1</v>
      </c>
    </row>
    <row r="2640" spans="1:8" x14ac:dyDescent="0.25">
      <c r="A2640">
        <v>93</v>
      </c>
      <c r="B2640">
        <v>25675765</v>
      </c>
      <c r="C2640" t="s">
        <v>2611</v>
      </c>
      <c r="D2640" t="s">
        <v>1</v>
      </c>
      <c r="E2640" t="s">
        <v>2</v>
      </c>
      <c r="F2640">
        <v>13000000</v>
      </c>
      <c r="G2640">
        <v>2013</v>
      </c>
      <c r="H2640">
        <v>5.9</v>
      </c>
    </row>
    <row r="2641" spans="1:8" x14ac:dyDescent="0.25">
      <c r="A2641">
        <v>120</v>
      </c>
      <c r="B2641">
        <v>4857376</v>
      </c>
      <c r="C2641" t="s">
        <v>2612</v>
      </c>
      <c r="D2641" t="s">
        <v>243</v>
      </c>
      <c r="E2641" t="s">
        <v>244</v>
      </c>
      <c r="F2641">
        <v>13000000</v>
      </c>
      <c r="G2641">
        <v>2006</v>
      </c>
      <c r="H2641">
        <v>7.3</v>
      </c>
    </row>
    <row r="2642" spans="1:8" x14ac:dyDescent="0.25">
      <c r="A2642">
        <v>112</v>
      </c>
      <c r="B2642">
        <v>3169424</v>
      </c>
      <c r="C2642" t="s">
        <v>2613</v>
      </c>
      <c r="D2642" t="s">
        <v>1</v>
      </c>
      <c r="E2642" t="s">
        <v>2</v>
      </c>
      <c r="F2642">
        <v>13000000</v>
      </c>
      <c r="G2642">
        <v>2007</v>
      </c>
      <c r="H2642">
        <v>6.8</v>
      </c>
    </row>
    <row r="2643" spans="1:8" x14ac:dyDescent="0.25">
      <c r="A2643">
        <v>107</v>
      </c>
      <c r="B2643">
        <v>18004225</v>
      </c>
      <c r="C2643" t="s">
        <v>2614</v>
      </c>
      <c r="D2643" t="s">
        <v>1</v>
      </c>
      <c r="E2643" t="s">
        <v>2</v>
      </c>
      <c r="F2643">
        <v>13000000</v>
      </c>
      <c r="G2643">
        <v>2013</v>
      </c>
      <c r="H2643">
        <v>5.7</v>
      </c>
    </row>
    <row r="2644" spans="1:8" x14ac:dyDescent="0.25">
      <c r="A2644">
        <v>91</v>
      </c>
      <c r="B2644">
        <v>2104000</v>
      </c>
      <c r="C2644" t="s">
        <v>2617</v>
      </c>
      <c r="D2644" t="s">
        <v>1</v>
      </c>
      <c r="E2644" t="s">
        <v>2</v>
      </c>
      <c r="F2644">
        <v>13000000</v>
      </c>
      <c r="G2644">
        <v>1996</v>
      </c>
      <c r="H2644">
        <v>5.9</v>
      </c>
    </row>
    <row r="2645" spans="1:8" x14ac:dyDescent="0.25">
      <c r="A2645">
        <v>125</v>
      </c>
      <c r="B2645">
        <v>1172769</v>
      </c>
      <c r="C2645" t="s">
        <v>2618</v>
      </c>
      <c r="D2645" t="s">
        <v>1</v>
      </c>
      <c r="E2645" t="s">
        <v>119</v>
      </c>
      <c r="F2645">
        <v>13000000</v>
      </c>
      <c r="G2645">
        <v>2006</v>
      </c>
      <c r="H2645">
        <v>7.1</v>
      </c>
    </row>
    <row r="2646" spans="1:8" x14ac:dyDescent="0.25">
      <c r="A2646">
        <v>102</v>
      </c>
      <c r="B2646">
        <v>17738570</v>
      </c>
      <c r="C2646" t="s">
        <v>2619</v>
      </c>
      <c r="D2646" t="s">
        <v>1</v>
      </c>
      <c r="E2646" t="s">
        <v>2</v>
      </c>
      <c r="F2646">
        <v>13000000</v>
      </c>
      <c r="G2646">
        <v>2012</v>
      </c>
      <c r="H2646">
        <v>8</v>
      </c>
    </row>
    <row r="2647" spans="1:8" x14ac:dyDescent="0.25">
      <c r="A2647">
        <v>118</v>
      </c>
      <c r="B2647">
        <v>1150403</v>
      </c>
      <c r="C2647" t="s">
        <v>2621</v>
      </c>
      <c r="D2647" t="s">
        <v>1</v>
      </c>
      <c r="E2647" t="s">
        <v>2</v>
      </c>
      <c r="F2647">
        <v>13000000</v>
      </c>
      <c r="G2647">
        <v>2006</v>
      </c>
      <c r="H2647">
        <v>7.1</v>
      </c>
    </row>
    <row r="2648" spans="1:8" x14ac:dyDescent="0.25">
      <c r="A2648">
        <v>88</v>
      </c>
      <c r="B2648">
        <v>1024175</v>
      </c>
      <c r="C2648" t="s">
        <v>2624</v>
      </c>
      <c r="D2648" t="s">
        <v>1</v>
      </c>
      <c r="E2648" t="s">
        <v>5</v>
      </c>
      <c r="F2648">
        <v>13000000</v>
      </c>
      <c r="G2648">
        <v>2011</v>
      </c>
      <c r="H2648">
        <v>6.6</v>
      </c>
    </row>
    <row r="2649" spans="1:8" x14ac:dyDescent="0.25">
      <c r="A2649">
        <v>127</v>
      </c>
      <c r="B2649">
        <v>301305</v>
      </c>
      <c r="C2649" t="s">
        <v>2625</v>
      </c>
      <c r="D2649" t="s">
        <v>2626</v>
      </c>
      <c r="E2649" t="s">
        <v>2</v>
      </c>
      <c r="F2649">
        <v>13000000</v>
      </c>
      <c r="G2649">
        <v>2011</v>
      </c>
      <c r="H2649">
        <v>4.3</v>
      </c>
    </row>
    <row r="2650" spans="1:8" x14ac:dyDescent="0.25">
      <c r="A2650">
        <v>94</v>
      </c>
      <c r="B2650">
        <v>51872378</v>
      </c>
      <c r="C2650" t="s">
        <v>2627</v>
      </c>
      <c r="D2650" t="s">
        <v>1</v>
      </c>
      <c r="E2650" t="s">
        <v>2</v>
      </c>
      <c r="F2650">
        <v>13000000</v>
      </c>
      <c r="G2650">
        <v>2013</v>
      </c>
      <c r="H2650">
        <v>6.7</v>
      </c>
    </row>
    <row r="2651" spans="1:8" x14ac:dyDescent="0.25">
      <c r="A2651">
        <v>90</v>
      </c>
      <c r="B2651">
        <v>28399192</v>
      </c>
      <c r="C2651" t="s">
        <v>2628</v>
      </c>
      <c r="D2651" t="s">
        <v>1</v>
      </c>
      <c r="E2651" t="s">
        <v>55</v>
      </c>
      <c r="F2651">
        <v>13000000</v>
      </c>
      <c r="G2651">
        <v>2002</v>
      </c>
      <c r="H2651">
        <v>5.4</v>
      </c>
    </row>
    <row r="2652" spans="1:8" x14ac:dyDescent="0.25">
      <c r="A2652">
        <v>102</v>
      </c>
      <c r="B2652">
        <v>2035566</v>
      </c>
      <c r="C2652" t="s">
        <v>2629</v>
      </c>
      <c r="D2652" t="s">
        <v>1</v>
      </c>
      <c r="E2652" t="s">
        <v>244</v>
      </c>
      <c r="F2652">
        <v>13000000</v>
      </c>
      <c r="G2652">
        <v>2009</v>
      </c>
      <c r="H2652">
        <v>6.6</v>
      </c>
    </row>
    <row r="2653" spans="1:8" x14ac:dyDescent="0.25">
      <c r="A2653">
        <v>121</v>
      </c>
      <c r="B2653">
        <v>12281500</v>
      </c>
      <c r="C2653" t="s">
        <v>2633</v>
      </c>
      <c r="D2653" t="s">
        <v>1</v>
      </c>
      <c r="E2653" t="s">
        <v>2</v>
      </c>
      <c r="F2653">
        <v>13000000</v>
      </c>
      <c r="G2653">
        <v>1993</v>
      </c>
      <c r="H2653">
        <v>8</v>
      </c>
    </row>
    <row r="2654" spans="1:8" x14ac:dyDescent="0.25">
      <c r="A2654">
        <v>109</v>
      </c>
      <c r="B2654">
        <v>214966</v>
      </c>
      <c r="C2654" t="s">
        <v>2635</v>
      </c>
      <c r="D2654" t="s">
        <v>1</v>
      </c>
      <c r="E2654" t="s">
        <v>2</v>
      </c>
      <c r="F2654">
        <v>13000000</v>
      </c>
      <c r="G2654">
        <v>2010</v>
      </c>
      <c r="H2654">
        <v>6.1</v>
      </c>
    </row>
    <row r="2655" spans="1:8" x14ac:dyDescent="0.25">
      <c r="A2655">
        <v>92</v>
      </c>
      <c r="B2655">
        <v>21088568</v>
      </c>
      <c r="C2655" t="s">
        <v>2686</v>
      </c>
      <c r="D2655" t="s">
        <v>1</v>
      </c>
      <c r="E2655" t="s">
        <v>2</v>
      </c>
      <c r="F2655">
        <v>13000000</v>
      </c>
      <c r="G2655">
        <v>1995</v>
      </c>
      <c r="H2655">
        <v>6.7</v>
      </c>
    </row>
    <row r="2656" spans="1:8" x14ac:dyDescent="0.25">
      <c r="A2656">
        <v>81</v>
      </c>
      <c r="B2656">
        <v>46563158</v>
      </c>
      <c r="C2656" t="s">
        <v>2743</v>
      </c>
      <c r="D2656" t="s">
        <v>1</v>
      </c>
      <c r="E2656" t="s">
        <v>2</v>
      </c>
      <c r="F2656">
        <v>13000000</v>
      </c>
      <c r="G2656">
        <v>2002</v>
      </c>
      <c r="H2656">
        <v>7.1</v>
      </c>
    </row>
    <row r="2657" spans="1:8" x14ac:dyDescent="0.25">
      <c r="A2657">
        <v>88</v>
      </c>
      <c r="B2657">
        <v>11501093</v>
      </c>
      <c r="C2657" t="s">
        <v>2760</v>
      </c>
      <c r="D2657" t="s">
        <v>1</v>
      </c>
      <c r="E2657" t="s">
        <v>2</v>
      </c>
      <c r="F2657">
        <v>13000000</v>
      </c>
      <c r="G2657">
        <v>1992</v>
      </c>
      <c r="H2657">
        <v>7.6</v>
      </c>
    </row>
    <row r="2658" spans="1:8" x14ac:dyDescent="0.25">
      <c r="A2658">
        <v>125</v>
      </c>
      <c r="B2658">
        <v>21000000</v>
      </c>
      <c r="C2658" t="s">
        <v>3048</v>
      </c>
      <c r="D2658" t="s">
        <v>1</v>
      </c>
      <c r="E2658" t="s">
        <v>5</v>
      </c>
      <c r="F2658">
        <v>13000000</v>
      </c>
      <c r="G2658">
        <v>1974</v>
      </c>
      <c r="H2658">
        <v>6.8</v>
      </c>
    </row>
    <row r="2659" spans="1:8" x14ac:dyDescent="0.25">
      <c r="A2659">
        <v>94</v>
      </c>
      <c r="C2659" t="s">
        <v>3788</v>
      </c>
      <c r="D2659" t="s">
        <v>1</v>
      </c>
      <c r="E2659" t="s">
        <v>2</v>
      </c>
      <c r="F2659">
        <v>13000000</v>
      </c>
      <c r="G2659">
        <v>2010</v>
      </c>
      <c r="H2659">
        <v>3.9</v>
      </c>
    </row>
    <row r="2660" spans="1:8" x14ac:dyDescent="0.25">
      <c r="A2660">
        <v>140</v>
      </c>
      <c r="B2660">
        <v>4157491</v>
      </c>
      <c r="C2660" t="s">
        <v>2639</v>
      </c>
      <c r="D2660" t="s">
        <v>1</v>
      </c>
      <c r="E2660" t="s">
        <v>1438</v>
      </c>
      <c r="F2660">
        <v>12800000</v>
      </c>
      <c r="G2660">
        <v>2000</v>
      </c>
      <c r="H2660">
        <v>8</v>
      </c>
    </row>
    <row r="2661" spans="1:8" x14ac:dyDescent="0.25">
      <c r="A2661">
        <v>148</v>
      </c>
      <c r="B2661">
        <v>1110186</v>
      </c>
      <c r="C2661" t="s">
        <v>2646</v>
      </c>
      <c r="D2661" t="s">
        <v>2396</v>
      </c>
      <c r="E2661" t="s">
        <v>1028</v>
      </c>
      <c r="F2661">
        <v>12800000</v>
      </c>
      <c r="G2661">
        <v>2004</v>
      </c>
      <c r="H2661">
        <v>8.1</v>
      </c>
    </row>
    <row r="2662" spans="1:8" x14ac:dyDescent="0.25">
      <c r="A2662">
        <v>84</v>
      </c>
      <c r="B2662">
        <v>15417771</v>
      </c>
      <c r="C2662" t="s">
        <v>2830</v>
      </c>
      <c r="D2662" t="s">
        <v>1</v>
      </c>
      <c r="E2662" t="s">
        <v>2</v>
      </c>
      <c r="F2662">
        <v>12600000</v>
      </c>
      <c r="G2662">
        <v>2003</v>
      </c>
      <c r="H2662">
        <v>6.1</v>
      </c>
    </row>
    <row r="2663" spans="1:8" x14ac:dyDescent="0.25">
      <c r="A2663">
        <v>101</v>
      </c>
      <c r="B2663">
        <v>40962534</v>
      </c>
      <c r="C2663" t="s">
        <v>1931</v>
      </c>
      <c r="D2663" t="s">
        <v>1</v>
      </c>
      <c r="E2663" t="s">
        <v>2</v>
      </c>
      <c r="F2663">
        <v>12500000</v>
      </c>
      <c r="G2663">
        <v>2011</v>
      </c>
      <c r="H2663">
        <v>7.1</v>
      </c>
    </row>
    <row r="2664" spans="1:8" x14ac:dyDescent="0.25">
      <c r="A2664">
        <v>100</v>
      </c>
      <c r="B2664">
        <v>48637684</v>
      </c>
      <c r="C2664" t="s">
        <v>2582</v>
      </c>
      <c r="D2664" t="s">
        <v>1</v>
      </c>
      <c r="E2664" t="s">
        <v>2</v>
      </c>
      <c r="F2664">
        <v>12500000</v>
      </c>
      <c r="G2664">
        <v>2014</v>
      </c>
      <c r="H2664">
        <v>6.1</v>
      </c>
    </row>
    <row r="2665" spans="1:8" x14ac:dyDescent="0.25">
      <c r="A2665">
        <v>117</v>
      </c>
      <c r="B2665">
        <v>21078145</v>
      </c>
      <c r="C2665" t="s">
        <v>2631</v>
      </c>
      <c r="D2665" t="s">
        <v>1</v>
      </c>
      <c r="E2665" t="s">
        <v>2</v>
      </c>
      <c r="F2665">
        <v>12500000</v>
      </c>
      <c r="G2665">
        <v>2002</v>
      </c>
      <c r="H2665">
        <v>7.3</v>
      </c>
    </row>
    <row r="2666" spans="1:8" x14ac:dyDescent="0.25">
      <c r="A2666">
        <v>109</v>
      </c>
      <c r="B2666">
        <v>14060950</v>
      </c>
      <c r="C2666" t="s">
        <v>2632</v>
      </c>
      <c r="D2666" t="s">
        <v>1</v>
      </c>
      <c r="E2666" t="s">
        <v>2</v>
      </c>
      <c r="F2666">
        <v>12500000</v>
      </c>
      <c r="G2666">
        <v>2002</v>
      </c>
      <c r="H2666">
        <v>6.9</v>
      </c>
    </row>
    <row r="2667" spans="1:8" x14ac:dyDescent="0.25">
      <c r="A2667">
        <v>100</v>
      </c>
      <c r="B2667">
        <v>10725228</v>
      </c>
      <c r="C2667" t="s">
        <v>2634</v>
      </c>
      <c r="D2667" t="s">
        <v>1</v>
      </c>
      <c r="E2667" t="s">
        <v>2</v>
      </c>
      <c r="F2667">
        <v>12500000</v>
      </c>
      <c r="G2667">
        <v>1992</v>
      </c>
      <c r="H2667">
        <v>7.8</v>
      </c>
    </row>
    <row r="2668" spans="1:8" x14ac:dyDescent="0.25">
      <c r="A2668">
        <v>94</v>
      </c>
      <c r="B2668">
        <v>9030581</v>
      </c>
      <c r="C2668" t="s">
        <v>2638</v>
      </c>
      <c r="D2668" t="s">
        <v>1</v>
      </c>
      <c r="E2668" t="s">
        <v>5</v>
      </c>
      <c r="F2668">
        <v>12500000</v>
      </c>
      <c r="G2668">
        <v>2008</v>
      </c>
      <c r="H2668">
        <v>7.8</v>
      </c>
    </row>
    <row r="2669" spans="1:8" x14ac:dyDescent="0.25">
      <c r="A2669">
        <v>99</v>
      </c>
      <c r="B2669">
        <v>1227324</v>
      </c>
      <c r="C2669" t="s">
        <v>2641</v>
      </c>
      <c r="D2669" t="s">
        <v>1</v>
      </c>
      <c r="E2669" t="s">
        <v>2</v>
      </c>
      <c r="F2669">
        <v>12500000</v>
      </c>
      <c r="G2669">
        <v>1996</v>
      </c>
      <c r="H2669">
        <v>6.6</v>
      </c>
    </row>
    <row r="2670" spans="1:8" x14ac:dyDescent="0.25">
      <c r="A2670">
        <v>69</v>
      </c>
      <c r="B2670">
        <v>48092846</v>
      </c>
      <c r="C2670" t="s">
        <v>2645</v>
      </c>
      <c r="D2670" t="s">
        <v>1</v>
      </c>
      <c r="E2670" t="s">
        <v>2</v>
      </c>
      <c r="F2670">
        <v>12500000</v>
      </c>
      <c r="G2670">
        <v>1988</v>
      </c>
      <c r="H2670">
        <v>7.3</v>
      </c>
    </row>
    <row r="2671" spans="1:8" x14ac:dyDescent="0.25">
      <c r="A2671">
        <v>118</v>
      </c>
      <c r="B2671">
        <v>1089445</v>
      </c>
      <c r="C2671" t="s">
        <v>2647</v>
      </c>
      <c r="D2671" t="s">
        <v>1</v>
      </c>
      <c r="E2671" t="s">
        <v>38</v>
      </c>
      <c r="F2671">
        <v>12500000</v>
      </c>
      <c r="G2671">
        <v>2009</v>
      </c>
      <c r="H2671">
        <v>7</v>
      </c>
    </row>
    <row r="2672" spans="1:8" x14ac:dyDescent="0.25">
      <c r="A2672">
        <v>107</v>
      </c>
      <c r="B2672">
        <v>36200000</v>
      </c>
      <c r="C2672" t="s">
        <v>2799</v>
      </c>
      <c r="D2672" t="s">
        <v>1</v>
      </c>
      <c r="E2672" t="s">
        <v>55</v>
      </c>
      <c r="F2672">
        <v>12305523</v>
      </c>
      <c r="G2672">
        <v>1985</v>
      </c>
      <c r="H2672">
        <v>6.2</v>
      </c>
    </row>
    <row r="2673" spans="1:8" x14ac:dyDescent="0.25">
      <c r="A2673">
        <v>88</v>
      </c>
      <c r="B2673">
        <v>17016190</v>
      </c>
      <c r="C2673" t="s">
        <v>1654</v>
      </c>
      <c r="D2673" t="s">
        <v>1</v>
      </c>
      <c r="E2673" t="s">
        <v>1655</v>
      </c>
      <c r="F2673">
        <v>12000000</v>
      </c>
      <c r="G2673">
        <v>2004</v>
      </c>
      <c r="H2673">
        <v>4.9000000000000004</v>
      </c>
    </row>
    <row r="2674" spans="1:8" x14ac:dyDescent="0.25">
      <c r="A2674">
        <v>83</v>
      </c>
      <c r="B2674">
        <v>7001720</v>
      </c>
      <c r="C2674" t="s">
        <v>2147</v>
      </c>
      <c r="D2674" t="s">
        <v>1</v>
      </c>
      <c r="E2674" t="s">
        <v>2</v>
      </c>
      <c r="F2674">
        <v>12000000</v>
      </c>
      <c r="G2674">
        <v>2008</v>
      </c>
      <c r="H2674">
        <v>4.3</v>
      </c>
    </row>
    <row r="2675" spans="1:8" x14ac:dyDescent="0.25">
      <c r="A2675">
        <v>144</v>
      </c>
      <c r="B2675">
        <v>2222647</v>
      </c>
      <c r="C2675" t="s">
        <v>2277</v>
      </c>
      <c r="D2675" t="s">
        <v>1644</v>
      </c>
      <c r="E2675" t="s">
        <v>119</v>
      </c>
      <c r="F2675">
        <v>12000000</v>
      </c>
      <c r="G2675">
        <v>2009</v>
      </c>
      <c r="H2675">
        <v>7.8</v>
      </c>
    </row>
    <row r="2676" spans="1:8" x14ac:dyDescent="0.25">
      <c r="A2676">
        <v>126</v>
      </c>
      <c r="B2676">
        <v>71502303</v>
      </c>
      <c r="C2676" t="s">
        <v>2294</v>
      </c>
      <c r="D2676" t="s">
        <v>1</v>
      </c>
      <c r="E2676" t="s">
        <v>2</v>
      </c>
      <c r="F2676">
        <v>12000000</v>
      </c>
      <c r="G2676">
        <v>2004</v>
      </c>
      <c r="H2676">
        <v>7.5</v>
      </c>
    </row>
    <row r="2677" spans="1:8" x14ac:dyDescent="0.25">
      <c r="A2677">
        <v>84</v>
      </c>
      <c r="B2677">
        <v>1197786</v>
      </c>
      <c r="C2677" t="s">
        <v>2503</v>
      </c>
      <c r="D2677" t="s">
        <v>243</v>
      </c>
      <c r="E2677" t="s">
        <v>244</v>
      </c>
      <c r="F2677">
        <v>12000000</v>
      </c>
      <c r="G2677">
        <v>2004</v>
      </c>
      <c r="H2677">
        <v>7.2</v>
      </c>
    </row>
    <row r="2678" spans="1:8" x14ac:dyDescent="0.25">
      <c r="A2678">
        <v>117</v>
      </c>
      <c r="B2678">
        <v>14348123</v>
      </c>
      <c r="C2678" t="s">
        <v>2542</v>
      </c>
      <c r="D2678" t="s">
        <v>1</v>
      </c>
      <c r="E2678" t="s">
        <v>1307</v>
      </c>
      <c r="F2678">
        <v>12000000</v>
      </c>
      <c r="G2678">
        <v>1999</v>
      </c>
      <c r="H2678">
        <v>6.9</v>
      </c>
    </row>
    <row r="2679" spans="1:8" x14ac:dyDescent="0.25">
      <c r="A2679">
        <v>97</v>
      </c>
      <c r="B2679">
        <v>56631572</v>
      </c>
      <c r="C2679" t="s">
        <v>2563</v>
      </c>
      <c r="D2679" t="s">
        <v>1</v>
      </c>
      <c r="E2679" t="s">
        <v>2</v>
      </c>
      <c r="F2679">
        <v>12000000</v>
      </c>
      <c r="G2679">
        <v>1995</v>
      </c>
      <c r="H2679">
        <v>6.8</v>
      </c>
    </row>
    <row r="2680" spans="1:8" x14ac:dyDescent="0.25">
      <c r="A2680">
        <v>106</v>
      </c>
      <c r="B2680">
        <v>5949693</v>
      </c>
      <c r="C2680" t="s">
        <v>2637</v>
      </c>
      <c r="D2680" t="s">
        <v>1</v>
      </c>
      <c r="E2680" t="s">
        <v>2</v>
      </c>
      <c r="F2680">
        <v>12000000</v>
      </c>
      <c r="G2680">
        <v>2007</v>
      </c>
      <c r="H2680">
        <v>7.4</v>
      </c>
    </row>
    <row r="2681" spans="1:8" x14ac:dyDescent="0.25">
      <c r="A2681">
        <v>122</v>
      </c>
      <c r="B2681">
        <v>91547205</v>
      </c>
      <c r="C2681" t="s">
        <v>2653</v>
      </c>
      <c r="D2681" t="s">
        <v>1</v>
      </c>
      <c r="E2681" t="s">
        <v>2</v>
      </c>
      <c r="F2681">
        <v>12000000</v>
      </c>
      <c r="G2681">
        <v>2012</v>
      </c>
      <c r="H2681">
        <v>6.6</v>
      </c>
    </row>
    <row r="2682" spans="1:8" x14ac:dyDescent="0.25">
      <c r="A2682">
        <v>102</v>
      </c>
      <c r="B2682">
        <v>75074950</v>
      </c>
      <c r="C2682" t="s">
        <v>2654</v>
      </c>
      <c r="D2682" t="s">
        <v>1</v>
      </c>
      <c r="E2682" t="s">
        <v>2</v>
      </c>
      <c r="F2682">
        <v>12000000</v>
      </c>
      <c r="G2682">
        <v>2002</v>
      </c>
      <c r="H2682">
        <v>6.3</v>
      </c>
    </row>
    <row r="2683" spans="1:8" x14ac:dyDescent="0.25">
      <c r="A2683">
        <v>78</v>
      </c>
      <c r="B2683">
        <v>72217000</v>
      </c>
      <c r="C2683" t="s">
        <v>2656</v>
      </c>
      <c r="D2683" t="s">
        <v>1</v>
      </c>
      <c r="E2683" t="s">
        <v>2</v>
      </c>
      <c r="F2683">
        <v>12000000</v>
      </c>
      <c r="G2683">
        <v>1994</v>
      </c>
      <c r="H2683">
        <v>6.9</v>
      </c>
    </row>
    <row r="2684" spans="1:8" x14ac:dyDescent="0.25">
      <c r="A2684">
        <v>114</v>
      </c>
      <c r="B2684">
        <v>79568000</v>
      </c>
      <c r="C2684" t="s">
        <v>2657</v>
      </c>
      <c r="D2684" t="s">
        <v>1</v>
      </c>
      <c r="E2684" t="s">
        <v>2</v>
      </c>
      <c r="F2684">
        <v>12000000</v>
      </c>
      <c r="G2684">
        <v>1983</v>
      </c>
      <c r="H2684">
        <v>7.1</v>
      </c>
    </row>
    <row r="2685" spans="1:8" x14ac:dyDescent="0.25">
      <c r="A2685">
        <v>112</v>
      </c>
      <c r="B2685">
        <v>65500000</v>
      </c>
      <c r="C2685" t="s">
        <v>2658</v>
      </c>
      <c r="D2685" t="s">
        <v>1</v>
      </c>
      <c r="E2685" t="s">
        <v>2</v>
      </c>
      <c r="F2685">
        <v>12000000</v>
      </c>
      <c r="G2685">
        <v>1985</v>
      </c>
      <c r="H2685">
        <v>7.4</v>
      </c>
    </row>
    <row r="2686" spans="1:8" x14ac:dyDescent="0.25">
      <c r="A2686">
        <v>110</v>
      </c>
      <c r="B2686">
        <v>70011073</v>
      </c>
      <c r="C2686" t="s">
        <v>2659</v>
      </c>
      <c r="D2686" t="s">
        <v>1</v>
      </c>
      <c r="E2686" t="s">
        <v>2</v>
      </c>
      <c r="F2686">
        <v>12000000</v>
      </c>
      <c r="G2686">
        <v>2012</v>
      </c>
      <c r="H2686">
        <v>6.5</v>
      </c>
    </row>
    <row r="2687" spans="1:8" x14ac:dyDescent="0.25">
      <c r="A2687">
        <v>104</v>
      </c>
      <c r="B2687">
        <v>65269010</v>
      </c>
      <c r="C2687" t="s">
        <v>2660</v>
      </c>
      <c r="D2687" t="s">
        <v>1</v>
      </c>
      <c r="E2687" t="s">
        <v>2</v>
      </c>
      <c r="F2687">
        <v>12000000</v>
      </c>
      <c r="G2687">
        <v>2006</v>
      </c>
      <c r="H2687">
        <v>6.5</v>
      </c>
    </row>
    <row r="2688" spans="1:8" x14ac:dyDescent="0.25">
      <c r="A2688">
        <v>81</v>
      </c>
      <c r="B2688">
        <v>63071133</v>
      </c>
      <c r="C2688" t="s">
        <v>2661</v>
      </c>
      <c r="D2688" t="s">
        <v>1</v>
      </c>
      <c r="E2688" t="s">
        <v>2</v>
      </c>
      <c r="F2688">
        <v>12000000</v>
      </c>
      <c r="G2688">
        <v>1996</v>
      </c>
      <c r="H2688">
        <v>6.8</v>
      </c>
    </row>
    <row r="2689" spans="1:8" x14ac:dyDescent="0.25">
      <c r="A2689">
        <v>154</v>
      </c>
      <c r="B2689">
        <v>39647595</v>
      </c>
      <c r="C2689" t="s">
        <v>2662</v>
      </c>
      <c r="D2689" t="s">
        <v>1</v>
      </c>
      <c r="E2689" t="s">
        <v>2</v>
      </c>
      <c r="F2689">
        <v>12000000</v>
      </c>
      <c r="G2689">
        <v>1997</v>
      </c>
      <c r="H2689">
        <v>7.5</v>
      </c>
    </row>
    <row r="2690" spans="1:8" x14ac:dyDescent="0.25">
      <c r="A2690">
        <v>102</v>
      </c>
      <c r="B2690">
        <v>38087366</v>
      </c>
      <c r="C2690" t="s">
        <v>2663</v>
      </c>
      <c r="D2690" t="s">
        <v>1</v>
      </c>
      <c r="E2690" t="s">
        <v>2</v>
      </c>
      <c r="F2690">
        <v>12000000</v>
      </c>
      <c r="G2690">
        <v>2008</v>
      </c>
      <c r="H2690">
        <v>6.6</v>
      </c>
    </row>
    <row r="2691" spans="1:8" x14ac:dyDescent="0.25">
      <c r="A2691">
        <v>89</v>
      </c>
      <c r="B2691">
        <v>64572496</v>
      </c>
      <c r="C2691" t="s">
        <v>2664</v>
      </c>
      <c r="D2691" t="s">
        <v>1</v>
      </c>
      <c r="E2691" t="s">
        <v>2</v>
      </c>
      <c r="F2691">
        <v>12000000</v>
      </c>
      <c r="G2691">
        <v>2012</v>
      </c>
      <c r="H2691">
        <v>7.1</v>
      </c>
    </row>
    <row r="2692" spans="1:8" x14ac:dyDescent="0.25">
      <c r="A2692">
        <v>132</v>
      </c>
      <c r="B2692">
        <v>30400000</v>
      </c>
      <c r="C2692" t="s">
        <v>2665</v>
      </c>
      <c r="D2692" t="s">
        <v>1</v>
      </c>
      <c r="E2692" t="s">
        <v>5</v>
      </c>
      <c r="F2692">
        <v>12000000</v>
      </c>
      <c r="G2692">
        <v>1983</v>
      </c>
      <c r="H2692">
        <v>6.6</v>
      </c>
    </row>
    <row r="2693" spans="1:8" x14ac:dyDescent="0.25">
      <c r="A2693">
        <v>93</v>
      </c>
      <c r="B2693">
        <v>37188667</v>
      </c>
      <c r="C2693" t="s">
        <v>2667</v>
      </c>
      <c r="D2693" t="s">
        <v>1</v>
      </c>
      <c r="E2693" t="s">
        <v>2</v>
      </c>
      <c r="F2693">
        <v>12000000</v>
      </c>
      <c r="G2693">
        <v>2002</v>
      </c>
      <c r="H2693">
        <v>3.3</v>
      </c>
    </row>
    <row r="2694" spans="1:8" x14ac:dyDescent="0.25">
      <c r="A2694">
        <v>93</v>
      </c>
      <c r="B2694">
        <v>54724272</v>
      </c>
      <c r="C2694" t="s">
        <v>2668</v>
      </c>
      <c r="D2694" t="s">
        <v>1</v>
      </c>
      <c r="E2694" t="s">
        <v>2</v>
      </c>
      <c r="F2694">
        <v>12000000</v>
      </c>
      <c r="G2694">
        <v>2012</v>
      </c>
      <c r="H2694">
        <v>6.7</v>
      </c>
    </row>
    <row r="2695" spans="1:8" x14ac:dyDescent="0.25">
      <c r="A2695">
        <v>96</v>
      </c>
      <c r="B2695">
        <v>31597131</v>
      </c>
      <c r="C2695" t="s">
        <v>2669</v>
      </c>
      <c r="D2695" t="s">
        <v>1</v>
      </c>
      <c r="E2695" t="s">
        <v>2</v>
      </c>
      <c r="F2695">
        <v>12000000</v>
      </c>
      <c r="G2695">
        <v>2002</v>
      </c>
      <c r="H2695">
        <v>6.8</v>
      </c>
    </row>
    <row r="2696" spans="1:8" x14ac:dyDescent="0.25">
      <c r="A2696">
        <v>89</v>
      </c>
      <c r="B2696">
        <v>31691811</v>
      </c>
      <c r="C2696" t="s">
        <v>2670</v>
      </c>
      <c r="D2696" t="s">
        <v>1</v>
      </c>
      <c r="E2696" t="s">
        <v>2</v>
      </c>
      <c r="F2696">
        <v>12000000</v>
      </c>
      <c r="G2696">
        <v>2008</v>
      </c>
      <c r="H2696">
        <v>6</v>
      </c>
    </row>
    <row r="2697" spans="1:8" x14ac:dyDescent="0.25">
      <c r="A2697">
        <v>92</v>
      </c>
      <c r="B2697">
        <v>31397498</v>
      </c>
      <c r="C2697" t="s">
        <v>2671</v>
      </c>
      <c r="D2697" t="s">
        <v>1</v>
      </c>
      <c r="E2697" t="s">
        <v>2</v>
      </c>
      <c r="F2697">
        <v>12000000</v>
      </c>
      <c r="G2697">
        <v>2008</v>
      </c>
      <c r="H2697">
        <v>5.4</v>
      </c>
    </row>
    <row r="2698" spans="1:8" x14ac:dyDescent="0.25">
      <c r="A2698">
        <v>97</v>
      </c>
      <c r="B2698">
        <v>31179516</v>
      </c>
      <c r="C2698" t="s">
        <v>2672</v>
      </c>
      <c r="D2698" t="s">
        <v>1</v>
      </c>
      <c r="E2698" t="s">
        <v>2</v>
      </c>
      <c r="F2698">
        <v>12000000</v>
      </c>
      <c r="G2698">
        <v>2004</v>
      </c>
      <c r="H2698">
        <v>4.3</v>
      </c>
    </row>
    <row r="2699" spans="1:8" x14ac:dyDescent="0.25">
      <c r="A2699">
        <v>93</v>
      </c>
      <c r="B2699">
        <v>31155435</v>
      </c>
      <c r="C2699" t="s">
        <v>2673</v>
      </c>
      <c r="D2699" t="s">
        <v>1</v>
      </c>
      <c r="E2699" t="s">
        <v>2</v>
      </c>
      <c r="F2699">
        <v>12000000</v>
      </c>
      <c r="G2699">
        <v>2001</v>
      </c>
      <c r="H2699">
        <v>6.2</v>
      </c>
    </row>
    <row r="2700" spans="1:8" x14ac:dyDescent="0.25">
      <c r="A2700">
        <v>89</v>
      </c>
      <c r="B2700">
        <v>27281507</v>
      </c>
      <c r="C2700" t="s">
        <v>2674</v>
      </c>
      <c r="D2700" t="s">
        <v>1</v>
      </c>
      <c r="E2700" t="s">
        <v>2</v>
      </c>
      <c r="F2700">
        <v>12000000</v>
      </c>
      <c r="G2700">
        <v>1992</v>
      </c>
      <c r="H2700">
        <v>7.7</v>
      </c>
    </row>
    <row r="2701" spans="1:8" x14ac:dyDescent="0.25">
      <c r="A2701">
        <v>123</v>
      </c>
      <c r="B2701">
        <v>25776062</v>
      </c>
      <c r="C2701" t="s">
        <v>2675</v>
      </c>
      <c r="D2701" t="s">
        <v>1</v>
      </c>
      <c r="E2701" t="s">
        <v>2</v>
      </c>
      <c r="F2701">
        <v>12000000</v>
      </c>
      <c r="G2701">
        <v>2002</v>
      </c>
      <c r="H2701">
        <v>7.4</v>
      </c>
    </row>
    <row r="2702" spans="1:8" x14ac:dyDescent="0.25">
      <c r="A2702">
        <v>93</v>
      </c>
      <c r="B2702">
        <v>25240988</v>
      </c>
      <c r="C2702" t="s">
        <v>2676</v>
      </c>
      <c r="D2702" t="s">
        <v>1</v>
      </c>
      <c r="E2702" t="s">
        <v>2</v>
      </c>
      <c r="F2702">
        <v>12000000</v>
      </c>
      <c r="G2702">
        <v>2012</v>
      </c>
      <c r="H2702">
        <v>5.9</v>
      </c>
    </row>
    <row r="2703" spans="1:8" x14ac:dyDescent="0.25">
      <c r="A2703">
        <v>133</v>
      </c>
      <c r="B2703">
        <v>124868837</v>
      </c>
      <c r="C2703" t="s">
        <v>2677</v>
      </c>
      <c r="D2703" t="s">
        <v>1</v>
      </c>
      <c r="E2703" t="s">
        <v>2</v>
      </c>
      <c r="F2703">
        <v>12000000</v>
      </c>
      <c r="G2703">
        <v>2014</v>
      </c>
      <c r="H2703">
        <v>7.8</v>
      </c>
    </row>
    <row r="2704" spans="1:8" x14ac:dyDescent="0.25">
      <c r="A2704">
        <v>121</v>
      </c>
      <c r="B2704">
        <v>22905674</v>
      </c>
      <c r="C2704" t="s">
        <v>2678</v>
      </c>
      <c r="D2704" t="s">
        <v>1</v>
      </c>
      <c r="E2704" t="s">
        <v>2</v>
      </c>
      <c r="F2704">
        <v>12000000</v>
      </c>
      <c r="G2704">
        <v>1998</v>
      </c>
      <c r="H2704">
        <v>7.4</v>
      </c>
    </row>
    <row r="2705" spans="1:8" x14ac:dyDescent="0.25">
      <c r="A2705">
        <v>102</v>
      </c>
      <c r="B2705">
        <v>25277561</v>
      </c>
      <c r="C2705" t="s">
        <v>2679</v>
      </c>
      <c r="D2705" t="s">
        <v>1</v>
      </c>
      <c r="E2705" t="s">
        <v>2</v>
      </c>
      <c r="F2705">
        <v>12000000</v>
      </c>
      <c r="G2705">
        <v>2014</v>
      </c>
      <c r="H2705">
        <v>6.5</v>
      </c>
    </row>
    <row r="2706" spans="1:8" x14ac:dyDescent="0.25">
      <c r="A2706">
        <v>99</v>
      </c>
      <c r="B2706">
        <v>21133087</v>
      </c>
      <c r="C2706" t="s">
        <v>2680</v>
      </c>
      <c r="D2706" t="s">
        <v>1</v>
      </c>
      <c r="E2706" t="s">
        <v>2</v>
      </c>
      <c r="F2706">
        <v>12000000</v>
      </c>
      <c r="G2706">
        <v>1999</v>
      </c>
      <c r="H2706">
        <v>7</v>
      </c>
    </row>
    <row r="2707" spans="1:8" x14ac:dyDescent="0.25">
      <c r="A2707">
        <v>98</v>
      </c>
      <c r="B2707">
        <v>37707719</v>
      </c>
      <c r="C2707" t="s">
        <v>2681</v>
      </c>
      <c r="D2707" t="s">
        <v>1</v>
      </c>
      <c r="E2707" t="s">
        <v>5</v>
      </c>
      <c r="F2707">
        <v>12000000</v>
      </c>
      <c r="G2707">
        <v>2013</v>
      </c>
      <c r="H2707">
        <v>7.6</v>
      </c>
    </row>
    <row r="2708" spans="1:8" x14ac:dyDescent="0.25">
      <c r="A2708">
        <v>104</v>
      </c>
      <c r="B2708">
        <v>18595716</v>
      </c>
      <c r="C2708" t="s">
        <v>2683</v>
      </c>
      <c r="D2708" t="s">
        <v>1</v>
      </c>
      <c r="E2708" t="s">
        <v>2</v>
      </c>
      <c r="F2708">
        <v>12000000</v>
      </c>
      <c r="G2708">
        <v>2006</v>
      </c>
      <c r="H2708">
        <v>5.3</v>
      </c>
    </row>
    <row r="2709" spans="1:8" x14ac:dyDescent="0.25">
      <c r="A2709">
        <v>109</v>
      </c>
      <c r="B2709">
        <v>31990064</v>
      </c>
      <c r="C2709" t="s">
        <v>2684</v>
      </c>
      <c r="D2709" t="s">
        <v>1</v>
      </c>
      <c r="E2709" t="s">
        <v>2</v>
      </c>
      <c r="F2709">
        <v>12000000</v>
      </c>
      <c r="G2709">
        <v>2015</v>
      </c>
      <c r="H2709">
        <v>6.4</v>
      </c>
    </row>
    <row r="2710" spans="1:8" x14ac:dyDescent="0.25">
      <c r="A2710">
        <v>115</v>
      </c>
      <c r="B2710">
        <v>17613460</v>
      </c>
      <c r="C2710" t="s">
        <v>2685</v>
      </c>
      <c r="D2710" t="s">
        <v>1</v>
      </c>
      <c r="E2710" t="s">
        <v>2</v>
      </c>
      <c r="F2710">
        <v>12000000</v>
      </c>
      <c r="G2710">
        <v>2013</v>
      </c>
      <c r="H2710">
        <v>7.8</v>
      </c>
    </row>
    <row r="2711" spans="1:8" x14ac:dyDescent="0.25">
      <c r="A2711">
        <v>91</v>
      </c>
      <c r="B2711">
        <v>17292381</v>
      </c>
      <c r="C2711" t="s">
        <v>2687</v>
      </c>
      <c r="D2711" t="s">
        <v>1</v>
      </c>
      <c r="E2711" t="s">
        <v>2</v>
      </c>
      <c r="F2711">
        <v>12000000</v>
      </c>
      <c r="G2711">
        <v>2001</v>
      </c>
      <c r="H2711">
        <v>5.3</v>
      </c>
    </row>
    <row r="2712" spans="1:8" x14ac:dyDescent="0.25">
      <c r="A2712">
        <v>94</v>
      </c>
      <c r="B2712">
        <v>16300302</v>
      </c>
      <c r="C2712" t="s">
        <v>2688</v>
      </c>
      <c r="D2712" t="s">
        <v>1</v>
      </c>
      <c r="E2712" t="s">
        <v>2</v>
      </c>
      <c r="F2712">
        <v>12000000</v>
      </c>
      <c r="G2712">
        <v>2011</v>
      </c>
      <c r="H2712">
        <v>6.3</v>
      </c>
    </row>
    <row r="2713" spans="1:8" x14ac:dyDescent="0.25">
      <c r="A2713">
        <v>93</v>
      </c>
      <c r="B2713">
        <v>27829874</v>
      </c>
      <c r="C2713" t="s">
        <v>2689</v>
      </c>
      <c r="D2713" t="s">
        <v>1</v>
      </c>
      <c r="E2713" t="s">
        <v>2</v>
      </c>
      <c r="F2713">
        <v>12000000</v>
      </c>
      <c r="G2713">
        <v>2006</v>
      </c>
      <c r="H2713">
        <v>7</v>
      </c>
    </row>
    <row r="2714" spans="1:8" x14ac:dyDescent="0.25">
      <c r="A2714">
        <v>100</v>
      </c>
      <c r="B2714">
        <v>12902790</v>
      </c>
      <c r="C2714" t="s">
        <v>2690</v>
      </c>
      <c r="D2714" t="s">
        <v>1</v>
      </c>
      <c r="E2714" t="s">
        <v>2</v>
      </c>
      <c r="F2714">
        <v>12000000</v>
      </c>
      <c r="G2714">
        <v>1998</v>
      </c>
      <c r="H2714">
        <v>6.6</v>
      </c>
    </row>
    <row r="2715" spans="1:8" x14ac:dyDescent="0.25">
      <c r="A2715">
        <v>93</v>
      </c>
      <c r="B2715">
        <v>10198766</v>
      </c>
      <c r="C2715" t="s">
        <v>2692</v>
      </c>
      <c r="D2715" t="s">
        <v>1</v>
      </c>
      <c r="E2715" t="s">
        <v>2</v>
      </c>
      <c r="F2715">
        <v>12000000</v>
      </c>
      <c r="G2715">
        <v>2002</v>
      </c>
      <c r="H2715">
        <v>5.4</v>
      </c>
    </row>
    <row r="2716" spans="1:8" x14ac:dyDescent="0.25">
      <c r="A2716">
        <v>123</v>
      </c>
      <c r="B2716">
        <v>15294553</v>
      </c>
      <c r="C2716" t="s">
        <v>2693</v>
      </c>
      <c r="D2716" t="s">
        <v>1</v>
      </c>
      <c r="E2716" t="s">
        <v>5</v>
      </c>
      <c r="F2716">
        <v>12000000</v>
      </c>
      <c r="G2716">
        <v>2013</v>
      </c>
      <c r="H2716">
        <v>7.8</v>
      </c>
    </row>
    <row r="2717" spans="1:8" x14ac:dyDescent="0.25">
      <c r="A2717">
        <v>107</v>
      </c>
      <c r="B2717">
        <v>7918283</v>
      </c>
      <c r="C2717" t="s">
        <v>2695</v>
      </c>
      <c r="D2717" t="s">
        <v>1</v>
      </c>
      <c r="E2717" t="s">
        <v>2</v>
      </c>
      <c r="F2717">
        <v>12000000</v>
      </c>
      <c r="G2717">
        <v>2012</v>
      </c>
      <c r="H2717">
        <v>6.6</v>
      </c>
    </row>
    <row r="2718" spans="1:8" x14ac:dyDescent="0.25">
      <c r="A2718">
        <v>106</v>
      </c>
      <c r="B2718">
        <v>22331028</v>
      </c>
      <c r="C2718" t="s">
        <v>2696</v>
      </c>
      <c r="D2718" t="s">
        <v>1</v>
      </c>
      <c r="E2718" t="s">
        <v>2</v>
      </c>
      <c r="F2718">
        <v>12000000</v>
      </c>
      <c r="G2718">
        <v>2015</v>
      </c>
      <c r="H2718">
        <v>6.4</v>
      </c>
    </row>
    <row r="2719" spans="1:8" x14ac:dyDescent="0.25">
      <c r="A2719">
        <v>109</v>
      </c>
      <c r="B2719">
        <v>8134217</v>
      </c>
      <c r="C2719" t="s">
        <v>2697</v>
      </c>
      <c r="D2719" t="s">
        <v>1</v>
      </c>
      <c r="E2719" t="s">
        <v>2</v>
      </c>
      <c r="F2719">
        <v>12000000</v>
      </c>
      <c r="G2719">
        <v>2008</v>
      </c>
      <c r="H2719">
        <v>7</v>
      </c>
    </row>
    <row r="2720" spans="1:8" x14ac:dyDescent="0.25">
      <c r="A2720">
        <v>86</v>
      </c>
      <c r="B2720">
        <v>5542025</v>
      </c>
      <c r="C2720" t="s">
        <v>2700</v>
      </c>
      <c r="D2720" t="s">
        <v>1</v>
      </c>
      <c r="E2720" t="s">
        <v>2</v>
      </c>
      <c r="F2720">
        <v>12000000</v>
      </c>
      <c r="G2720">
        <v>2006</v>
      </c>
      <c r="H2720">
        <v>6.3</v>
      </c>
    </row>
    <row r="2721" spans="1:8" x14ac:dyDescent="0.25">
      <c r="A2721">
        <v>113</v>
      </c>
      <c r="B2721">
        <v>5032496</v>
      </c>
      <c r="C2721" t="s">
        <v>2701</v>
      </c>
      <c r="D2721" t="s">
        <v>1</v>
      </c>
      <c r="E2721" t="s">
        <v>2</v>
      </c>
      <c r="F2721">
        <v>12000000</v>
      </c>
      <c r="G2721">
        <v>1998</v>
      </c>
      <c r="H2721">
        <v>6.3</v>
      </c>
    </row>
    <row r="2722" spans="1:8" x14ac:dyDescent="0.25">
      <c r="A2722">
        <v>122</v>
      </c>
      <c r="B2722">
        <v>6754898</v>
      </c>
      <c r="C2722" t="s">
        <v>2702</v>
      </c>
      <c r="D2722" t="s">
        <v>1</v>
      </c>
      <c r="E2722" t="s">
        <v>2</v>
      </c>
      <c r="F2722">
        <v>12000000</v>
      </c>
      <c r="G2722">
        <v>2006</v>
      </c>
      <c r="H2722">
        <v>6.2</v>
      </c>
    </row>
    <row r="2723" spans="1:8" x14ac:dyDescent="0.25">
      <c r="A2723">
        <v>90</v>
      </c>
      <c r="B2723">
        <v>4922166</v>
      </c>
      <c r="C2723" t="s">
        <v>2703</v>
      </c>
      <c r="D2723" t="s">
        <v>1</v>
      </c>
      <c r="E2723" t="s">
        <v>2</v>
      </c>
      <c r="F2723">
        <v>12000000</v>
      </c>
      <c r="G2723">
        <v>2003</v>
      </c>
      <c r="H2723">
        <v>2.1</v>
      </c>
    </row>
    <row r="2724" spans="1:8" x14ac:dyDescent="0.25">
      <c r="A2724">
        <v>108</v>
      </c>
      <c r="B2724">
        <v>4903000</v>
      </c>
      <c r="C2724" t="s">
        <v>2704</v>
      </c>
      <c r="D2724" t="s">
        <v>1</v>
      </c>
      <c r="E2724" t="s">
        <v>2</v>
      </c>
      <c r="F2724">
        <v>12000000</v>
      </c>
      <c r="G2724">
        <v>1996</v>
      </c>
      <c r="H2724">
        <v>5</v>
      </c>
    </row>
    <row r="2725" spans="1:8" x14ac:dyDescent="0.25">
      <c r="A2725">
        <v>113</v>
      </c>
      <c r="B2725">
        <v>4717455</v>
      </c>
      <c r="C2725" t="s">
        <v>2705</v>
      </c>
      <c r="D2725" t="s">
        <v>1</v>
      </c>
      <c r="E2725" t="s">
        <v>55</v>
      </c>
      <c r="F2725">
        <v>12000000</v>
      </c>
      <c r="G2725">
        <v>2003</v>
      </c>
      <c r="H2725">
        <v>5.3</v>
      </c>
    </row>
    <row r="2726" spans="1:8" x14ac:dyDescent="0.25">
      <c r="A2726">
        <v>110</v>
      </c>
      <c r="B2726">
        <v>3148482</v>
      </c>
      <c r="C2726" t="s">
        <v>2706</v>
      </c>
      <c r="D2726" t="s">
        <v>1</v>
      </c>
      <c r="E2726" t="s">
        <v>2</v>
      </c>
      <c r="F2726">
        <v>12000000</v>
      </c>
      <c r="G2726">
        <v>2008</v>
      </c>
      <c r="H2726">
        <v>7.1</v>
      </c>
    </row>
    <row r="2727" spans="1:8" x14ac:dyDescent="0.25">
      <c r="A2727">
        <v>109</v>
      </c>
      <c r="B2727">
        <v>2326407</v>
      </c>
      <c r="C2727" t="s">
        <v>2707</v>
      </c>
      <c r="D2727" t="s">
        <v>1</v>
      </c>
      <c r="E2727" t="s">
        <v>5</v>
      </c>
      <c r="F2727">
        <v>12000000</v>
      </c>
      <c r="G2727">
        <v>2001</v>
      </c>
      <c r="H2727">
        <v>7</v>
      </c>
    </row>
    <row r="2728" spans="1:8" x14ac:dyDescent="0.25">
      <c r="A2728">
        <v>101</v>
      </c>
      <c r="B2728">
        <v>2060953</v>
      </c>
      <c r="C2728" t="s">
        <v>2708</v>
      </c>
      <c r="D2728" t="s">
        <v>1</v>
      </c>
      <c r="E2728" t="s">
        <v>1002</v>
      </c>
      <c r="F2728">
        <v>12000000</v>
      </c>
      <c r="G2728">
        <v>1999</v>
      </c>
      <c r="H2728">
        <v>7.1</v>
      </c>
    </row>
    <row r="2729" spans="1:8" x14ac:dyDescent="0.25">
      <c r="A2729">
        <v>97</v>
      </c>
      <c r="B2729">
        <v>3950294</v>
      </c>
      <c r="C2729" t="s">
        <v>2709</v>
      </c>
      <c r="D2729" t="s">
        <v>1</v>
      </c>
      <c r="E2729" t="s">
        <v>2</v>
      </c>
      <c r="F2729">
        <v>12000000</v>
      </c>
      <c r="G2729">
        <v>2007</v>
      </c>
      <c r="H2729">
        <v>7</v>
      </c>
    </row>
    <row r="2730" spans="1:8" x14ac:dyDescent="0.25">
      <c r="A2730">
        <v>104</v>
      </c>
      <c r="B2730">
        <v>1779284</v>
      </c>
      <c r="C2730" t="s">
        <v>2711</v>
      </c>
      <c r="D2730" t="s">
        <v>1</v>
      </c>
      <c r="E2730" t="s">
        <v>2</v>
      </c>
      <c r="F2730">
        <v>12000000</v>
      </c>
      <c r="G2730">
        <v>2002</v>
      </c>
      <c r="H2730">
        <v>7.1</v>
      </c>
    </row>
    <row r="2731" spans="1:8" x14ac:dyDescent="0.25">
      <c r="A2731">
        <v>99</v>
      </c>
      <c r="B2731">
        <v>1702277</v>
      </c>
      <c r="C2731" t="s">
        <v>2712</v>
      </c>
      <c r="D2731" t="s">
        <v>1</v>
      </c>
      <c r="E2731" t="s">
        <v>5</v>
      </c>
      <c r="F2731">
        <v>12000000</v>
      </c>
      <c r="G2731">
        <v>2013</v>
      </c>
      <c r="H2731">
        <v>6.8</v>
      </c>
    </row>
    <row r="2732" spans="1:8" x14ac:dyDescent="0.25">
      <c r="A2732">
        <v>129</v>
      </c>
      <c r="B2732">
        <v>261481</v>
      </c>
      <c r="C2732" t="s">
        <v>2713</v>
      </c>
      <c r="D2732" t="s">
        <v>1341</v>
      </c>
      <c r="E2732" t="s">
        <v>675</v>
      </c>
      <c r="F2732">
        <v>12000000</v>
      </c>
      <c r="G2732">
        <v>2004</v>
      </c>
      <c r="H2732">
        <v>7.5</v>
      </c>
    </row>
    <row r="2733" spans="1:8" x14ac:dyDescent="0.25">
      <c r="A2733">
        <v>91</v>
      </c>
      <c r="B2733">
        <v>1506998</v>
      </c>
      <c r="C2733" t="s">
        <v>2714</v>
      </c>
      <c r="D2733" t="s">
        <v>1</v>
      </c>
      <c r="E2733" t="s">
        <v>2</v>
      </c>
      <c r="F2733">
        <v>12000000</v>
      </c>
      <c r="G2733">
        <v>2007</v>
      </c>
      <c r="H2733">
        <v>6.3</v>
      </c>
    </row>
    <row r="2734" spans="1:8" x14ac:dyDescent="0.25">
      <c r="A2734">
        <v>100</v>
      </c>
      <c r="B2734">
        <v>860002</v>
      </c>
      <c r="C2734" t="s">
        <v>2715</v>
      </c>
      <c r="D2734" t="s">
        <v>1</v>
      </c>
      <c r="E2734" t="s">
        <v>2</v>
      </c>
      <c r="F2734">
        <v>12000000</v>
      </c>
      <c r="G2734">
        <v>2005</v>
      </c>
      <c r="H2734">
        <v>7.3</v>
      </c>
    </row>
    <row r="2735" spans="1:8" x14ac:dyDescent="0.25">
      <c r="A2735">
        <v>111</v>
      </c>
      <c r="B2735">
        <v>548934</v>
      </c>
      <c r="C2735" t="s">
        <v>2716</v>
      </c>
      <c r="D2735" t="s">
        <v>1</v>
      </c>
      <c r="E2735" t="s">
        <v>1489</v>
      </c>
      <c r="F2735">
        <v>12000000</v>
      </c>
      <c r="G2735">
        <v>2009</v>
      </c>
      <c r="H2735">
        <v>6.8</v>
      </c>
    </row>
    <row r="2736" spans="1:8" x14ac:dyDescent="0.25">
      <c r="A2736">
        <v>86</v>
      </c>
      <c r="B2736">
        <v>333976</v>
      </c>
      <c r="C2736" t="s">
        <v>2718</v>
      </c>
      <c r="D2736" t="s">
        <v>1</v>
      </c>
      <c r="E2736" t="s">
        <v>2</v>
      </c>
      <c r="F2736">
        <v>12000000</v>
      </c>
      <c r="G2736">
        <v>2002</v>
      </c>
      <c r="H2736">
        <v>6.4</v>
      </c>
    </row>
    <row r="2737" spans="1:8" x14ac:dyDescent="0.25">
      <c r="A2737">
        <v>107</v>
      </c>
      <c r="B2737">
        <v>141853</v>
      </c>
      <c r="C2737" t="s">
        <v>2719</v>
      </c>
      <c r="D2737" t="s">
        <v>1</v>
      </c>
      <c r="E2737" t="s">
        <v>55</v>
      </c>
      <c r="F2737">
        <v>12000000</v>
      </c>
      <c r="G2737">
        <v>1997</v>
      </c>
      <c r="H2737">
        <v>6</v>
      </c>
    </row>
    <row r="2738" spans="1:8" x14ac:dyDescent="0.25">
      <c r="A2738">
        <v>120</v>
      </c>
      <c r="B2738">
        <v>214202</v>
      </c>
      <c r="C2738" t="s">
        <v>2721</v>
      </c>
      <c r="D2738" t="s">
        <v>1</v>
      </c>
      <c r="E2738" t="s">
        <v>119</v>
      </c>
      <c r="F2738">
        <v>12000000</v>
      </c>
      <c r="G2738">
        <v>2007</v>
      </c>
      <c r="H2738">
        <v>7.5</v>
      </c>
    </row>
    <row r="2739" spans="1:8" x14ac:dyDescent="0.25">
      <c r="A2739">
        <v>110</v>
      </c>
      <c r="B2739">
        <v>175370</v>
      </c>
      <c r="C2739" t="s">
        <v>2724</v>
      </c>
      <c r="D2739" t="s">
        <v>1</v>
      </c>
      <c r="E2739" t="s">
        <v>2</v>
      </c>
      <c r="F2739">
        <v>12000000</v>
      </c>
      <c r="G2739">
        <v>1999</v>
      </c>
      <c r="H2739">
        <v>4.5999999999999996</v>
      </c>
    </row>
    <row r="2740" spans="1:8" x14ac:dyDescent="0.25">
      <c r="A2740">
        <v>132</v>
      </c>
      <c r="B2740">
        <v>119922</v>
      </c>
      <c r="C2740" t="s">
        <v>2725</v>
      </c>
      <c r="D2740" t="s">
        <v>326</v>
      </c>
      <c r="E2740" t="s">
        <v>142</v>
      </c>
      <c r="F2740">
        <v>12000000</v>
      </c>
      <c r="G2740">
        <v>2009</v>
      </c>
      <c r="H2740">
        <v>7.7</v>
      </c>
    </row>
    <row r="2741" spans="1:8" x14ac:dyDescent="0.25">
      <c r="A2741">
        <v>111</v>
      </c>
      <c r="B2741">
        <v>14616</v>
      </c>
      <c r="C2741" t="s">
        <v>2728</v>
      </c>
      <c r="D2741" t="s">
        <v>1</v>
      </c>
      <c r="E2741" t="s">
        <v>2</v>
      </c>
      <c r="F2741">
        <v>12000000</v>
      </c>
      <c r="G2741">
        <v>2015</v>
      </c>
      <c r="H2741">
        <v>7.5</v>
      </c>
    </row>
    <row r="2742" spans="1:8" x14ac:dyDescent="0.25">
      <c r="A2742">
        <v>99</v>
      </c>
      <c r="B2742">
        <v>91443253</v>
      </c>
      <c r="C2742" t="s">
        <v>2729</v>
      </c>
      <c r="D2742" t="s">
        <v>1</v>
      </c>
      <c r="E2742" t="s">
        <v>2</v>
      </c>
      <c r="F2742">
        <v>12000000</v>
      </c>
      <c r="G2742">
        <v>2014</v>
      </c>
      <c r="H2742">
        <v>5.8</v>
      </c>
    </row>
    <row r="2743" spans="1:8" x14ac:dyDescent="0.25">
      <c r="A2743">
        <v>91</v>
      </c>
      <c r="B2743">
        <v>21370057</v>
      </c>
      <c r="C2743" t="s">
        <v>2750</v>
      </c>
      <c r="D2743" t="s">
        <v>1</v>
      </c>
      <c r="E2743" t="s">
        <v>2</v>
      </c>
      <c r="F2743">
        <v>12000000</v>
      </c>
      <c r="G2743">
        <v>1992</v>
      </c>
      <c r="H2743">
        <v>6</v>
      </c>
    </row>
    <row r="2744" spans="1:8" x14ac:dyDescent="0.25">
      <c r="A2744">
        <v>100</v>
      </c>
      <c r="B2744">
        <v>4884663</v>
      </c>
      <c r="C2744" t="s">
        <v>2751</v>
      </c>
      <c r="D2744" t="s">
        <v>1</v>
      </c>
      <c r="E2744" t="s">
        <v>2</v>
      </c>
      <c r="F2744">
        <v>12000000</v>
      </c>
      <c r="G2744">
        <v>1986</v>
      </c>
      <c r="H2744">
        <v>5.5</v>
      </c>
    </row>
    <row r="2745" spans="1:8" x14ac:dyDescent="0.25">
      <c r="A2745">
        <v>161</v>
      </c>
      <c r="B2745">
        <v>56715371</v>
      </c>
      <c r="C2745" t="s">
        <v>2777</v>
      </c>
      <c r="D2745" t="s">
        <v>1</v>
      </c>
      <c r="E2745" t="s">
        <v>5</v>
      </c>
      <c r="F2745">
        <v>12000000</v>
      </c>
      <c r="G2745">
        <v>1968</v>
      </c>
      <c r="H2745">
        <v>8.3000000000000007</v>
      </c>
    </row>
    <row r="2746" spans="1:8" x14ac:dyDescent="0.25">
      <c r="A2746">
        <v>92</v>
      </c>
      <c r="B2746">
        <v>38624000</v>
      </c>
      <c r="C2746" t="s">
        <v>2793</v>
      </c>
      <c r="D2746" t="s">
        <v>1</v>
      </c>
      <c r="E2746" t="s">
        <v>2</v>
      </c>
      <c r="F2746">
        <v>12000000</v>
      </c>
      <c r="G2746">
        <v>1996</v>
      </c>
      <c r="H2746">
        <v>7</v>
      </c>
    </row>
    <row r="2747" spans="1:8" x14ac:dyDescent="0.25">
      <c r="A2747">
        <v>103</v>
      </c>
      <c r="B2747">
        <v>28435406</v>
      </c>
      <c r="C2747" t="s">
        <v>2813</v>
      </c>
      <c r="D2747" t="s">
        <v>1</v>
      </c>
      <c r="E2747" t="s">
        <v>2</v>
      </c>
      <c r="F2747">
        <v>12000000</v>
      </c>
      <c r="G2747">
        <v>2006</v>
      </c>
      <c r="H2747">
        <v>5.5</v>
      </c>
    </row>
    <row r="2748" spans="1:8" x14ac:dyDescent="0.25">
      <c r="A2748">
        <v>128</v>
      </c>
      <c r="B2748">
        <v>4018695</v>
      </c>
      <c r="C2748" t="s">
        <v>2957</v>
      </c>
      <c r="D2748" t="s">
        <v>1012</v>
      </c>
      <c r="E2748" t="s">
        <v>1013</v>
      </c>
      <c r="F2748">
        <v>12000000</v>
      </c>
      <c r="G2748">
        <v>2010</v>
      </c>
      <c r="H2748">
        <v>8</v>
      </c>
    </row>
    <row r="2749" spans="1:8" x14ac:dyDescent="0.25">
      <c r="A2749">
        <v>95</v>
      </c>
      <c r="B2749">
        <v>65804</v>
      </c>
      <c r="C2749" t="s">
        <v>3169</v>
      </c>
      <c r="D2749" t="s">
        <v>1</v>
      </c>
      <c r="E2749" t="s">
        <v>2</v>
      </c>
      <c r="F2749">
        <v>12000000</v>
      </c>
      <c r="G2749">
        <v>2012</v>
      </c>
      <c r="H2749">
        <v>6.3</v>
      </c>
    </row>
    <row r="2750" spans="1:8" x14ac:dyDescent="0.25">
      <c r="A2750">
        <v>93</v>
      </c>
      <c r="B2750">
        <v>37188667</v>
      </c>
      <c r="C2750" t="s">
        <v>2667</v>
      </c>
      <c r="D2750" t="s">
        <v>1</v>
      </c>
      <c r="E2750" t="s">
        <v>2</v>
      </c>
      <c r="F2750">
        <v>12000000</v>
      </c>
      <c r="G2750">
        <v>2002</v>
      </c>
      <c r="H2750">
        <v>3.3</v>
      </c>
    </row>
    <row r="2751" spans="1:8" x14ac:dyDescent="0.25">
      <c r="A2751">
        <v>134</v>
      </c>
      <c r="B2751">
        <v>48856</v>
      </c>
      <c r="C2751" t="s">
        <v>2732</v>
      </c>
      <c r="D2751" t="s">
        <v>102</v>
      </c>
      <c r="E2751" t="s">
        <v>103</v>
      </c>
      <c r="F2751">
        <v>11900000</v>
      </c>
      <c r="G2751">
        <v>1993</v>
      </c>
      <c r="H2751">
        <v>7.5</v>
      </c>
    </row>
    <row r="2752" spans="1:8" x14ac:dyDescent="0.25">
      <c r="A2752">
        <v>134</v>
      </c>
      <c r="B2752">
        <v>22954968</v>
      </c>
      <c r="C2752" t="s">
        <v>2443</v>
      </c>
      <c r="D2752" t="s">
        <v>1</v>
      </c>
      <c r="E2752" t="s">
        <v>5</v>
      </c>
      <c r="F2752">
        <v>11500000</v>
      </c>
      <c r="G2752">
        <v>1993</v>
      </c>
      <c r="H2752">
        <v>7.9</v>
      </c>
    </row>
    <row r="2753" spans="1:8" x14ac:dyDescent="0.25">
      <c r="A2753">
        <v>103</v>
      </c>
      <c r="B2753">
        <v>57469179</v>
      </c>
      <c r="C2753" t="s">
        <v>2731</v>
      </c>
      <c r="D2753" t="s">
        <v>1</v>
      </c>
      <c r="E2753" t="s">
        <v>2</v>
      </c>
      <c r="F2753">
        <v>11500000</v>
      </c>
      <c r="G2753">
        <v>1989</v>
      </c>
      <c r="H2753">
        <v>6.6</v>
      </c>
    </row>
    <row r="2754" spans="1:8" x14ac:dyDescent="0.25">
      <c r="A2754">
        <v>109</v>
      </c>
      <c r="B2754">
        <v>35537564</v>
      </c>
      <c r="C2754" t="s">
        <v>2735</v>
      </c>
      <c r="D2754" t="s">
        <v>1</v>
      </c>
      <c r="E2754" t="s">
        <v>2</v>
      </c>
      <c r="F2754">
        <v>11500000</v>
      </c>
      <c r="G2754">
        <v>2016</v>
      </c>
      <c r="H2754">
        <v>6</v>
      </c>
    </row>
    <row r="2755" spans="1:8" x14ac:dyDescent="0.25">
      <c r="A2755">
        <v>100</v>
      </c>
      <c r="B2755">
        <v>3275585</v>
      </c>
      <c r="C2755" t="s">
        <v>2865</v>
      </c>
      <c r="D2755" t="s">
        <v>1</v>
      </c>
      <c r="E2755" t="s">
        <v>5</v>
      </c>
      <c r="F2755">
        <v>11500000</v>
      </c>
      <c r="G2755">
        <v>1993</v>
      </c>
      <c r="H2755">
        <v>6.6</v>
      </c>
    </row>
    <row r="2756" spans="1:8" x14ac:dyDescent="0.25">
      <c r="A2756">
        <v>86</v>
      </c>
      <c r="B2756">
        <v>13751</v>
      </c>
      <c r="C2756" t="s">
        <v>2943</v>
      </c>
      <c r="D2756" t="s">
        <v>1</v>
      </c>
      <c r="E2756" t="s">
        <v>55</v>
      </c>
      <c r="F2756">
        <v>11400000</v>
      </c>
      <c r="G2756">
        <v>2006</v>
      </c>
      <c r="H2756">
        <v>6.6</v>
      </c>
    </row>
    <row r="2757" spans="1:8" x14ac:dyDescent="0.25">
      <c r="A2757">
        <v>121</v>
      </c>
      <c r="B2757">
        <v>229311</v>
      </c>
      <c r="C2757" t="s">
        <v>2280</v>
      </c>
      <c r="D2757" t="s">
        <v>1</v>
      </c>
      <c r="E2757" t="s">
        <v>620</v>
      </c>
      <c r="F2757">
        <v>11350000</v>
      </c>
      <c r="G2757">
        <v>1999</v>
      </c>
      <c r="H2757">
        <v>6.2</v>
      </c>
    </row>
    <row r="2758" spans="1:8" x14ac:dyDescent="0.25">
      <c r="A2758">
        <v>92</v>
      </c>
      <c r="B2758">
        <v>34334256</v>
      </c>
      <c r="C2758" t="s">
        <v>2063</v>
      </c>
      <c r="D2758" t="s">
        <v>1</v>
      </c>
      <c r="E2758" t="s">
        <v>2</v>
      </c>
      <c r="F2758">
        <v>11000000</v>
      </c>
      <c r="G2758">
        <v>2013</v>
      </c>
      <c r="H2758">
        <v>4.8</v>
      </c>
    </row>
    <row r="2759" spans="1:8" x14ac:dyDescent="0.25">
      <c r="A2759">
        <v>102</v>
      </c>
      <c r="B2759">
        <v>167780960</v>
      </c>
      <c r="C2759" t="s">
        <v>2386</v>
      </c>
      <c r="D2759" t="s">
        <v>1</v>
      </c>
      <c r="E2759" t="s">
        <v>2</v>
      </c>
      <c r="F2759">
        <v>11000000</v>
      </c>
      <c r="G2759">
        <v>1987</v>
      </c>
      <c r="H2759">
        <v>5.9</v>
      </c>
    </row>
    <row r="2760" spans="1:8" x14ac:dyDescent="0.25">
      <c r="A2760">
        <v>85</v>
      </c>
      <c r="B2760">
        <v>12610731</v>
      </c>
      <c r="C2760" t="s">
        <v>2545</v>
      </c>
      <c r="D2760" t="s">
        <v>1</v>
      </c>
      <c r="E2760" t="s">
        <v>2</v>
      </c>
      <c r="F2760">
        <v>11000000</v>
      </c>
      <c r="G2760">
        <v>2001</v>
      </c>
      <c r="H2760">
        <v>4.4000000000000004</v>
      </c>
    </row>
    <row r="2761" spans="1:8" x14ac:dyDescent="0.25">
      <c r="A2761">
        <v>96</v>
      </c>
      <c r="B2761">
        <v>3074838</v>
      </c>
      <c r="C2761" t="s">
        <v>2616</v>
      </c>
      <c r="D2761" t="s">
        <v>1</v>
      </c>
      <c r="E2761" t="s">
        <v>2</v>
      </c>
      <c r="F2761">
        <v>11000000</v>
      </c>
      <c r="G2761">
        <v>2009</v>
      </c>
      <c r="H2761">
        <v>6.3</v>
      </c>
    </row>
    <row r="2762" spans="1:8" x14ac:dyDescent="0.25">
      <c r="A2762">
        <v>95</v>
      </c>
      <c r="B2762">
        <v>101736215</v>
      </c>
      <c r="C2762" t="s">
        <v>2650</v>
      </c>
      <c r="D2762" t="s">
        <v>1</v>
      </c>
      <c r="E2762" t="s">
        <v>2</v>
      </c>
      <c r="F2762">
        <v>11000000</v>
      </c>
      <c r="G2762">
        <v>1999</v>
      </c>
      <c r="H2762">
        <v>7</v>
      </c>
    </row>
    <row r="2763" spans="1:8" x14ac:dyDescent="0.25">
      <c r="A2763">
        <v>116</v>
      </c>
      <c r="B2763">
        <v>78900000</v>
      </c>
      <c r="C2763" t="s">
        <v>2655</v>
      </c>
      <c r="D2763" t="s">
        <v>1</v>
      </c>
      <c r="E2763" t="s">
        <v>2</v>
      </c>
      <c r="F2763">
        <v>11000000</v>
      </c>
      <c r="G2763">
        <v>1982</v>
      </c>
      <c r="H2763">
        <v>7.7</v>
      </c>
    </row>
    <row r="2764" spans="1:8" x14ac:dyDescent="0.25">
      <c r="A2764">
        <v>106</v>
      </c>
      <c r="B2764">
        <v>148170000</v>
      </c>
      <c r="C2764" t="s">
        <v>2733</v>
      </c>
      <c r="D2764" t="s">
        <v>1</v>
      </c>
      <c r="E2764" t="s">
        <v>2</v>
      </c>
      <c r="F2764">
        <v>11000000</v>
      </c>
      <c r="G2764">
        <v>1984</v>
      </c>
      <c r="H2764">
        <v>7.2</v>
      </c>
    </row>
    <row r="2765" spans="1:8" x14ac:dyDescent="0.25">
      <c r="A2765">
        <v>125</v>
      </c>
      <c r="B2765">
        <v>460935665</v>
      </c>
      <c r="C2765" t="s">
        <v>2734</v>
      </c>
      <c r="D2765" t="s">
        <v>1</v>
      </c>
      <c r="E2765" t="s">
        <v>2</v>
      </c>
      <c r="F2765">
        <v>11000000</v>
      </c>
      <c r="G2765">
        <v>1977</v>
      </c>
      <c r="H2765">
        <v>8.6999999999999993</v>
      </c>
    </row>
    <row r="2766" spans="1:8" x14ac:dyDescent="0.25">
      <c r="A2766">
        <v>200</v>
      </c>
      <c r="B2766">
        <v>111722000</v>
      </c>
      <c r="C2766" t="s">
        <v>2736</v>
      </c>
      <c r="D2766" t="s">
        <v>1</v>
      </c>
      <c r="E2766" t="s">
        <v>2</v>
      </c>
      <c r="F2766">
        <v>11000000</v>
      </c>
      <c r="G2766">
        <v>1965</v>
      </c>
      <c r="H2766">
        <v>8</v>
      </c>
    </row>
    <row r="2767" spans="1:8" x14ac:dyDescent="0.25">
      <c r="A2767">
        <v>112</v>
      </c>
      <c r="B2767">
        <v>90556401</v>
      </c>
      <c r="C2767" t="s">
        <v>2738</v>
      </c>
      <c r="D2767" t="s">
        <v>1</v>
      </c>
      <c r="E2767" t="s">
        <v>2</v>
      </c>
      <c r="F2767">
        <v>11000000</v>
      </c>
      <c r="G2767">
        <v>2008</v>
      </c>
      <c r="H2767">
        <v>4.5</v>
      </c>
    </row>
    <row r="2768" spans="1:8" x14ac:dyDescent="0.25">
      <c r="A2768">
        <v>120</v>
      </c>
      <c r="B2768">
        <v>52929168</v>
      </c>
      <c r="C2768" t="s">
        <v>2740</v>
      </c>
      <c r="D2768" t="s">
        <v>1</v>
      </c>
      <c r="E2768" t="s">
        <v>2</v>
      </c>
      <c r="F2768">
        <v>11000000</v>
      </c>
      <c r="G2768">
        <v>1992</v>
      </c>
      <c r="H2768">
        <v>7.5</v>
      </c>
    </row>
    <row r="2769" spans="1:8" x14ac:dyDescent="0.25">
      <c r="A2769">
        <v>107</v>
      </c>
      <c r="B2769">
        <v>50461335</v>
      </c>
      <c r="C2769" t="s">
        <v>2741</v>
      </c>
      <c r="D2769" t="s">
        <v>1</v>
      </c>
      <c r="E2769" t="s">
        <v>2</v>
      </c>
      <c r="F2769">
        <v>11000000</v>
      </c>
      <c r="G2769">
        <v>2014</v>
      </c>
      <c r="H2769">
        <v>6.8</v>
      </c>
    </row>
    <row r="2770" spans="1:8" x14ac:dyDescent="0.25">
      <c r="A2770">
        <v>107</v>
      </c>
      <c r="B2770">
        <v>49797148</v>
      </c>
      <c r="C2770" t="s">
        <v>2742</v>
      </c>
      <c r="D2770" t="s">
        <v>1</v>
      </c>
      <c r="E2770" t="s">
        <v>2</v>
      </c>
      <c r="F2770">
        <v>11000000</v>
      </c>
      <c r="G2770">
        <v>1989</v>
      </c>
      <c r="H2770">
        <v>7.2</v>
      </c>
    </row>
    <row r="2771" spans="1:8" x14ac:dyDescent="0.25">
      <c r="A2771">
        <v>101</v>
      </c>
      <c r="B2771">
        <v>41227069</v>
      </c>
      <c r="C2771" t="s">
        <v>2744</v>
      </c>
      <c r="D2771" t="s">
        <v>1</v>
      </c>
      <c r="E2771" t="s">
        <v>2</v>
      </c>
      <c r="F2771">
        <v>11000000</v>
      </c>
      <c r="G2771">
        <v>2002</v>
      </c>
      <c r="H2771">
        <v>7.4</v>
      </c>
    </row>
    <row r="2772" spans="1:8" x14ac:dyDescent="0.25">
      <c r="A2772">
        <v>122</v>
      </c>
      <c r="B2772">
        <v>39025000</v>
      </c>
      <c r="C2772" t="s">
        <v>2745</v>
      </c>
      <c r="D2772" t="s">
        <v>1</v>
      </c>
      <c r="E2772" t="s">
        <v>5</v>
      </c>
      <c r="F2772">
        <v>11000000</v>
      </c>
      <c r="G2772">
        <v>1995</v>
      </c>
      <c r="H2772">
        <v>7.6</v>
      </c>
    </row>
    <row r="2773" spans="1:8" x14ac:dyDescent="0.25">
      <c r="A2773">
        <v>92</v>
      </c>
      <c r="B2773">
        <v>27669413</v>
      </c>
      <c r="C2773" t="s">
        <v>2747</v>
      </c>
      <c r="D2773" t="s">
        <v>1</v>
      </c>
      <c r="E2773" t="s">
        <v>38</v>
      </c>
      <c r="F2773">
        <v>11000000</v>
      </c>
      <c r="G2773">
        <v>2009</v>
      </c>
      <c r="H2773">
        <v>6</v>
      </c>
    </row>
    <row r="2774" spans="1:8" x14ac:dyDescent="0.25">
      <c r="A2774">
        <v>110</v>
      </c>
      <c r="B2774">
        <v>37766350</v>
      </c>
      <c r="C2774" t="s">
        <v>2748</v>
      </c>
      <c r="D2774" t="s">
        <v>1</v>
      </c>
      <c r="E2774" t="s">
        <v>2</v>
      </c>
      <c r="F2774">
        <v>11000000</v>
      </c>
      <c r="G2774">
        <v>2008</v>
      </c>
      <c r="H2774">
        <v>7.3</v>
      </c>
    </row>
    <row r="2775" spans="1:8" x14ac:dyDescent="0.25">
      <c r="A2775">
        <v>86</v>
      </c>
      <c r="B2775">
        <v>23978402</v>
      </c>
      <c r="C2775" t="s">
        <v>2749</v>
      </c>
      <c r="D2775" t="s">
        <v>1</v>
      </c>
      <c r="E2775" t="s">
        <v>2</v>
      </c>
      <c r="F2775">
        <v>11000000</v>
      </c>
      <c r="G2775">
        <v>2001</v>
      </c>
      <c r="H2775">
        <v>4.5999999999999996</v>
      </c>
    </row>
    <row r="2776" spans="1:8" x14ac:dyDescent="0.25">
      <c r="A2776">
        <v>111</v>
      </c>
      <c r="B2776">
        <v>38317535</v>
      </c>
      <c r="C2776" t="s">
        <v>2752</v>
      </c>
      <c r="D2776" t="s">
        <v>1</v>
      </c>
      <c r="E2776" t="s">
        <v>5</v>
      </c>
      <c r="F2776">
        <v>11000000</v>
      </c>
      <c r="G2776">
        <v>2015</v>
      </c>
      <c r="H2776">
        <v>7.5</v>
      </c>
    </row>
    <row r="2777" spans="1:8" x14ac:dyDescent="0.25">
      <c r="A2777">
        <v>89</v>
      </c>
      <c r="B2777">
        <v>13903262</v>
      </c>
      <c r="C2777" t="s">
        <v>2753</v>
      </c>
      <c r="D2777" t="s">
        <v>1</v>
      </c>
      <c r="E2777" t="s">
        <v>2</v>
      </c>
      <c r="F2777">
        <v>11000000</v>
      </c>
      <c r="G2777">
        <v>2001</v>
      </c>
      <c r="H2777">
        <v>6.3</v>
      </c>
    </row>
    <row r="2778" spans="1:8" x14ac:dyDescent="0.25">
      <c r="A2778">
        <v>84</v>
      </c>
      <c r="B2778">
        <v>13592872</v>
      </c>
      <c r="C2778" t="s">
        <v>2754</v>
      </c>
      <c r="D2778" t="s">
        <v>1</v>
      </c>
      <c r="E2778" t="s">
        <v>2</v>
      </c>
      <c r="F2778">
        <v>11000000</v>
      </c>
      <c r="G2778">
        <v>2000</v>
      </c>
      <c r="H2778">
        <v>5.0999999999999996</v>
      </c>
    </row>
    <row r="2779" spans="1:8" x14ac:dyDescent="0.25">
      <c r="A2779">
        <v>98</v>
      </c>
      <c r="B2779">
        <v>18381787</v>
      </c>
      <c r="C2779" t="s">
        <v>2755</v>
      </c>
      <c r="D2779" t="s">
        <v>1</v>
      </c>
      <c r="E2779" t="s">
        <v>5</v>
      </c>
      <c r="F2779">
        <v>11000000</v>
      </c>
      <c r="G2779">
        <v>2012</v>
      </c>
      <c r="H2779">
        <v>6.8</v>
      </c>
    </row>
    <row r="2780" spans="1:8" x14ac:dyDescent="0.25">
      <c r="A2780">
        <v>95</v>
      </c>
      <c r="B2780">
        <v>13558739</v>
      </c>
      <c r="C2780" t="s">
        <v>2756</v>
      </c>
      <c r="D2780" t="s">
        <v>1</v>
      </c>
      <c r="E2780" t="s">
        <v>2</v>
      </c>
      <c r="F2780">
        <v>11000000</v>
      </c>
      <c r="G2780">
        <v>2001</v>
      </c>
      <c r="H2780">
        <v>5.3</v>
      </c>
    </row>
    <row r="2781" spans="1:8" x14ac:dyDescent="0.25">
      <c r="A2781">
        <v>100</v>
      </c>
      <c r="B2781">
        <v>13103828</v>
      </c>
      <c r="C2781" t="s">
        <v>2757</v>
      </c>
      <c r="D2781" t="s">
        <v>1</v>
      </c>
      <c r="E2781" t="s">
        <v>2</v>
      </c>
      <c r="F2781">
        <v>11000000</v>
      </c>
      <c r="G2781">
        <v>2001</v>
      </c>
      <c r="H2781">
        <v>7.3</v>
      </c>
    </row>
    <row r="2782" spans="1:8" x14ac:dyDescent="0.25">
      <c r="A2782">
        <v>109</v>
      </c>
      <c r="B2782">
        <v>33305037</v>
      </c>
      <c r="C2782" t="s">
        <v>2758</v>
      </c>
      <c r="D2782" t="s">
        <v>1</v>
      </c>
      <c r="E2782" t="s">
        <v>5</v>
      </c>
      <c r="F2782">
        <v>11000000</v>
      </c>
      <c r="G2782">
        <v>2015</v>
      </c>
      <c r="H2782">
        <v>7.3</v>
      </c>
    </row>
    <row r="2783" spans="1:8" x14ac:dyDescent="0.25">
      <c r="A2783">
        <v>118</v>
      </c>
      <c r="B2783">
        <v>10214647</v>
      </c>
      <c r="C2783" t="s">
        <v>2759</v>
      </c>
      <c r="D2783" t="s">
        <v>1</v>
      </c>
      <c r="E2783" t="s">
        <v>2</v>
      </c>
      <c r="F2783">
        <v>11000000</v>
      </c>
      <c r="G2783">
        <v>2004</v>
      </c>
      <c r="H2783">
        <v>7.1</v>
      </c>
    </row>
    <row r="2784" spans="1:8" x14ac:dyDescent="0.25">
      <c r="A2784">
        <v>86</v>
      </c>
      <c r="B2784">
        <v>4814244</v>
      </c>
      <c r="C2784" t="s">
        <v>2761</v>
      </c>
      <c r="D2784" t="s">
        <v>1</v>
      </c>
      <c r="E2784" t="s">
        <v>38</v>
      </c>
      <c r="F2784">
        <v>11000000</v>
      </c>
      <c r="G2784">
        <v>2002</v>
      </c>
      <c r="H2784">
        <v>5.3</v>
      </c>
    </row>
    <row r="2785" spans="1:8" x14ac:dyDescent="0.25">
      <c r="A2785">
        <v>118</v>
      </c>
      <c r="B2785">
        <v>9170214</v>
      </c>
      <c r="C2785" t="s">
        <v>2762</v>
      </c>
      <c r="D2785" t="s">
        <v>1</v>
      </c>
      <c r="E2785" t="s">
        <v>2</v>
      </c>
      <c r="F2785">
        <v>11000000</v>
      </c>
      <c r="G2785">
        <v>1993</v>
      </c>
      <c r="H2785">
        <v>7.8</v>
      </c>
    </row>
    <row r="2786" spans="1:8" x14ac:dyDescent="0.25">
      <c r="A2786">
        <v>125</v>
      </c>
      <c r="B2786">
        <v>3753806</v>
      </c>
      <c r="C2786" t="s">
        <v>2764</v>
      </c>
      <c r="D2786" t="s">
        <v>1</v>
      </c>
      <c r="E2786" t="s">
        <v>5</v>
      </c>
      <c r="F2786">
        <v>11000000</v>
      </c>
      <c r="G2786">
        <v>2004</v>
      </c>
      <c r="H2786">
        <v>7.7</v>
      </c>
    </row>
    <row r="2787" spans="1:8" x14ac:dyDescent="0.25">
      <c r="A2787">
        <v>94</v>
      </c>
      <c r="B2787">
        <v>3034181</v>
      </c>
      <c r="C2787" t="s">
        <v>2765</v>
      </c>
      <c r="D2787" t="s">
        <v>1</v>
      </c>
      <c r="E2787" t="s">
        <v>5</v>
      </c>
      <c r="F2787">
        <v>11000000</v>
      </c>
      <c r="G2787">
        <v>2002</v>
      </c>
      <c r="H2787">
        <v>5.4</v>
      </c>
    </row>
    <row r="2788" spans="1:8" x14ac:dyDescent="0.25">
      <c r="A2788">
        <v>113</v>
      </c>
      <c r="B2788">
        <v>2832826</v>
      </c>
      <c r="C2788" t="s">
        <v>2766</v>
      </c>
      <c r="D2788" t="s">
        <v>1</v>
      </c>
      <c r="E2788" t="s">
        <v>2</v>
      </c>
      <c r="F2788">
        <v>11000000</v>
      </c>
      <c r="G2788">
        <v>1995</v>
      </c>
      <c r="H2788">
        <v>6.2</v>
      </c>
    </row>
    <row r="2789" spans="1:8" x14ac:dyDescent="0.25">
      <c r="A2789">
        <v>104</v>
      </c>
      <c r="B2789">
        <v>13214255</v>
      </c>
      <c r="C2789" t="s">
        <v>2767</v>
      </c>
      <c r="D2789" t="s">
        <v>1</v>
      </c>
      <c r="E2789" t="s">
        <v>2</v>
      </c>
      <c r="F2789">
        <v>11000000</v>
      </c>
      <c r="G2789">
        <v>2013</v>
      </c>
      <c r="H2789">
        <v>7.4</v>
      </c>
    </row>
    <row r="2790" spans="1:8" x14ac:dyDescent="0.25">
      <c r="A2790">
        <v>102</v>
      </c>
      <c r="B2790">
        <v>2807854</v>
      </c>
      <c r="C2790" t="s">
        <v>2769</v>
      </c>
      <c r="D2790" t="s">
        <v>1</v>
      </c>
      <c r="E2790" t="s">
        <v>2</v>
      </c>
      <c r="F2790">
        <v>11000000</v>
      </c>
      <c r="G2790">
        <v>1991</v>
      </c>
      <c r="H2790">
        <v>5.0999999999999996</v>
      </c>
    </row>
    <row r="2791" spans="1:8" x14ac:dyDescent="0.25">
      <c r="A2791">
        <v>104</v>
      </c>
      <c r="B2791">
        <v>352786</v>
      </c>
      <c r="C2791" t="s">
        <v>2770</v>
      </c>
      <c r="D2791" t="s">
        <v>1</v>
      </c>
      <c r="E2791" t="s">
        <v>2</v>
      </c>
      <c r="F2791">
        <v>11000000</v>
      </c>
      <c r="G2791">
        <v>2006</v>
      </c>
      <c r="H2791">
        <v>6.8</v>
      </c>
    </row>
    <row r="2792" spans="1:8" x14ac:dyDescent="0.25">
      <c r="A2792">
        <v>96</v>
      </c>
      <c r="B2792">
        <v>16667084</v>
      </c>
      <c r="C2792" t="s">
        <v>2829</v>
      </c>
      <c r="D2792" t="s">
        <v>1</v>
      </c>
      <c r="E2792" t="s">
        <v>2</v>
      </c>
      <c r="F2792">
        <v>11000000</v>
      </c>
      <c r="G2792">
        <v>1990</v>
      </c>
      <c r="H2792">
        <v>7.1</v>
      </c>
    </row>
    <row r="2793" spans="1:8" x14ac:dyDescent="0.25">
      <c r="A2793">
        <v>98</v>
      </c>
      <c r="B2793">
        <v>1987762</v>
      </c>
      <c r="C2793" t="s">
        <v>2882</v>
      </c>
      <c r="D2793" t="s">
        <v>1</v>
      </c>
      <c r="E2793" t="s">
        <v>2</v>
      </c>
      <c r="F2793">
        <v>11000000</v>
      </c>
      <c r="G2793">
        <v>2011</v>
      </c>
      <c r="H2793">
        <v>6.7</v>
      </c>
    </row>
    <row r="2794" spans="1:8" x14ac:dyDescent="0.25">
      <c r="A2794">
        <v>116</v>
      </c>
      <c r="B2794">
        <v>78900000</v>
      </c>
      <c r="C2794" t="s">
        <v>2916</v>
      </c>
      <c r="D2794" t="s">
        <v>1</v>
      </c>
      <c r="E2794" t="s">
        <v>5</v>
      </c>
      <c r="F2794">
        <v>11000000</v>
      </c>
      <c r="G2794">
        <v>1979</v>
      </c>
      <c r="H2794">
        <v>8.5</v>
      </c>
    </row>
    <row r="2795" spans="1:8" x14ac:dyDescent="0.25">
      <c r="A2795">
        <v>96</v>
      </c>
      <c r="B2795">
        <v>32131483</v>
      </c>
      <c r="C2795" t="s">
        <v>3040</v>
      </c>
      <c r="D2795" t="s">
        <v>1</v>
      </c>
      <c r="E2795" t="s">
        <v>2</v>
      </c>
      <c r="F2795">
        <v>11000000</v>
      </c>
      <c r="G2795">
        <v>2003</v>
      </c>
      <c r="H2795">
        <v>4.9000000000000004</v>
      </c>
    </row>
    <row r="2796" spans="1:8" x14ac:dyDescent="0.25">
      <c r="A2796">
        <v>145</v>
      </c>
      <c r="B2796">
        <v>5669081</v>
      </c>
      <c r="C2796" t="s">
        <v>2780</v>
      </c>
      <c r="D2796" t="s">
        <v>475</v>
      </c>
      <c r="E2796" t="s">
        <v>496</v>
      </c>
      <c r="F2796">
        <v>10818775</v>
      </c>
      <c r="G2796">
        <v>2012</v>
      </c>
      <c r="H2796">
        <v>6.6</v>
      </c>
    </row>
    <row r="2797" spans="1:8" x14ac:dyDescent="0.25">
      <c r="A2797">
        <v>95</v>
      </c>
      <c r="B2797">
        <v>56729973</v>
      </c>
      <c r="C2797" t="s">
        <v>2771</v>
      </c>
      <c r="D2797" t="s">
        <v>1</v>
      </c>
      <c r="E2797" t="s">
        <v>2</v>
      </c>
      <c r="F2797">
        <v>10800000</v>
      </c>
      <c r="G2797">
        <v>2008</v>
      </c>
      <c r="H2797">
        <v>5.8</v>
      </c>
    </row>
    <row r="2798" spans="1:8" x14ac:dyDescent="0.25">
      <c r="A2798">
        <v>120</v>
      </c>
      <c r="B2798">
        <v>76600000</v>
      </c>
      <c r="C2798" t="s">
        <v>1380</v>
      </c>
      <c r="D2798" t="s">
        <v>1</v>
      </c>
      <c r="E2798" t="s">
        <v>2</v>
      </c>
      <c r="F2798">
        <v>10700000</v>
      </c>
      <c r="G2798">
        <v>1982</v>
      </c>
      <c r="H2798">
        <v>7.4</v>
      </c>
    </row>
    <row r="2799" spans="1:8" x14ac:dyDescent="0.25">
      <c r="A2799">
        <v>120</v>
      </c>
      <c r="B2799">
        <v>76600000</v>
      </c>
      <c r="C2799" t="s">
        <v>1380</v>
      </c>
      <c r="D2799" t="s">
        <v>1</v>
      </c>
      <c r="E2799" t="s">
        <v>2</v>
      </c>
      <c r="F2799">
        <v>10700000</v>
      </c>
      <c r="G2799">
        <v>1982</v>
      </c>
      <c r="H2799">
        <v>7.4</v>
      </c>
    </row>
    <row r="2800" spans="1:8" x14ac:dyDescent="0.25">
      <c r="A2800">
        <v>103</v>
      </c>
      <c r="B2800">
        <v>22160085</v>
      </c>
      <c r="C2800" t="s">
        <v>2776</v>
      </c>
      <c r="D2800" t="s">
        <v>1</v>
      </c>
      <c r="E2800" t="s">
        <v>2</v>
      </c>
      <c r="F2800">
        <v>10600000</v>
      </c>
      <c r="G2800">
        <v>2002</v>
      </c>
      <c r="H2800">
        <v>5.4</v>
      </c>
    </row>
    <row r="2801" spans="1:8" x14ac:dyDescent="0.25">
      <c r="A2801">
        <v>105</v>
      </c>
      <c r="B2801">
        <v>26589953</v>
      </c>
      <c r="C2801" t="s">
        <v>2643</v>
      </c>
      <c r="D2801" t="s">
        <v>1</v>
      </c>
      <c r="E2801" t="s">
        <v>2</v>
      </c>
      <c r="F2801">
        <v>10500000</v>
      </c>
      <c r="G2801">
        <v>2010</v>
      </c>
      <c r="H2801">
        <v>6.7</v>
      </c>
    </row>
    <row r="2802" spans="1:8" x14ac:dyDescent="0.25">
      <c r="A2802">
        <v>97</v>
      </c>
      <c r="B2802">
        <v>38201895</v>
      </c>
      <c r="C2802" t="s">
        <v>2746</v>
      </c>
      <c r="D2802" t="s">
        <v>1</v>
      </c>
      <c r="E2802" t="s">
        <v>2</v>
      </c>
      <c r="F2802">
        <v>10500000</v>
      </c>
      <c r="G2802">
        <v>1999</v>
      </c>
      <c r="H2802">
        <v>6.9</v>
      </c>
    </row>
    <row r="2803" spans="1:8" x14ac:dyDescent="0.25">
      <c r="A2803">
        <v>120</v>
      </c>
      <c r="B2803">
        <v>434949459</v>
      </c>
      <c r="C2803" t="s">
        <v>2778</v>
      </c>
      <c r="D2803" t="s">
        <v>1</v>
      </c>
      <c r="E2803" t="s">
        <v>2</v>
      </c>
      <c r="F2803">
        <v>10500000</v>
      </c>
      <c r="G2803">
        <v>1982</v>
      </c>
      <c r="H2803">
        <v>7.9</v>
      </c>
    </row>
    <row r="2804" spans="1:8" x14ac:dyDescent="0.25">
      <c r="A2804">
        <v>98</v>
      </c>
      <c r="B2804">
        <v>14114488</v>
      </c>
      <c r="C2804" t="s">
        <v>2911</v>
      </c>
      <c r="D2804" t="s">
        <v>1</v>
      </c>
      <c r="E2804" t="s">
        <v>2</v>
      </c>
      <c r="F2804">
        <v>10500000</v>
      </c>
      <c r="G2804">
        <v>1988</v>
      </c>
      <c r="H2804">
        <v>4.5</v>
      </c>
    </row>
    <row r="2805" spans="1:8" x14ac:dyDescent="0.25">
      <c r="A2805">
        <v>110</v>
      </c>
      <c r="B2805">
        <v>10200000</v>
      </c>
      <c r="C2805" t="s">
        <v>322</v>
      </c>
      <c r="D2805" t="s">
        <v>1</v>
      </c>
      <c r="E2805" t="s">
        <v>2</v>
      </c>
      <c r="F2805">
        <v>10000000</v>
      </c>
      <c r="G2805">
        <v>1997</v>
      </c>
      <c r="H2805">
        <v>7.3</v>
      </c>
    </row>
    <row r="2806" spans="1:8" x14ac:dyDescent="0.25">
      <c r="A2806">
        <v>109</v>
      </c>
      <c r="B2806">
        <v>47536959</v>
      </c>
      <c r="C2806" t="s">
        <v>1299</v>
      </c>
      <c r="D2806" t="s">
        <v>1</v>
      </c>
      <c r="E2806" t="s">
        <v>2</v>
      </c>
      <c r="F2806">
        <v>10000000</v>
      </c>
      <c r="G2806">
        <v>2009</v>
      </c>
      <c r="H2806">
        <v>7.3</v>
      </c>
    </row>
    <row r="2807" spans="1:8" x14ac:dyDescent="0.25">
      <c r="A2807">
        <v>118</v>
      </c>
      <c r="B2807">
        <v>4280577</v>
      </c>
      <c r="C2807" t="s">
        <v>1462</v>
      </c>
      <c r="D2807" t="s">
        <v>1</v>
      </c>
      <c r="E2807" t="s">
        <v>2</v>
      </c>
      <c r="F2807">
        <v>10000000</v>
      </c>
      <c r="G2807">
        <v>2005</v>
      </c>
      <c r="H2807">
        <v>6.8</v>
      </c>
    </row>
    <row r="2808" spans="1:8" x14ac:dyDescent="0.25">
      <c r="A2808">
        <v>154</v>
      </c>
      <c r="B2808">
        <v>6201757</v>
      </c>
      <c r="C2808" t="s">
        <v>2151</v>
      </c>
      <c r="D2808" t="s">
        <v>1</v>
      </c>
      <c r="E2808" t="s">
        <v>5</v>
      </c>
      <c r="F2808">
        <v>10000000</v>
      </c>
      <c r="G2808">
        <v>1999</v>
      </c>
      <c r="H2808">
        <v>7.4</v>
      </c>
    </row>
    <row r="2809" spans="1:8" x14ac:dyDescent="0.25">
      <c r="A2809">
        <v>122</v>
      </c>
      <c r="B2809">
        <v>531009</v>
      </c>
      <c r="C2809" t="s">
        <v>2174</v>
      </c>
      <c r="D2809" t="s">
        <v>1</v>
      </c>
      <c r="E2809" t="s">
        <v>2</v>
      </c>
      <c r="F2809">
        <v>10000000</v>
      </c>
      <c r="G2809">
        <v>2015</v>
      </c>
      <c r="H2809">
        <v>5.3</v>
      </c>
    </row>
    <row r="2810" spans="1:8" x14ac:dyDescent="0.25">
      <c r="A2810">
        <v>109</v>
      </c>
      <c r="B2810">
        <v>69800000</v>
      </c>
      <c r="C2810" t="s">
        <v>2398</v>
      </c>
      <c r="D2810" t="s">
        <v>1</v>
      </c>
      <c r="E2810" t="s">
        <v>2</v>
      </c>
      <c r="F2810">
        <v>10000000</v>
      </c>
      <c r="G2810">
        <v>1980</v>
      </c>
      <c r="H2810">
        <v>6.1</v>
      </c>
    </row>
    <row r="2811" spans="1:8" x14ac:dyDescent="0.25">
      <c r="A2811">
        <v>120</v>
      </c>
      <c r="B2811">
        <v>44886089</v>
      </c>
      <c r="C2811" t="s">
        <v>2415</v>
      </c>
      <c r="D2811" t="s">
        <v>1</v>
      </c>
      <c r="E2811" t="s">
        <v>2</v>
      </c>
      <c r="F2811">
        <v>10000000</v>
      </c>
      <c r="G2811">
        <v>1997</v>
      </c>
      <c r="H2811">
        <v>6.9</v>
      </c>
    </row>
    <row r="2812" spans="1:8" x14ac:dyDescent="0.25">
      <c r="A2812">
        <v>111</v>
      </c>
      <c r="B2812">
        <v>7691700</v>
      </c>
      <c r="C2812" t="s">
        <v>2517</v>
      </c>
      <c r="D2812" t="s">
        <v>243</v>
      </c>
      <c r="E2812" t="s">
        <v>244</v>
      </c>
      <c r="F2812">
        <v>10000000</v>
      </c>
      <c r="G2812">
        <v>2010</v>
      </c>
      <c r="H2812">
        <v>7.5</v>
      </c>
    </row>
    <row r="2813" spans="1:8" x14ac:dyDescent="0.25">
      <c r="A2813">
        <v>125</v>
      </c>
      <c r="B2813">
        <v>2086345</v>
      </c>
      <c r="C2813" t="s">
        <v>2570</v>
      </c>
      <c r="D2813" t="s">
        <v>475</v>
      </c>
      <c r="E2813" t="s">
        <v>620</v>
      </c>
      <c r="F2813">
        <v>10000000</v>
      </c>
      <c r="G2813">
        <v>2004</v>
      </c>
      <c r="H2813">
        <v>8.1</v>
      </c>
    </row>
    <row r="2814" spans="1:8" x14ac:dyDescent="0.25">
      <c r="A2814">
        <v>81</v>
      </c>
      <c r="B2814">
        <v>6982680</v>
      </c>
      <c r="C2814" t="s">
        <v>2698</v>
      </c>
      <c r="D2814" t="s">
        <v>1</v>
      </c>
      <c r="E2814" t="s">
        <v>2</v>
      </c>
      <c r="F2814">
        <v>10000000</v>
      </c>
      <c r="G2814">
        <v>2000</v>
      </c>
      <c r="H2814">
        <v>5.7</v>
      </c>
    </row>
    <row r="2815" spans="1:8" x14ac:dyDescent="0.25">
      <c r="A2815">
        <v>114</v>
      </c>
      <c r="B2815">
        <v>447750</v>
      </c>
      <c r="C2815" t="s">
        <v>2717</v>
      </c>
      <c r="D2815" t="s">
        <v>1</v>
      </c>
      <c r="E2815" t="s">
        <v>2</v>
      </c>
      <c r="F2815">
        <v>10000000</v>
      </c>
      <c r="G2815">
        <v>2000</v>
      </c>
      <c r="H2815">
        <v>7.2</v>
      </c>
    </row>
    <row r="2816" spans="1:8" x14ac:dyDescent="0.25">
      <c r="A2816">
        <v>97</v>
      </c>
      <c r="B2816">
        <v>11043445</v>
      </c>
      <c r="C2816" t="s">
        <v>2779</v>
      </c>
      <c r="D2816" t="s">
        <v>1</v>
      </c>
      <c r="E2816" t="s">
        <v>2</v>
      </c>
      <c r="F2816">
        <v>10000000</v>
      </c>
      <c r="G2816">
        <v>2007</v>
      </c>
      <c r="H2816">
        <v>6.5</v>
      </c>
    </row>
    <row r="2817" spans="1:8" x14ac:dyDescent="0.25">
      <c r="A2817">
        <v>126</v>
      </c>
      <c r="B2817">
        <v>138339411</v>
      </c>
      <c r="C2817" t="s">
        <v>2781</v>
      </c>
      <c r="D2817" t="s">
        <v>1</v>
      </c>
      <c r="E2817" t="s">
        <v>2</v>
      </c>
      <c r="F2817">
        <v>10000000</v>
      </c>
      <c r="G2817">
        <v>1997</v>
      </c>
      <c r="H2817">
        <v>8.3000000000000007</v>
      </c>
    </row>
    <row r="2818" spans="1:8" x14ac:dyDescent="0.25">
      <c r="A2818">
        <v>121</v>
      </c>
      <c r="B2818">
        <v>80150343</v>
      </c>
      <c r="C2818" t="s">
        <v>2782</v>
      </c>
      <c r="D2818" t="s">
        <v>1</v>
      </c>
      <c r="E2818" t="s">
        <v>2</v>
      </c>
      <c r="F2818">
        <v>10000000</v>
      </c>
      <c r="G2818">
        <v>2006</v>
      </c>
      <c r="H2818">
        <v>6.2</v>
      </c>
    </row>
    <row r="2819" spans="1:8" x14ac:dyDescent="0.25">
      <c r="A2819">
        <v>117</v>
      </c>
      <c r="B2819">
        <v>85300000</v>
      </c>
      <c r="C2819" t="s">
        <v>2783</v>
      </c>
      <c r="D2819" t="s">
        <v>1</v>
      </c>
      <c r="E2819" t="s">
        <v>2</v>
      </c>
      <c r="F2819">
        <v>10000000</v>
      </c>
      <c r="G2819">
        <v>1981</v>
      </c>
      <c r="H2819">
        <v>6.9</v>
      </c>
    </row>
    <row r="2820" spans="1:8" x14ac:dyDescent="0.25">
      <c r="A2820">
        <v>98</v>
      </c>
      <c r="B2820">
        <v>68353550</v>
      </c>
      <c r="C2820" t="s">
        <v>2784</v>
      </c>
      <c r="D2820" t="s">
        <v>1</v>
      </c>
      <c r="E2820" t="s">
        <v>2</v>
      </c>
      <c r="F2820">
        <v>10000000</v>
      </c>
      <c r="G2820">
        <v>2000</v>
      </c>
      <c r="H2820">
        <v>5.9</v>
      </c>
    </row>
    <row r="2821" spans="1:8" x14ac:dyDescent="0.25">
      <c r="A2821">
        <v>109</v>
      </c>
      <c r="B2821">
        <v>78845130</v>
      </c>
      <c r="C2821" t="s">
        <v>2785</v>
      </c>
      <c r="D2821" t="s">
        <v>1</v>
      </c>
      <c r="E2821" t="s">
        <v>244</v>
      </c>
      <c r="F2821">
        <v>10000000</v>
      </c>
      <c r="G2821">
        <v>2016</v>
      </c>
      <c r="H2821">
        <v>6.1</v>
      </c>
    </row>
    <row r="2822" spans="1:8" x14ac:dyDescent="0.25">
      <c r="A2822">
        <v>95</v>
      </c>
      <c r="B2822">
        <v>63319509</v>
      </c>
      <c r="C2822" t="s">
        <v>2786</v>
      </c>
      <c r="D2822" t="s">
        <v>1</v>
      </c>
      <c r="E2822" t="s">
        <v>2</v>
      </c>
      <c r="F2822">
        <v>10000000</v>
      </c>
      <c r="G2822">
        <v>1999</v>
      </c>
      <c r="H2822">
        <v>5.8</v>
      </c>
    </row>
    <row r="2823" spans="1:8" x14ac:dyDescent="0.25">
      <c r="A2823">
        <v>109</v>
      </c>
      <c r="B2823">
        <v>47536959</v>
      </c>
      <c r="C2823" t="s">
        <v>1299</v>
      </c>
      <c r="D2823" t="s">
        <v>1</v>
      </c>
      <c r="E2823" t="s">
        <v>2</v>
      </c>
      <c r="F2823">
        <v>10000000</v>
      </c>
      <c r="G2823">
        <v>2009</v>
      </c>
      <c r="H2823">
        <v>7.3</v>
      </c>
    </row>
    <row r="2824" spans="1:8" x14ac:dyDescent="0.25">
      <c r="A2824">
        <v>96</v>
      </c>
      <c r="B2824">
        <v>63270259</v>
      </c>
      <c r="C2824" t="s">
        <v>2787</v>
      </c>
      <c r="D2824" t="s">
        <v>1</v>
      </c>
      <c r="E2824" t="s">
        <v>2</v>
      </c>
      <c r="F2824">
        <v>10000000</v>
      </c>
      <c r="G2824">
        <v>2007</v>
      </c>
      <c r="H2824">
        <v>5.9</v>
      </c>
    </row>
    <row r="2825" spans="1:8" x14ac:dyDescent="0.25">
      <c r="A2825">
        <v>101</v>
      </c>
      <c r="B2825">
        <v>55865715</v>
      </c>
      <c r="C2825" t="s">
        <v>2788</v>
      </c>
      <c r="D2825" t="s">
        <v>1</v>
      </c>
      <c r="E2825" t="s">
        <v>5</v>
      </c>
      <c r="F2825">
        <v>10000000</v>
      </c>
      <c r="G2825">
        <v>2005</v>
      </c>
      <c r="H2825">
        <v>5.5</v>
      </c>
    </row>
    <row r="2826" spans="1:8" x14ac:dyDescent="0.25">
      <c r="A2826">
        <v>100</v>
      </c>
      <c r="B2826">
        <v>50752337</v>
      </c>
      <c r="C2826" t="s">
        <v>2791</v>
      </c>
      <c r="D2826" t="s">
        <v>1</v>
      </c>
      <c r="E2826" t="s">
        <v>2</v>
      </c>
      <c r="F2826">
        <v>10000000</v>
      </c>
      <c r="G2826">
        <v>1992</v>
      </c>
      <c r="H2826">
        <v>6.4</v>
      </c>
    </row>
    <row r="2827" spans="1:8" x14ac:dyDescent="0.25">
      <c r="A2827">
        <v>98</v>
      </c>
      <c r="B2827">
        <v>110175871</v>
      </c>
      <c r="C2827" t="s">
        <v>2792</v>
      </c>
      <c r="D2827" t="s">
        <v>1</v>
      </c>
      <c r="E2827" t="s">
        <v>2</v>
      </c>
      <c r="F2827">
        <v>10000000</v>
      </c>
      <c r="G2827">
        <v>2004</v>
      </c>
      <c r="H2827">
        <v>5.9</v>
      </c>
    </row>
    <row r="2828" spans="1:8" x14ac:dyDescent="0.25">
      <c r="A2828">
        <v>90</v>
      </c>
      <c r="B2828">
        <v>37470017</v>
      </c>
      <c r="C2828" t="s">
        <v>2794</v>
      </c>
      <c r="D2828" t="s">
        <v>1</v>
      </c>
      <c r="E2828" t="s">
        <v>119</v>
      </c>
      <c r="F2828">
        <v>10000000</v>
      </c>
      <c r="G2828">
        <v>2001</v>
      </c>
      <c r="H2828">
        <v>6.1</v>
      </c>
    </row>
    <row r="2829" spans="1:8" x14ac:dyDescent="0.25">
      <c r="A2829">
        <v>90</v>
      </c>
      <c r="B2829">
        <v>40485039</v>
      </c>
      <c r="C2829" t="s">
        <v>2795</v>
      </c>
      <c r="D2829" t="s">
        <v>1</v>
      </c>
      <c r="E2829" t="s">
        <v>2</v>
      </c>
      <c r="F2829">
        <v>10000000</v>
      </c>
      <c r="G2829">
        <v>1989</v>
      </c>
      <c r="H2829">
        <v>6.9</v>
      </c>
    </row>
    <row r="2830" spans="1:8" x14ac:dyDescent="0.25">
      <c r="A2830">
        <v>153</v>
      </c>
      <c r="B2830">
        <v>16800000</v>
      </c>
      <c r="C2830" t="s">
        <v>2796</v>
      </c>
      <c r="D2830" t="s">
        <v>1</v>
      </c>
      <c r="E2830" t="s">
        <v>5</v>
      </c>
      <c r="F2830">
        <v>10000000</v>
      </c>
      <c r="G2830">
        <v>1968</v>
      </c>
      <c r="H2830">
        <v>7.5</v>
      </c>
    </row>
    <row r="2831" spans="1:8" x14ac:dyDescent="0.25">
      <c r="A2831">
        <v>124</v>
      </c>
      <c r="B2831">
        <v>46377022</v>
      </c>
      <c r="C2831" t="s">
        <v>2797</v>
      </c>
      <c r="D2831" t="s">
        <v>1</v>
      </c>
      <c r="E2831" t="s">
        <v>5</v>
      </c>
      <c r="F2831">
        <v>10000000</v>
      </c>
      <c r="G2831">
        <v>2011</v>
      </c>
      <c r="H2831">
        <v>7.3</v>
      </c>
    </row>
    <row r="2832" spans="1:8" x14ac:dyDescent="0.25">
      <c r="A2832">
        <v>97</v>
      </c>
      <c r="B2832">
        <v>35794166</v>
      </c>
      <c r="C2832" t="s">
        <v>2800</v>
      </c>
      <c r="D2832" t="s">
        <v>1</v>
      </c>
      <c r="E2832" t="s">
        <v>2</v>
      </c>
      <c r="F2832">
        <v>10000000</v>
      </c>
      <c r="G2832">
        <v>2016</v>
      </c>
      <c r="H2832">
        <v>6</v>
      </c>
    </row>
    <row r="2833" spans="1:8" x14ac:dyDescent="0.25">
      <c r="A2833">
        <v>80</v>
      </c>
      <c r="B2833">
        <v>33583175</v>
      </c>
      <c r="C2833" t="s">
        <v>2801</v>
      </c>
      <c r="D2833" t="s">
        <v>1</v>
      </c>
      <c r="E2833" t="s">
        <v>2</v>
      </c>
      <c r="F2833">
        <v>10000000</v>
      </c>
      <c r="G2833">
        <v>2010</v>
      </c>
      <c r="H2833">
        <v>6.3</v>
      </c>
    </row>
    <row r="2834" spans="1:8" x14ac:dyDescent="0.25">
      <c r="A2834">
        <v>97</v>
      </c>
      <c r="B2834">
        <v>52200504</v>
      </c>
      <c r="C2834" t="s">
        <v>2803</v>
      </c>
      <c r="D2834" t="s">
        <v>1</v>
      </c>
      <c r="E2834" t="s">
        <v>38</v>
      </c>
      <c r="F2834">
        <v>10000000</v>
      </c>
      <c r="G2834">
        <v>2015</v>
      </c>
      <c r="H2834">
        <v>6.1</v>
      </c>
    </row>
    <row r="2835" spans="1:8" x14ac:dyDescent="0.25">
      <c r="A2835">
        <v>109</v>
      </c>
      <c r="B2835">
        <v>33000000</v>
      </c>
      <c r="C2835" t="s">
        <v>2804</v>
      </c>
      <c r="D2835" t="s">
        <v>1</v>
      </c>
      <c r="E2835" t="s">
        <v>2</v>
      </c>
      <c r="F2835">
        <v>10000000</v>
      </c>
      <c r="G2835">
        <v>1985</v>
      </c>
      <c r="H2835">
        <v>6.9</v>
      </c>
    </row>
    <row r="2836" spans="1:8" x14ac:dyDescent="0.25">
      <c r="A2836">
        <v>140</v>
      </c>
      <c r="B2836">
        <v>32101000</v>
      </c>
      <c r="C2836" t="s">
        <v>2805</v>
      </c>
      <c r="D2836" t="s">
        <v>1</v>
      </c>
      <c r="E2836" t="s">
        <v>5</v>
      </c>
      <c r="F2836">
        <v>10000000</v>
      </c>
      <c r="G2836">
        <v>1992</v>
      </c>
      <c r="H2836">
        <v>5.4</v>
      </c>
    </row>
    <row r="2837" spans="1:8" x14ac:dyDescent="0.25">
      <c r="A2837">
        <v>130</v>
      </c>
      <c r="B2837">
        <v>30651422</v>
      </c>
      <c r="C2837" t="s">
        <v>2807</v>
      </c>
      <c r="D2837" t="s">
        <v>1</v>
      </c>
      <c r="E2837" t="s">
        <v>2</v>
      </c>
      <c r="F2837">
        <v>10000000</v>
      </c>
      <c r="G2837">
        <v>1999</v>
      </c>
      <c r="H2837">
        <v>7.4</v>
      </c>
    </row>
    <row r="2838" spans="1:8" x14ac:dyDescent="0.25">
      <c r="A2838">
        <v>98</v>
      </c>
      <c r="B2838">
        <v>30306281</v>
      </c>
      <c r="C2838" t="s">
        <v>2808</v>
      </c>
      <c r="D2838" t="s">
        <v>1</v>
      </c>
      <c r="E2838" t="s">
        <v>2</v>
      </c>
      <c r="F2838">
        <v>10000000</v>
      </c>
      <c r="G2838">
        <v>2002</v>
      </c>
      <c r="H2838">
        <v>5.6</v>
      </c>
    </row>
    <row r="2839" spans="1:8" x14ac:dyDescent="0.25">
      <c r="A2839">
        <v>101</v>
      </c>
      <c r="B2839">
        <v>29500000</v>
      </c>
      <c r="C2839" t="s">
        <v>2809</v>
      </c>
      <c r="D2839" t="s">
        <v>1</v>
      </c>
      <c r="E2839" t="s">
        <v>2</v>
      </c>
      <c r="F2839">
        <v>10000000</v>
      </c>
      <c r="G2839">
        <v>1983</v>
      </c>
      <c r="H2839">
        <v>6.5</v>
      </c>
    </row>
    <row r="2840" spans="1:8" x14ac:dyDescent="0.25">
      <c r="A2840">
        <v>100</v>
      </c>
      <c r="B2840">
        <v>29392418</v>
      </c>
      <c r="C2840" t="s">
        <v>2811</v>
      </c>
      <c r="D2840" t="s">
        <v>1</v>
      </c>
      <c r="E2840" t="s">
        <v>2</v>
      </c>
      <c r="F2840">
        <v>10000000</v>
      </c>
      <c r="G2840">
        <v>1994</v>
      </c>
      <c r="H2840">
        <v>5.8</v>
      </c>
    </row>
    <row r="2841" spans="1:8" x14ac:dyDescent="0.25">
      <c r="A2841">
        <v>100</v>
      </c>
      <c r="B2841">
        <v>25339117</v>
      </c>
      <c r="C2841" t="s">
        <v>2814</v>
      </c>
      <c r="D2841" t="s">
        <v>1</v>
      </c>
      <c r="E2841" t="s">
        <v>2</v>
      </c>
      <c r="F2841">
        <v>10000000</v>
      </c>
      <c r="G2841">
        <v>1998</v>
      </c>
      <c r="H2841">
        <v>6.5</v>
      </c>
    </row>
    <row r="2842" spans="1:8" x14ac:dyDescent="0.25">
      <c r="A2842">
        <v>114</v>
      </c>
      <c r="B2842">
        <v>25600000</v>
      </c>
      <c r="C2842" t="s">
        <v>2815</v>
      </c>
      <c r="D2842" t="s">
        <v>1</v>
      </c>
      <c r="E2842" t="s">
        <v>2</v>
      </c>
      <c r="F2842">
        <v>10000000</v>
      </c>
      <c r="G2842">
        <v>1983</v>
      </c>
      <c r="H2842">
        <v>7.2</v>
      </c>
    </row>
    <row r="2843" spans="1:8" x14ac:dyDescent="0.25">
      <c r="A2843">
        <v>97</v>
      </c>
      <c r="B2843">
        <v>27736779</v>
      </c>
      <c r="C2843" t="s">
        <v>2816</v>
      </c>
      <c r="D2843" t="s">
        <v>1</v>
      </c>
      <c r="E2843" t="s">
        <v>2</v>
      </c>
      <c r="F2843">
        <v>10000000</v>
      </c>
      <c r="G2843">
        <v>2015</v>
      </c>
      <c r="H2843">
        <v>5.2</v>
      </c>
    </row>
    <row r="2844" spans="1:8" x14ac:dyDescent="0.25">
      <c r="A2844">
        <v>96</v>
      </c>
      <c r="B2844">
        <v>20384136</v>
      </c>
      <c r="C2844" t="s">
        <v>2818</v>
      </c>
      <c r="D2844" t="s">
        <v>1</v>
      </c>
      <c r="E2844" t="s">
        <v>2</v>
      </c>
      <c r="F2844">
        <v>10000000</v>
      </c>
      <c r="G2844">
        <v>2001</v>
      </c>
      <c r="H2844">
        <v>4.7</v>
      </c>
    </row>
    <row r="2845" spans="1:8" x14ac:dyDescent="0.25">
      <c r="A2845">
        <v>98</v>
      </c>
      <c r="B2845">
        <v>25464480</v>
      </c>
      <c r="C2845" t="s">
        <v>2819</v>
      </c>
      <c r="D2845" t="s">
        <v>1</v>
      </c>
      <c r="E2845" t="s">
        <v>2</v>
      </c>
      <c r="F2845">
        <v>10000000</v>
      </c>
      <c r="G2845">
        <v>2009</v>
      </c>
      <c r="H2845">
        <v>5.9</v>
      </c>
    </row>
    <row r="2846" spans="1:8" x14ac:dyDescent="0.25">
      <c r="A2846">
        <v>105</v>
      </c>
      <c r="B2846">
        <v>20338609</v>
      </c>
      <c r="C2846" t="s">
        <v>2820</v>
      </c>
      <c r="D2846" t="s">
        <v>1</v>
      </c>
      <c r="E2846" t="s">
        <v>2</v>
      </c>
      <c r="F2846">
        <v>10000000</v>
      </c>
      <c r="G2846">
        <v>2006</v>
      </c>
      <c r="H2846">
        <v>6.8</v>
      </c>
    </row>
    <row r="2847" spans="1:8" x14ac:dyDescent="0.25">
      <c r="A2847">
        <v>123</v>
      </c>
      <c r="B2847">
        <v>18272447</v>
      </c>
      <c r="C2847" t="s">
        <v>2821</v>
      </c>
      <c r="D2847" t="s">
        <v>1</v>
      </c>
      <c r="E2847" t="s">
        <v>2</v>
      </c>
      <c r="F2847">
        <v>10000000</v>
      </c>
      <c r="G2847">
        <v>1993</v>
      </c>
      <c r="H2847">
        <v>5.9</v>
      </c>
    </row>
    <row r="2848" spans="1:8" x14ac:dyDescent="0.25">
      <c r="A2848">
        <v>97</v>
      </c>
      <c r="B2848">
        <v>21371425</v>
      </c>
      <c r="C2848" t="s">
        <v>2823</v>
      </c>
      <c r="D2848" t="s">
        <v>1</v>
      </c>
      <c r="E2848" t="s">
        <v>2</v>
      </c>
      <c r="F2848">
        <v>10000000</v>
      </c>
      <c r="G2848">
        <v>2010</v>
      </c>
      <c r="H2848">
        <v>4.4000000000000004</v>
      </c>
    </row>
    <row r="2849" spans="1:8" x14ac:dyDescent="0.25">
      <c r="A2849">
        <v>122</v>
      </c>
      <c r="B2849">
        <v>33071558</v>
      </c>
      <c r="C2849" t="s">
        <v>2824</v>
      </c>
      <c r="D2849" t="s">
        <v>1</v>
      </c>
      <c r="E2849" t="s">
        <v>5</v>
      </c>
      <c r="F2849">
        <v>10000000</v>
      </c>
      <c r="G2849">
        <v>2015</v>
      </c>
      <c r="H2849">
        <v>6.6</v>
      </c>
    </row>
    <row r="2850" spans="1:8" x14ac:dyDescent="0.25">
      <c r="A2850">
        <v>101</v>
      </c>
      <c r="B2850">
        <v>17655201</v>
      </c>
      <c r="C2850" t="s">
        <v>2825</v>
      </c>
      <c r="D2850" t="s">
        <v>1</v>
      </c>
      <c r="E2850" t="s">
        <v>2</v>
      </c>
      <c r="F2850">
        <v>10000000</v>
      </c>
      <c r="G2850">
        <v>2008</v>
      </c>
      <c r="H2850">
        <v>6.7</v>
      </c>
    </row>
    <row r="2851" spans="1:8" x14ac:dyDescent="0.25">
      <c r="A2851">
        <v>129</v>
      </c>
      <c r="B2851">
        <v>16153600</v>
      </c>
      <c r="C2851" t="s">
        <v>2827</v>
      </c>
      <c r="D2851" t="s">
        <v>1</v>
      </c>
      <c r="E2851" t="s">
        <v>2</v>
      </c>
      <c r="F2851">
        <v>10000000</v>
      </c>
      <c r="G2851">
        <v>1990</v>
      </c>
      <c r="H2851">
        <v>6.5</v>
      </c>
    </row>
    <row r="2852" spans="1:8" x14ac:dyDescent="0.25">
      <c r="A2852">
        <v>81</v>
      </c>
      <c r="B2852">
        <v>16033556</v>
      </c>
      <c r="C2852" t="s">
        <v>2828</v>
      </c>
      <c r="D2852" t="s">
        <v>1</v>
      </c>
      <c r="E2852" t="s">
        <v>2</v>
      </c>
      <c r="F2852">
        <v>10000000</v>
      </c>
      <c r="G2852">
        <v>2002</v>
      </c>
      <c r="H2852">
        <v>6.2</v>
      </c>
    </row>
    <row r="2853" spans="1:8" x14ac:dyDescent="0.25">
      <c r="A2853">
        <v>130</v>
      </c>
      <c r="B2853">
        <v>21589307</v>
      </c>
      <c r="C2853" t="s">
        <v>2832</v>
      </c>
      <c r="D2853" t="s">
        <v>1</v>
      </c>
      <c r="E2853" t="s">
        <v>2</v>
      </c>
      <c r="F2853">
        <v>10000000</v>
      </c>
      <c r="G2853">
        <v>2012</v>
      </c>
      <c r="H2853">
        <v>7.4</v>
      </c>
    </row>
    <row r="2854" spans="1:8" x14ac:dyDescent="0.25">
      <c r="A2854">
        <v>84</v>
      </c>
      <c r="B2854">
        <v>20339754</v>
      </c>
      <c r="C2854" t="s">
        <v>2833</v>
      </c>
      <c r="D2854" t="s">
        <v>1</v>
      </c>
      <c r="E2854" t="s">
        <v>2</v>
      </c>
      <c r="F2854">
        <v>10000000</v>
      </c>
      <c r="G2854">
        <v>2007</v>
      </c>
      <c r="H2854">
        <v>5.9</v>
      </c>
    </row>
    <row r="2855" spans="1:8" x14ac:dyDescent="0.25">
      <c r="A2855">
        <v>106</v>
      </c>
      <c r="B2855">
        <v>28873374</v>
      </c>
      <c r="C2855" t="s">
        <v>2834</v>
      </c>
      <c r="D2855" t="s">
        <v>1</v>
      </c>
      <c r="E2855" t="s">
        <v>2</v>
      </c>
      <c r="F2855">
        <v>10000000</v>
      </c>
      <c r="G2855">
        <v>2013</v>
      </c>
      <c r="H2855">
        <v>4.0999999999999996</v>
      </c>
    </row>
    <row r="2856" spans="1:8" x14ac:dyDescent="0.25">
      <c r="A2856">
        <v>96</v>
      </c>
      <c r="B2856">
        <v>12570442</v>
      </c>
      <c r="C2856" t="s">
        <v>2837</v>
      </c>
      <c r="D2856" t="s">
        <v>1</v>
      </c>
      <c r="E2856" t="s">
        <v>2</v>
      </c>
      <c r="F2856">
        <v>10000000</v>
      </c>
      <c r="G2856">
        <v>2005</v>
      </c>
      <c r="H2856">
        <v>6.8</v>
      </c>
    </row>
    <row r="2857" spans="1:8" x14ac:dyDescent="0.25">
      <c r="A2857">
        <v>104</v>
      </c>
      <c r="B2857">
        <v>12514138</v>
      </c>
      <c r="C2857" t="s">
        <v>2838</v>
      </c>
      <c r="D2857" t="s">
        <v>1</v>
      </c>
      <c r="E2857" t="s">
        <v>2</v>
      </c>
      <c r="F2857">
        <v>10000000</v>
      </c>
      <c r="G2857">
        <v>1997</v>
      </c>
      <c r="H2857">
        <v>7.4</v>
      </c>
    </row>
    <row r="2858" spans="1:8" x14ac:dyDescent="0.25">
      <c r="A2858">
        <v>108</v>
      </c>
      <c r="B2858">
        <v>11703287</v>
      </c>
      <c r="C2858" t="s">
        <v>2840</v>
      </c>
      <c r="D2858" t="s">
        <v>1</v>
      </c>
      <c r="E2858" t="s">
        <v>2</v>
      </c>
      <c r="F2858">
        <v>10000000</v>
      </c>
      <c r="G2858">
        <v>2005</v>
      </c>
      <c r="H2858">
        <v>7</v>
      </c>
    </row>
    <row r="2859" spans="1:8" x14ac:dyDescent="0.25">
      <c r="A2859">
        <v>89</v>
      </c>
      <c r="B2859">
        <v>10824921</v>
      </c>
      <c r="C2859" t="s">
        <v>2842</v>
      </c>
      <c r="D2859" t="s">
        <v>1</v>
      </c>
      <c r="E2859" t="s">
        <v>2</v>
      </c>
      <c r="F2859">
        <v>10000000</v>
      </c>
      <c r="G2859">
        <v>1999</v>
      </c>
      <c r="H2859">
        <v>7.8</v>
      </c>
    </row>
    <row r="2860" spans="1:8" x14ac:dyDescent="0.25">
      <c r="A2860">
        <v>97</v>
      </c>
      <c r="B2860">
        <v>10561238</v>
      </c>
      <c r="C2860" t="s">
        <v>2843</v>
      </c>
      <c r="D2860" t="s">
        <v>1</v>
      </c>
      <c r="E2860" t="s">
        <v>119</v>
      </c>
      <c r="F2860">
        <v>10000000</v>
      </c>
      <c r="G2860">
        <v>1999</v>
      </c>
      <c r="H2860">
        <v>6.5</v>
      </c>
    </row>
    <row r="2861" spans="1:8" x14ac:dyDescent="0.25">
      <c r="A2861">
        <v>106</v>
      </c>
      <c r="B2861">
        <v>14479776</v>
      </c>
      <c r="C2861" t="s">
        <v>2844</v>
      </c>
      <c r="D2861" t="s">
        <v>1</v>
      </c>
      <c r="E2861" t="s">
        <v>2</v>
      </c>
      <c r="F2861">
        <v>10000000</v>
      </c>
      <c r="G2861">
        <v>2014</v>
      </c>
      <c r="H2861">
        <v>7</v>
      </c>
    </row>
    <row r="2862" spans="1:8" x14ac:dyDescent="0.25">
      <c r="A2862">
        <v>100</v>
      </c>
      <c r="B2862">
        <v>9801782</v>
      </c>
      <c r="C2862" t="s">
        <v>2845</v>
      </c>
      <c r="D2862" t="s">
        <v>1</v>
      </c>
      <c r="E2862" t="s">
        <v>2</v>
      </c>
      <c r="F2862">
        <v>10000000</v>
      </c>
      <c r="G2862">
        <v>1998</v>
      </c>
      <c r="H2862">
        <v>6.3</v>
      </c>
    </row>
    <row r="2863" spans="1:8" x14ac:dyDescent="0.25">
      <c r="A2863">
        <v>89</v>
      </c>
      <c r="B2863">
        <v>8070311</v>
      </c>
      <c r="C2863" t="s">
        <v>2846</v>
      </c>
      <c r="D2863" t="s">
        <v>1</v>
      </c>
      <c r="E2863" t="s">
        <v>2</v>
      </c>
      <c r="F2863">
        <v>10000000</v>
      </c>
      <c r="G2863">
        <v>2004</v>
      </c>
      <c r="H2863">
        <v>5.3</v>
      </c>
    </row>
    <row r="2864" spans="1:8" x14ac:dyDescent="0.25">
      <c r="A2864">
        <v>95</v>
      </c>
      <c r="B2864">
        <v>8460995</v>
      </c>
      <c r="C2864" t="s">
        <v>2847</v>
      </c>
      <c r="D2864" t="s">
        <v>1</v>
      </c>
      <c r="E2864" t="s">
        <v>2</v>
      </c>
      <c r="F2864">
        <v>10000000</v>
      </c>
      <c r="G2864">
        <v>2010</v>
      </c>
      <c r="H2864">
        <v>5.5</v>
      </c>
    </row>
    <row r="2865" spans="1:8" x14ac:dyDescent="0.25">
      <c r="A2865">
        <v>97</v>
      </c>
      <c r="B2865">
        <v>8111360</v>
      </c>
      <c r="C2865" t="s">
        <v>2848</v>
      </c>
      <c r="D2865" t="s">
        <v>1</v>
      </c>
      <c r="E2865" t="s">
        <v>5</v>
      </c>
      <c r="F2865">
        <v>10000000</v>
      </c>
      <c r="G2865">
        <v>2002</v>
      </c>
      <c r="H2865">
        <v>7.4</v>
      </c>
    </row>
    <row r="2866" spans="1:8" x14ac:dyDescent="0.25">
      <c r="A2866">
        <v>95</v>
      </c>
      <c r="B2866">
        <v>7563670</v>
      </c>
      <c r="C2866" t="s">
        <v>2850</v>
      </c>
      <c r="D2866" t="s">
        <v>1</v>
      </c>
      <c r="E2866" t="s">
        <v>2</v>
      </c>
      <c r="F2866">
        <v>10000000</v>
      </c>
      <c r="G2866">
        <v>2008</v>
      </c>
      <c r="H2866">
        <v>5.2</v>
      </c>
    </row>
    <row r="2867" spans="1:8" x14ac:dyDescent="0.25">
      <c r="A2867">
        <v>101</v>
      </c>
      <c r="B2867">
        <v>6619173</v>
      </c>
      <c r="C2867" t="s">
        <v>2851</v>
      </c>
      <c r="D2867" t="s">
        <v>1</v>
      </c>
      <c r="E2867" t="s">
        <v>2</v>
      </c>
      <c r="F2867">
        <v>10000000</v>
      </c>
      <c r="G2867">
        <v>2012</v>
      </c>
      <c r="H2867">
        <v>6.7</v>
      </c>
    </row>
    <row r="2868" spans="1:8" x14ac:dyDescent="0.25">
      <c r="A2868">
        <v>82</v>
      </c>
      <c r="B2868">
        <v>6842058</v>
      </c>
      <c r="C2868" t="s">
        <v>2853</v>
      </c>
      <c r="D2868" t="s">
        <v>1</v>
      </c>
      <c r="E2868" t="s">
        <v>2</v>
      </c>
      <c r="F2868">
        <v>10000000</v>
      </c>
      <c r="G2868">
        <v>2012</v>
      </c>
      <c r="H2868">
        <v>6.1</v>
      </c>
    </row>
    <row r="2869" spans="1:8" x14ac:dyDescent="0.25">
      <c r="A2869">
        <v>74</v>
      </c>
      <c r="B2869">
        <v>6491350</v>
      </c>
      <c r="C2869" t="s">
        <v>2854</v>
      </c>
      <c r="D2869" t="s">
        <v>1</v>
      </c>
      <c r="E2869" t="s">
        <v>2</v>
      </c>
      <c r="F2869">
        <v>10000000</v>
      </c>
      <c r="G2869">
        <v>2004</v>
      </c>
      <c r="H2869">
        <v>5.8</v>
      </c>
    </row>
    <row r="2870" spans="1:8" x14ac:dyDescent="0.25">
      <c r="A2870">
        <v>130</v>
      </c>
      <c r="B2870">
        <v>9473382</v>
      </c>
      <c r="C2870" t="s">
        <v>2855</v>
      </c>
      <c r="D2870" t="s">
        <v>243</v>
      </c>
      <c r="E2870" t="s">
        <v>38</v>
      </c>
      <c r="F2870">
        <v>10000000</v>
      </c>
      <c r="G2870">
        <v>1998</v>
      </c>
      <c r="H2870">
        <v>7.7</v>
      </c>
    </row>
    <row r="2871" spans="1:8" x14ac:dyDescent="0.25">
      <c r="A2871">
        <v>112</v>
      </c>
      <c r="B2871">
        <v>6197866</v>
      </c>
      <c r="C2871" t="s">
        <v>2856</v>
      </c>
      <c r="D2871" t="s">
        <v>1</v>
      </c>
      <c r="E2871" t="s">
        <v>244</v>
      </c>
      <c r="F2871">
        <v>10000000</v>
      </c>
      <c r="G2871">
        <v>1999</v>
      </c>
      <c r="H2871">
        <v>8</v>
      </c>
    </row>
    <row r="2872" spans="1:8" x14ac:dyDescent="0.25">
      <c r="A2872">
        <v>96</v>
      </c>
      <c r="B2872">
        <v>6044618</v>
      </c>
      <c r="C2872" t="s">
        <v>2857</v>
      </c>
      <c r="D2872" t="s">
        <v>1</v>
      </c>
      <c r="E2872" t="s">
        <v>2</v>
      </c>
      <c r="F2872">
        <v>10000000</v>
      </c>
      <c r="G2872">
        <v>2002</v>
      </c>
      <c r="H2872">
        <v>5.6</v>
      </c>
    </row>
    <row r="2873" spans="1:8" x14ac:dyDescent="0.25">
      <c r="A2873">
        <v>89</v>
      </c>
      <c r="B2873">
        <v>7764027</v>
      </c>
      <c r="C2873" t="s">
        <v>2858</v>
      </c>
      <c r="D2873" t="s">
        <v>1</v>
      </c>
      <c r="E2873" t="s">
        <v>2</v>
      </c>
      <c r="F2873">
        <v>10000000</v>
      </c>
      <c r="G2873">
        <v>2013</v>
      </c>
      <c r="H2873">
        <v>6.7</v>
      </c>
    </row>
    <row r="2874" spans="1:8" x14ac:dyDescent="0.25">
      <c r="A2874">
        <v>120</v>
      </c>
      <c r="B2874">
        <v>5484375</v>
      </c>
      <c r="C2874" t="s">
        <v>2861</v>
      </c>
      <c r="D2874" t="s">
        <v>1</v>
      </c>
      <c r="E2874" t="s">
        <v>2</v>
      </c>
      <c r="F2874">
        <v>10000000</v>
      </c>
      <c r="G2874">
        <v>2006</v>
      </c>
      <c r="H2874">
        <v>7.3</v>
      </c>
    </row>
    <row r="2875" spans="1:8" x14ac:dyDescent="0.25">
      <c r="A2875">
        <v>83</v>
      </c>
      <c r="B2875">
        <v>4244155</v>
      </c>
      <c r="C2875" t="s">
        <v>2862</v>
      </c>
      <c r="D2875" t="s">
        <v>1</v>
      </c>
      <c r="E2875" t="s">
        <v>2</v>
      </c>
      <c r="F2875">
        <v>10000000</v>
      </c>
      <c r="G2875">
        <v>2011</v>
      </c>
      <c r="H2875">
        <v>6.5</v>
      </c>
    </row>
    <row r="2876" spans="1:8" x14ac:dyDescent="0.25">
      <c r="A2876">
        <v>120</v>
      </c>
      <c r="B2876">
        <v>5004648</v>
      </c>
      <c r="C2876" t="s">
        <v>2863</v>
      </c>
      <c r="D2876" t="s">
        <v>1850</v>
      </c>
      <c r="E2876" t="s">
        <v>1307</v>
      </c>
      <c r="F2876">
        <v>10000000</v>
      </c>
      <c r="G2876">
        <v>2009</v>
      </c>
      <c r="H2876">
        <v>7</v>
      </c>
    </row>
    <row r="2877" spans="1:8" x14ac:dyDescent="0.25">
      <c r="A2877">
        <v>111</v>
      </c>
      <c r="B2877">
        <v>3333823</v>
      </c>
      <c r="C2877" t="s">
        <v>2864</v>
      </c>
      <c r="D2877" t="s">
        <v>1</v>
      </c>
      <c r="E2877" t="s">
        <v>2</v>
      </c>
      <c r="F2877">
        <v>10000000</v>
      </c>
      <c r="G2877">
        <v>2012</v>
      </c>
      <c r="H2877">
        <v>5.5</v>
      </c>
    </row>
    <row r="2878" spans="1:8" x14ac:dyDescent="0.25">
      <c r="A2878">
        <v>135</v>
      </c>
      <c r="B2878">
        <v>3041803</v>
      </c>
      <c r="C2878" t="s">
        <v>2868</v>
      </c>
      <c r="D2878" t="s">
        <v>1</v>
      </c>
      <c r="E2878" t="s">
        <v>5</v>
      </c>
      <c r="F2878">
        <v>10000000</v>
      </c>
      <c r="G2878">
        <v>2000</v>
      </c>
      <c r="H2878">
        <v>7.1</v>
      </c>
    </row>
    <row r="2879" spans="1:8" x14ac:dyDescent="0.25">
      <c r="A2879">
        <v>92</v>
      </c>
      <c r="B2879">
        <v>3060858</v>
      </c>
      <c r="C2879" t="s">
        <v>2869</v>
      </c>
      <c r="D2879" t="s">
        <v>1</v>
      </c>
      <c r="E2879" t="s">
        <v>2</v>
      </c>
      <c r="F2879">
        <v>10000000</v>
      </c>
      <c r="G2879">
        <v>1987</v>
      </c>
      <c r="H2879">
        <v>5.6</v>
      </c>
    </row>
    <row r="2880" spans="1:8" x14ac:dyDescent="0.25">
      <c r="A2880">
        <v>120</v>
      </c>
      <c r="B2880">
        <v>1055654</v>
      </c>
      <c r="C2880" t="s">
        <v>2870</v>
      </c>
      <c r="D2880" t="s">
        <v>1</v>
      </c>
      <c r="E2880" t="s">
        <v>119</v>
      </c>
      <c r="F2880">
        <v>10000000</v>
      </c>
      <c r="G2880">
        <v>2006</v>
      </c>
      <c r="H2880">
        <v>7.3</v>
      </c>
    </row>
    <row r="2881" spans="1:8" x14ac:dyDescent="0.25">
      <c r="A2881">
        <v>97</v>
      </c>
      <c r="B2881">
        <v>2331318</v>
      </c>
      <c r="C2881" t="s">
        <v>2871</v>
      </c>
      <c r="D2881" t="s">
        <v>1</v>
      </c>
      <c r="E2881" t="s">
        <v>2</v>
      </c>
      <c r="F2881">
        <v>10000000</v>
      </c>
      <c r="G2881">
        <v>2011</v>
      </c>
      <c r="H2881">
        <v>3.3</v>
      </c>
    </row>
    <row r="2882" spans="1:8" x14ac:dyDescent="0.25">
      <c r="A2882">
        <v>135</v>
      </c>
      <c r="B2882">
        <v>2185266</v>
      </c>
      <c r="C2882" t="s">
        <v>2872</v>
      </c>
      <c r="D2882" t="s">
        <v>1</v>
      </c>
      <c r="E2882" t="s">
        <v>2</v>
      </c>
      <c r="F2882">
        <v>10000000</v>
      </c>
      <c r="G2882">
        <v>2000</v>
      </c>
      <c r="H2882">
        <v>6.5</v>
      </c>
    </row>
    <row r="2883" spans="1:8" x14ac:dyDescent="0.25">
      <c r="A2883">
        <v>93</v>
      </c>
      <c r="B2883">
        <v>26583369</v>
      </c>
      <c r="C2883" t="s">
        <v>2873</v>
      </c>
      <c r="D2883" t="s">
        <v>1</v>
      </c>
      <c r="E2883" t="s">
        <v>2</v>
      </c>
      <c r="F2883">
        <v>10000000</v>
      </c>
      <c r="G2883">
        <v>2016</v>
      </c>
      <c r="H2883">
        <v>4.8</v>
      </c>
    </row>
    <row r="2884" spans="1:8" x14ac:dyDescent="0.25">
      <c r="A2884">
        <v>97</v>
      </c>
      <c r="B2884">
        <v>7574066</v>
      </c>
      <c r="C2884" t="s">
        <v>2875</v>
      </c>
      <c r="D2884" t="s">
        <v>1</v>
      </c>
      <c r="E2884" t="s">
        <v>2</v>
      </c>
      <c r="F2884">
        <v>10000000</v>
      </c>
      <c r="G2884">
        <v>2014</v>
      </c>
      <c r="H2884">
        <v>6.3</v>
      </c>
    </row>
    <row r="2885" spans="1:8" x14ac:dyDescent="0.25">
      <c r="A2885">
        <v>98</v>
      </c>
      <c r="B2885">
        <v>1754319</v>
      </c>
      <c r="C2885" t="s">
        <v>2876</v>
      </c>
      <c r="D2885" t="s">
        <v>1</v>
      </c>
      <c r="E2885" t="s">
        <v>2</v>
      </c>
      <c r="F2885">
        <v>10000000</v>
      </c>
      <c r="G2885">
        <v>2011</v>
      </c>
      <c r="H2885">
        <v>7.2</v>
      </c>
    </row>
    <row r="2886" spans="1:8" x14ac:dyDescent="0.25">
      <c r="A2886">
        <v>101</v>
      </c>
      <c r="B2886">
        <v>1631839</v>
      </c>
      <c r="C2886" t="s">
        <v>2878</v>
      </c>
      <c r="D2886" t="s">
        <v>1</v>
      </c>
      <c r="E2886" t="s">
        <v>2</v>
      </c>
      <c r="F2886">
        <v>10000000</v>
      </c>
      <c r="G2886">
        <v>2000</v>
      </c>
      <c r="H2886">
        <v>5.7</v>
      </c>
    </row>
    <row r="2887" spans="1:8" x14ac:dyDescent="0.25">
      <c r="A2887">
        <v>132</v>
      </c>
      <c r="B2887">
        <v>1309849</v>
      </c>
      <c r="C2887" t="s">
        <v>2879</v>
      </c>
      <c r="D2887" t="s">
        <v>1</v>
      </c>
      <c r="E2887" t="s">
        <v>5</v>
      </c>
      <c r="F2887">
        <v>10000000</v>
      </c>
      <c r="G2887">
        <v>2002</v>
      </c>
      <c r="H2887">
        <v>7.2</v>
      </c>
    </row>
    <row r="2888" spans="1:8" x14ac:dyDescent="0.25">
      <c r="A2888">
        <v>106</v>
      </c>
      <c r="B2888">
        <v>1939441</v>
      </c>
      <c r="C2888" t="s">
        <v>2880</v>
      </c>
      <c r="D2888" t="s">
        <v>1</v>
      </c>
      <c r="E2888" t="s">
        <v>2</v>
      </c>
      <c r="F2888">
        <v>10000000</v>
      </c>
      <c r="G2888">
        <v>2012</v>
      </c>
      <c r="H2888">
        <v>6.9</v>
      </c>
    </row>
    <row r="2889" spans="1:8" x14ac:dyDescent="0.25">
      <c r="A2889">
        <v>87</v>
      </c>
      <c r="B2889">
        <v>1276984</v>
      </c>
      <c r="C2889" t="s">
        <v>2881</v>
      </c>
      <c r="D2889" t="s">
        <v>1</v>
      </c>
      <c r="E2889" t="s">
        <v>244</v>
      </c>
      <c r="F2889">
        <v>10000000</v>
      </c>
      <c r="G2889">
        <v>2000</v>
      </c>
      <c r="H2889">
        <v>6.2</v>
      </c>
    </row>
    <row r="2890" spans="1:8" x14ac:dyDescent="0.25">
      <c r="A2890">
        <v>104</v>
      </c>
      <c r="B2890">
        <v>1011054</v>
      </c>
      <c r="C2890" t="s">
        <v>2884</v>
      </c>
      <c r="D2890" t="s">
        <v>1</v>
      </c>
      <c r="E2890" t="s">
        <v>38</v>
      </c>
      <c r="F2890">
        <v>10000000</v>
      </c>
      <c r="G2890">
        <v>2003</v>
      </c>
      <c r="H2890">
        <v>7.2</v>
      </c>
    </row>
    <row r="2891" spans="1:8" x14ac:dyDescent="0.25">
      <c r="A2891">
        <v>93</v>
      </c>
      <c r="B2891">
        <v>900926</v>
      </c>
      <c r="C2891" t="s">
        <v>2885</v>
      </c>
      <c r="D2891" t="s">
        <v>1</v>
      </c>
      <c r="E2891" t="s">
        <v>2</v>
      </c>
      <c r="F2891">
        <v>10000000</v>
      </c>
      <c r="G2891">
        <v>2007</v>
      </c>
      <c r="H2891">
        <v>5.3</v>
      </c>
    </row>
    <row r="2892" spans="1:8" x14ac:dyDescent="0.25">
      <c r="A2892">
        <v>95</v>
      </c>
      <c r="B2892">
        <v>866778</v>
      </c>
      <c r="C2892" t="s">
        <v>2886</v>
      </c>
      <c r="D2892" t="s">
        <v>1</v>
      </c>
      <c r="E2892" t="s">
        <v>675</v>
      </c>
      <c r="F2892">
        <v>10000000</v>
      </c>
      <c r="G2892">
        <v>2007</v>
      </c>
      <c r="H2892">
        <v>6.7</v>
      </c>
    </row>
    <row r="2893" spans="1:8" x14ac:dyDescent="0.25">
      <c r="A2893">
        <v>89</v>
      </c>
      <c r="B2893">
        <v>598645</v>
      </c>
      <c r="C2893" t="s">
        <v>2887</v>
      </c>
      <c r="D2893" t="s">
        <v>1</v>
      </c>
      <c r="E2893" t="s">
        <v>5</v>
      </c>
      <c r="F2893">
        <v>10000000</v>
      </c>
      <c r="G2893">
        <v>2002</v>
      </c>
      <c r="H2893">
        <v>3.6</v>
      </c>
    </row>
    <row r="2894" spans="1:8" x14ac:dyDescent="0.25">
      <c r="A2894">
        <v>107</v>
      </c>
      <c r="B2894">
        <v>578527</v>
      </c>
      <c r="C2894" t="s">
        <v>2888</v>
      </c>
      <c r="D2894" t="s">
        <v>1</v>
      </c>
      <c r="E2894" t="s">
        <v>2</v>
      </c>
      <c r="F2894">
        <v>10000000</v>
      </c>
      <c r="G2894">
        <v>2008</v>
      </c>
      <c r="H2894">
        <v>5.7</v>
      </c>
    </row>
    <row r="2895" spans="1:8" x14ac:dyDescent="0.25">
      <c r="A2895">
        <v>85</v>
      </c>
      <c r="B2895">
        <v>488872</v>
      </c>
      <c r="C2895" t="s">
        <v>2889</v>
      </c>
      <c r="D2895" t="s">
        <v>1341</v>
      </c>
      <c r="E2895" t="s">
        <v>675</v>
      </c>
      <c r="F2895">
        <v>10000000</v>
      </c>
      <c r="G2895">
        <v>2001</v>
      </c>
      <c r="H2895">
        <v>7.3</v>
      </c>
    </row>
    <row r="2896" spans="1:8" x14ac:dyDescent="0.25">
      <c r="A2896">
        <v>93</v>
      </c>
      <c r="B2896">
        <v>365734</v>
      </c>
      <c r="C2896" t="s">
        <v>2890</v>
      </c>
      <c r="D2896" t="s">
        <v>1</v>
      </c>
      <c r="E2896" t="s">
        <v>2</v>
      </c>
      <c r="F2896">
        <v>10000000</v>
      </c>
      <c r="G2896">
        <v>2003</v>
      </c>
      <c r="H2896">
        <v>5</v>
      </c>
    </row>
    <row r="2897" spans="1:8" x14ac:dyDescent="0.25">
      <c r="A2897">
        <v>86</v>
      </c>
      <c r="B2897">
        <v>226792</v>
      </c>
      <c r="C2897" t="s">
        <v>2894</v>
      </c>
      <c r="D2897" t="s">
        <v>1</v>
      </c>
      <c r="E2897" t="s">
        <v>5</v>
      </c>
      <c r="F2897">
        <v>10000000</v>
      </c>
      <c r="G2897">
        <v>2001</v>
      </c>
      <c r="H2897">
        <v>6.2</v>
      </c>
    </row>
    <row r="2898" spans="1:8" x14ac:dyDescent="0.25">
      <c r="A2898">
        <v>82</v>
      </c>
      <c r="B2898">
        <v>131617</v>
      </c>
      <c r="C2898" t="s">
        <v>2896</v>
      </c>
      <c r="D2898" t="s">
        <v>1</v>
      </c>
      <c r="E2898" t="s">
        <v>2</v>
      </c>
      <c r="F2898">
        <v>10000000</v>
      </c>
      <c r="G2898">
        <v>2005</v>
      </c>
      <c r="H2898">
        <v>6.3</v>
      </c>
    </row>
    <row r="2899" spans="1:8" x14ac:dyDescent="0.25">
      <c r="A2899">
        <v>86</v>
      </c>
      <c r="B2899">
        <v>15447</v>
      </c>
      <c r="C2899" t="s">
        <v>2898</v>
      </c>
      <c r="D2899" t="s">
        <v>1</v>
      </c>
      <c r="E2899" t="s">
        <v>2</v>
      </c>
      <c r="F2899">
        <v>10000000</v>
      </c>
      <c r="G2899">
        <v>1997</v>
      </c>
      <c r="H2899">
        <v>3.5</v>
      </c>
    </row>
    <row r="2900" spans="1:8" x14ac:dyDescent="0.25">
      <c r="A2900">
        <v>91</v>
      </c>
      <c r="B2900">
        <v>19348</v>
      </c>
      <c r="C2900" t="s">
        <v>2899</v>
      </c>
      <c r="D2900" t="s">
        <v>1</v>
      </c>
      <c r="E2900" t="s">
        <v>2</v>
      </c>
      <c r="F2900">
        <v>10000000</v>
      </c>
      <c r="G2900">
        <v>2009</v>
      </c>
      <c r="H2900">
        <v>5.5</v>
      </c>
    </row>
    <row r="2901" spans="1:8" x14ac:dyDescent="0.25">
      <c r="A2901">
        <v>93</v>
      </c>
      <c r="B2901">
        <v>5561</v>
      </c>
      <c r="C2901" t="s">
        <v>2902</v>
      </c>
      <c r="D2901" t="s">
        <v>1</v>
      </c>
      <c r="E2901" t="s">
        <v>2</v>
      </c>
      <c r="F2901">
        <v>10000000</v>
      </c>
      <c r="G2901">
        <v>2007</v>
      </c>
      <c r="H2901">
        <v>3.9</v>
      </c>
    </row>
    <row r="2902" spans="1:8" x14ac:dyDescent="0.25">
      <c r="A2902">
        <v>104</v>
      </c>
      <c r="B2902">
        <v>3607</v>
      </c>
      <c r="C2902" t="s">
        <v>2903</v>
      </c>
      <c r="D2902" t="s">
        <v>1</v>
      </c>
      <c r="E2902" t="s">
        <v>620</v>
      </c>
      <c r="F2902">
        <v>10000000</v>
      </c>
      <c r="G2902">
        <v>2008</v>
      </c>
      <c r="H2902">
        <v>6.1</v>
      </c>
    </row>
    <row r="2903" spans="1:8" x14ac:dyDescent="0.25">
      <c r="A2903">
        <v>81</v>
      </c>
      <c r="B2903">
        <v>11835</v>
      </c>
      <c r="C2903" t="s">
        <v>2905</v>
      </c>
      <c r="D2903" t="s">
        <v>1629</v>
      </c>
      <c r="E2903" t="s">
        <v>1630</v>
      </c>
      <c r="F2903">
        <v>10000000</v>
      </c>
      <c r="G2903">
        <v>2013</v>
      </c>
      <c r="H2903">
        <v>6.9</v>
      </c>
    </row>
    <row r="2904" spans="1:8" x14ac:dyDescent="0.25">
      <c r="A2904">
        <v>135</v>
      </c>
      <c r="B2904">
        <v>128486</v>
      </c>
      <c r="C2904" t="s">
        <v>2906</v>
      </c>
      <c r="D2904" t="s">
        <v>2396</v>
      </c>
      <c r="E2904" t="s">
        <v>1028</v>
      </c>
      <c r="F2904">
        <v>10000000</v>
      </c>
      <c r="G2904">
        <v>2008</v>
      </c>
      <c r="H2904">
        <v>7.3</v>
      </c>
    </row>
    <row r="2905" spans="1:8" x14ac:dyDescent="0.25">
      <c r="A2905">
        <v>106</v>
      </c>
      <c r="B2905">
        <v>3571735</v>
      </c>
      <c r="C2905" t="s">
        <v>2918</v>
      </c>
      <c r="D2905" t="s">
        <v>1</v>
      </c>
      <c r="E2905" t="s">
        <v>2</v>
      </c>
      <c r="F2905">
        <v>10000000</v>
      </c>
      <c r="G2905">
        <v>2010</v>
      </c>
      <c r="H2905">
        <v>6.6</v>
      </c>
    </row>
    <row r="2906" spans="1:8" x14ac:dyDescent="0.25">
      <c r="A2906">
        <v>129</v>
      </c>
      <c r="B2906">
        <v>3205244</v>
      </c>
      <c r="C2906" t="s">
        <v>2993</v>
      </c>
      <c r="D2906" t="s">
        <v>1</v>
      </c>
      <c r="E2906" t="s">
        <v>5</v>
      </c>
      <c r="F2906">
        <v>10000000</v>
      </c>
      <c r="G2906">
        <v>2010</v>
      </c>
      <c r="H2906">
        <v>7.3</v>
      </c>
    </row>
    <row r="2907" spans="1:8" x14ac:dyDescent="0.25">
      <c r="A2907">
        <v>90</v>
      </c>
      <c r="B2907">
        <v>882290</v>
      </c>
      <c r="C2907" t="s">
        <v>3015</v>
      </c>
      <c r="D2907" t="s">
        <v>1</v>
      </c>
      <c r="E2907" t="s">
        <v>55</v>
      </c>
      <c r="F2907">
        <v>10000000</v>
      </c>
      <c r="G2907">
        <v>1989</v>
      </c>
      <c r="H2907">
        <v>6.5</v>
      </c>
    </row>
    <row r="2908" spans="1:8" x14ac:dyDescent="0.25">
      <c r="A2908">
        <v>94</v>
      </c>
      <c r="B2908">
        <v>17544812</v>
      </c>
      <c r="C2908" t="s">
        <v>3020</v>
      </c>
      <c r="D2908" t="s">
        <v>1</v>
      </c>
      <c r="E2908" t="s">
        <v>2</v>
      </c>
      <c r="F2908">
        <v>10000000</v>
      </c>
      <c r="G2908">
        <v>2007</v>
      </c>
      <c r="H2908">
        <v>5.4</v>
      </c>
    </row>
    <row r="2909" spans="1:8" x14ac:dyDescent="0.25">
      <c r="A2909">
        <v>95</v>
      </c>
      <c r="B2909">
        <v>306715</v>
      </c>
      <c r="C2909" t="s">
        <v>3080</v>
      </c>
      <c r="D2909" t="s">
        <v>1</v>
      </c>
      <c r="E2909" t="s">
        <v>2</v>
      </c>
      <c r="F2909">
        <v>10000000</v>
      </c>
      <c r="G2909">
        <v>1998</v>
      </c>
      <c r="H2909">
        <v>2.2999999999999998</v>
      </c>
    </row>
    <row r="2910" spans="1:8" x14ac:dyDescent="0.25">
      <c r="A2910">
        <v>98</v>
      </c>
      <c r="B2910">
        <v>449558</v>
      </c>
      <c r="C2910" t="s">
        <v>3118</v>
      </c>
      <c r="D2910" t="s">
        <v>1</v>
      </c>
      <c r="E2910" t="s">
        <v>5</v>
      </c>
      <c r="F2910">
        <v>10000000</v>
      </c>
      <c r="G2910">
        <v>2009</v>
      </c>
      <c r="H2910">
        <v>7.6</v>
      </c>
    </row>
    <row r="2911" spans="1:8" x14ac:dyDescent="0.25">
      <c r="A2911">
        <v>94</v>
      </c>
      <c r="B2911">
        <v>56437947</v>
      </c>
      <c r="C2911" t="s">
        <v>2403</v>
      </c>
      <c r="D2911" t="s">
        <v>1</v>
      </c>
      <c r="E2911" t="s">
        <v>5</v>
      </c>
      <c r="F2911">
        <v>9800000</v>
      </c>
      <c r="G2911">
        <v>2006</v>
      </c>
      <c r="H2911">
        <v>7.3</v>
      </c>
    </row>
    <row r="2912" spans="1:8" x14ac:dyDescent="0.25">
      <c r="A2912">
        <v>80</v>
      </c>
      <c r="B2912">
        <v>71442</v>
      </c>
      <c r="C2912" t="s">
        <v>2651</v>
      </c>
      <c r="D2912" t="s">
        <v>243</v>
      </c>
      <c r="E2912" t="s">
        <v>244</v>
      </c>
      <c r="F2912">
        <v>9600000</v>
      </c>
      <c r="G2912">
        <v>2012</v>
      </c>
      <c r="H2912">
        <v>7.9</v>
      </c>
    </row>
    <row r="2913" spans="1:8" x14ac:dyDescent="0.25">
      <c r="A2913">
        <v>144</v>
      </c>
      <c r="B2913">
        <v>2483955</v>
      </c>
      <c r="C2913" t="s">
        <v>2907</v>
      </c>
      <c r="D2913" t="s">
        <v>1</v>
      </c>
      <c r="E2913" t="s">
        <v>2</v>
      </c>
      <c r="F2913">
        <v>9600000</v>
      </c>
      <c r="G2913">
        <v>2005</v>
      </c>
      <c r="H2913">
        <v>6.7</v>
      </c>
    </row>
    <row r="2914" spans="1:8" x14ac:dyDescent="0.25">
      <c r="A2914">
        <v>98</v>
      </c>
      <c r="B2914">
        <v>57176582</v>
      </c>
      <c r="C2914" t="s">
        <v>2908</v>
      </c>
      <c r="D2914" t="s">
        <v>1</v>
      </c>
      <c r="E2914" t="s">
        <v>2</v>
      </c>
      <c r="F2914">
        <v>9500000</v>
      </c>
      <c r="G2914">
        <v>2000</v>
      </c>
      <c r="H2914">
        <v>6.1</v>
      </c>
    </row>
    <row r="2915" spans="1:8" x14ac:dyDescent="0.25">
      <c r="A2915">
        <v>117</v>
      </c>
      <c r="B2915">
        <v>43100000</v>
      </c>
      <c r="C2915" t="s">
        <v>2909</v>
      </c>
      <c r="D2915" t="s">
        <v>1</v>
      </c>
      <c r="E2915" t="s">
        <v>5</v>
      </c>
      <c r="F2915">
        <v>9500000</v>
      </c>
      <c r="G2915">
        <v>1967</v>
      </c>
      <c r="H2915">
        <v>6.9</v>
      </c>
    </row>
    <row r="2916" spans="1:8" x14ac:dyDescent="0.25">
      <c r="A2916">
        <v>106</v>
      </c>
      <c r="B2916">
        <v>58214</v>
      </c>
      <c r="C2916" t="s">
        <v>3344</v>
      </c>
      <c r="D2916" t="s">
        <v>1</v>
      </c>
      <c r="E2916" t="s">
        <v>2</v>
      </c>
      <c r="F2916">
        <v>9500000</v>
      </c>
      <c r="G2916">
        <v>2010</v>
      </c>
      <c r="H2916">
        <v>7</v>
      </c>
    </row>
    <row r="2917" spans="1:8" x14ac:dyDescent="0.25">
      <c r="A2917">
        <v>80</v>
      </c>
      <c r="B2917">
        <v>7002255</v>
      </c>
      <c r="C2917" t="s">
        <v>3491</v>
      </c>
      <c r="D2917" t="s">
        <v>243</v>
      </c>
      <c r="E2917" t="s">
        <v>244</v>
      </c>
      <c r="F2917">
        <v>9500000</v>
      </c>
      <c r="G2917">
        <v>2003</v>
      </c>
      <c r="H2917">
        <v>7.8</v>
      </c>
    </row>
    <row r="2918" spans="1:8" x14ac:dyDescent="0.25">
      <c r="A2918">
        <v>197</v>
      </c>
      <c r="B2918">
        <v>46300000</v>
      </c>
      <c r="C2918" t="s">
        <v>2912</v>
      </c>
      <c r="D2918" t="s">
        <v>1</v>
      </c>
      <c r="E2918" t="s">
        <v>2</v>
      </c>
      <c r="F2918">
        <v>9400000</v>
      </c>
      <c r="G2918">
        <v>1963</v>
      </c>
      <c r="H2918">
        <v>7.6</v>
      </c>
    </row>
    <row r="2919" spans="1:8" x14ac:dyDescent="0.25">
      <c r="A2919">
        <v>172</v>
      </c>
      <c r="B2919">
        <v>2835886</v>
      </c>
      <c r="C2919" t="s">
        <v>2710</v>
      </c>
      <c r="D2919" t="s">
        <v>1850</v>
      </c>
      <c r="E2919" t="s">
        <v>1307</v>
      </c>
      <c r="F2919">
        <v>9200000</v>
      </c>
      <c r="G2919">
        <v>2013</v>
      </c>
      <c r="H2919">
        <v>7.7</v>
      </c>
    </row>
    <row r="2920" spans="1:8" x14ac:dyDescent="0.25">
      <c r="A2920">
        <v>87</v>
      </c>
      <c r="B2920">
        <v>8579684</v>
      </c>
      <c r="C2920" t="s">
        <v>1999</v>
      </c>
      <c r="D2920" t="s">
        <v>1</v>
      </c>
      <c r="E2920" t="s">
        <v>2</v>
      </c>
      <c r="F2920">
        <v>9000000</v>
      </c>
      <c r="G2920">
        <v>2007</v>
      </c>
      <c r="H2920">
        <v>7.4</v>
      </c>
    </row>
    <row r="2921" spans="1:8" x14ac:dyDescent="0.25">
      <c r="A2921">
        <v>75</v>
      </c>
      <c r="B2921">
        <v>23078294</v>
      </c>
      <c r="C2921" t="s">
        <v>2085</v>
      </c>
      <c r="D2921" t="s">
        <v>1</v>
      </c>
      <c r="E2921" t="s">
        <v>2</v>
      </c>
      <c r="F2921">
        <v>9000000</v>
      </c>
      <c r="G2921">
        <v>2006</v>
      </c>
      <c r="H2921">
        <v>5.0999999999999996</v>
      </c>
    </row>
    <row r="2922" spans="1:8" x14ac:dyDescent="0.25">
      <c r="A2922">
        <v>87</v>
      </c>
      <c r="B2922">
        <v>8579684</v>
      </c>
      <c r="C2922" t="s">
        <v>1999</v>
      </c>
      <c r="D2922" t="s">
        <v>1</v>
      </c>
      <c r="E2922" t="s">
        <v>2</v>
      </c>
      <c r="F2922">
        <v>9000000</v>
      </c>
      <c r="G2922">
        <v>2007</v>
      </c>
      <c r="H2922">
        <v>7.4</v>
      </c>
    </row>
    <row r="2923" spans="1:8" x14ac:dyDescent="0.25">
      <c r="A2923">
        <v>118</v>
      </c>
      <c r="B2923">
        <v>18761993</v>
      </c>
      <c r="C2923" t="s">
        <v>2682</v>
      </c>
      <c r="D2923" t="s">
        <v>1</v>
      </c>
      <c r="E2923" t="s">
        <v>2</v>
      </c>
      <c r="F2923">
        <v>9000000</v>
      </c>
      <c r="G2923">
        <v>2005</v>
      </c>
      <c r="H2923">
        <v>6.9</v>
      </c>
    </row>
    <row r="2924" spans="1:8" x14ac:dyDescent="0.25">
      <c r="A2924">
        <v>90</v>
      </c>
      <c r="B2924">
        <v>31487293</v>
      </c>
      <c r="C2924" t="s">
        <v>2806</v>
      </c>
      <c r="D2924" t="s">
        <v>1</v>
      </c>
      <c r="E2924" t="s">
        <v>2</v>
      </c>
      <c r="F2924">
        <v>9000000</v>
      </c>
      <c r="G2924">
        <v>2008</v>
      </c>
      <c r="H2924">
        <v>6.7</v>
      </c>
    </row>
    <row r="2925" spans="1:8" x14ac:dyDescent="0.25">
      <c r="A2925">
        <v>93</v>
      </c>
      <c r="B2925">
        <v>17096053</v>
      </c>
      <c r="C2925" t="s">
        <v>2822</v>
      </c>
      <c r="D2925" t="s">
        <v>1</v>
      </c>
      <c r="E2925" t="s">
        <v>2</v>
      </c>
      <c r="F2925">
        <v>9000000</v>
      </c>
      <c r="G2925">
        <v>1998</v>
      </c>
      <c r="H2925">
        <v>7.7</v>
      </c>
    </row>
    <row r="2926" spans="1:8" x14ac:dyDescent="0.25">
      <c r="A2926">
        <v>121</v>
      </c>
      <c r="B2926">
        <v>21569041</v>
      </c>
      <c r="C2926" t="s">
        <v>2859</v>
      </c>
      <c r="D2926" t="s">
        <v>1</v>
      </c>
      <c r="E2926" t="s">
        <v>2</v>
      </c>
      <c r="F2926">
        <v>9000000</v>
      </c>
      <c r="G2926">
        <v>2014</v>
      </c>
      <c r="H2926">
        <v>6.6</v>
      </c>
    </row>
    <row r="2927" spans="1:8" x14ac:dyDescent="0.25">
      <c r="A2927">
        <v>89</v>
      </c>
      <c r="B2927">
        <v>3193102</v>
      </c>
      <c r="C2927" t="s">
        <v>2866</v>
      </c>
      <c r="D2927" t="s">
        <v>1</v>
      </c>
      <c r="E2927" t="s">
        <v>2</v>
      </c>
      <c r="F2927">
        <v>9000000</v>
      </c>
      <c r="G2927">
        <v>1999</v>
      </c>
      <c r="H2927">
        <v>7.1</v>
      </c>
    </row>
    <row r="2928" spans="1:8" x14ac:dyDescent="0.25">
      <c r="A2928">
        <v>181</v>
      </c>
      <c r="B2928">
        <v>50000000</v>
      </c>
      <c r="C2928" t="s">
        <v>2919</v>
      </c>
      <c r="D2928" t="s">
        <v>1</v>
      </c>
      <c r="E2928" t="s">
        <v>2</v>
      </c>
      <c r="F2928">
        <v>9000000</v>
      </c>
      <c r="G2928">
        <v>1971</v>
      </c>
      <c r="H2928">
        <v>8</v>
      </c>
    </row>
    <row r="2929" spans="1:8" x14ac:dyDescent="0.25">
      <c r="A2929">
        <v>130</v>
      </c>
      <c r="B2929">
        <v>63600000</v>
      </c>
      <c r="C2929" t="s">
        <v>2920</v>
      </c>
      <c r="D2929" t="s">
        <v>1</v>
      </c>
      <c r="E2929" t="s">
        <v>5</v>
      </c>
      <c r="F2929">
        <v>9000000</v>
      </c>
      <c r="G2929">
        <v>1965</v>
      </c>
      <c r="H2929">
        <v>7</v>
      </c>
    </row>
    <row r="2930" spans="1:8" x14ac:dyDescent="0.25">
      <c r="A2930">
        <v>123</v>
      </c>
      <c r="B2930">
        <v>36049108</v>
      </c>
      <c r="C2930" t="s">
        <v>2921</v>
      </c>
      <c r="D2930" t="s">
        <v>1</v>
      </c>
      <c r="E2930" t="s">
        <v>2</v>
      </c>
      <c r="F2930">
        <v>9000000</v>
      </c>
      <c r="G2930">
        <v>1996</v>
      </c>
      <c r="H2930">
        <v>6.8</v>
      </c>
    </row>
    <row r="2931" spans="1:8" x14ac:dyDescent="0.25">
      <c r="A2931">
        <v>120</v>
      </c>
      <c r="B2931">
        <v>34074895</v>
      </c>
      <c r="C2931" t="s">
        <v>2922</v>
      </c>
      <c r="D2931" t="s">
        <v>1</v>
      </c>
      <c r="E2931" t="s">
        <v>2</v>
      </c>
      <c r="F2931">
        <v>9000000</v>
      </c>
      <c r="G2931">
        <v>1999</v>
      </c>
      <c r="H2931">
        <v>6.7</v>
      </c>
    </row>
    <row r="2932" spans="1:8" x14ac:dyDescent="0.25">
      <c r="A2932">
        <v>87</v>
      </c>
      <c r="B2932">
        <v>33244684</v>
      </c>
      <c r="C2932" t="s">
        <v>2923</v>
      </c>
      <c r="D2932" t="s">
        <v>1</v>
      </c>
      <c r="E2932" t="s">
        <v>2</v>
      </c>
      <c r="F2932">
        <v>9000000</v>
      </c>
      <c r="G2932">
        <v>1988</v>
      </c>
      <c r="H2932">
        <v>6.5</v>
      </c>
    </row>
    <row r="2933" spans="1:8" x14ac:dyDescent="0.25">
      <c r="A2933">
        <v>123</v>
      </c>
      <c r="B2933">
        <v>24530513</v>
      </c>
      <c r="C2933" t="s">
        <v>2924</v>
      </c>
      <c r="D2933" t="s">
        <v>1</v>
      </c>
      <c r="E2933" t="s">
        <v>2</v>
      </c>
      <c r="F2933">
        <v>9000000</v>
      </c>
      <c r="G2933">
        <v>2007</v>
      </c>
      <c r="H2933">
        <v>8</v>
      </c>
    </row>
    <row r="2934" spans="1:8" x14ac:dyDescent="0.25">
      <c r="A2934">
        <v>103</v>
      </c>
      <c r="B2934">
        <v>71519230</v>
      </c>
      <c r="C2934" t="s">
        <v>2925</v>
      </c>
      <c r="D2934" t="s">
        <v>1</v>
      </c>
      <c r="E2934" t="s">
        <v>2</v>
      </c>
      <c r="F2934">
        <v>9000000</v>
      </c>
      <c r="G2934">
        <v>2014</v>
      </c>
      <c r="H2934">
        <v>6.5</v>
      </c>
    </row>
    <row r="2935" spans="1:8" x14ac:dyDescent="0.25">
      <c r="A2935">
        <v>91</v>
      </c>
      <c r="B2935">
        <v>20035310</v>
      </c>
      <c r="C2935" t="s">
        <v>2926</v>
      </c>
      <c r="D2935" t="s">
        <v>1</v>
      </c>
      <c r="E2935" t="s">
        <v>2</v>
      </c>
      <c r="F2935">
        <v>9000000</v>
      </c>
      <c r="G2935">
        <v>2000</v>
      </c>
      <c r="H2935">
        <v>4.9000000000000004</v>
      </c>
    </row>
    <row r="2936" spans="1:8" x14ac:dyDescent="0.25">
      <c r="A2936">
        <v>88</v>
      </c>
      <c r="B2936">
        <v>18225165</v>
      </c>
      <c r="C2936" t="s">
        <v>2927</v>
      </c>
      <c r="D2936" t="s">
        <v>1</v>
      </c>
      <c r="E2936" t="s">
        <v>2</v>
      </c>
      <c r="F2936">
        <v>9000000</v>
      </c>
      <c r="G2936">
        <v>2004</v>
      </c>
      <c r="H2936">
        <v>7.1</v>
      </c>
    </row>
    <row r="2937" spans="1:8" x14ac:dyDescent="0.25">
      <c r="A2937">
        <v>94</v>
      </c>
      <c r="B2937">
        <v>16235293</v>
      </c>
      <c r="C2937" t="s">
        <v>2930</v>
      </c>
      <c r="D2937" t="s">
        <v>1</v>
      </c>
      <c r="E2937" t="s">
        <v>2</v>
      </c>
      <c r="F2937">
        <v>9000000</v>
      </c>
      <c r="G2937">
        <v>2006</v>
      </c>
      <c r="H2937">
        <v>4.5</v>
      </c>
    </row>
    <row r="2938" spans="1:8" x14ac:dyDescent="0.25">
      <c r="A2938">
        <v>137</v>
      </c>
      <c r="B2938">
        <v>10161099</v>
      </c>
      <c r="C2938" t="s">
        <v>2931</v>
      </c>
      <c r="D2938" t="s">
        <v>1</v>
      </c>
      <c r="E2938" t="s">
        <v>5</v>
      </c>
      <c r="F2938">
        <v>9000000</v>
      </c>
      <c r="G2938">
        <v>1989</v>
      </c>
      <c r="H2938">
        <v>7.7</v>
      </c>
    </row>
    <row r="2939" spans="1:8" x14ac:dyDescent="0.25">
      <c r="A2939">
        <v>99</v>
      </c>
      <c r="B2939">
        <v>4681503</v>
      </c>
      <c r="C2939" t="s">
        <v>2933</v>
      </c>
      <c r="D2939" t="s">
        <v>1</v>
      </c>
      <c r="E2939" t="s">
        <v>2</v>
      </c>
      <c r="F2939">
        <v>9000000</v>
      </c>
      <c r="G2939">
        <v>2002</v>
      </c>
      <c r="H2939">
        <v>7</v>
      </c>
    </row>
    <row r="2940" spans="1:8" x14ac:dyDescent="0.25">
      <c r="A2940">
        <v>95</v>
      </c>
      <c r="B2940">
        <v>2955039</v>
      </c>
      <c r="C2940" t="s">
        <v>2935</v>
      </c>
      <c r="D2940" t="s">
        <v>1</v>
      </c>
      <c r="E2940" t="s">
        <v>2</v>
      </c>
      <c r="F2940">
        <v>9000000</v>
      </c>
      <c r="G2940">
        <v>2007</v>
      </c>
      <c r="H2940">
        <v>6.2</v>
      </c>
    </row>
    <row r="2941" spans="1:8" x14ac:dyDescent="0.25">
      <c r="A2941">
        <v>103</v>
      </c>
      <c r="B2941">
        <v>1530535</v>
      </c>
      <c r="C2941" t="s">
        <v>2936</v>
      </c>
      <c r="D2941" t="s">
        <v>1</v>
      </c>
      <c r="E2941" t="s">
        <v>2</v>
      </c>
      <c r="F2941">
        <v>9000000</v>
      </c>
      <c r="G2941">
        <v>2005</v>
      </c>
      <c r="H2941">
        <v>5.7</v>
      </c>
    </row>
    <row r="2942" spans="1:8" x14ac:dyDescent="0.25">
      <c r="A2942">
        <v>92</v>
      </c>
      <c r="B2942">
        <v>4881867</v>
      </c>
      <c r="C2942" t="s">
        <v>2937</v>
      </c>
      <c r="D2942" t="s">
        <v>1</v>
      </c>
      <c r="E2942" t="s">
        <v>2</v>
      </c>
      <c r="F2942">
        <v>9000000</v>
      </c>
      <c r="G2942">
        <v>2008</v>
      </c>
      <c r="H2942">
        <v>6.4</v>
      </c>
    </row>
    <row r="2943" spans="1:8" x14ac:dyDescent="0.25">
      <c r="A2943">
        <v>84</v>
      </c>
      <c r="B2943">
        <v>11860839</v>
      </c>
      <c r="C2943" t="s">
        <v>2938</v>
      </c>
      <c r="D2943" t="s">
        <v>1</v>
      </c>
      <c r="E2943" t="s">
        <v>2</v>
      </c>
      <c r="F2943">
        <v>9000000</v>
      </c>
      <c r="G2943">
        <v>2011</v>
      </c>
      <c r="H2943">
        <v>5.4</v>
      </c>
    </row>
    <row r="2944" spans="1:8" x14ac:dyDescent="0.25">
      <c r="A2944">
        <v>120</v>
      </c>
      <c r="B2944">
        <v>349618</v>
      </c>
      <c r="C2944" t="s">
        <v>2940</v>
      </c>
      <c r="D2944" t="s">
        <v>1</v>
      </c>
      <c r="E2944" t="s">
        <v>1307</v>
      </c>
      <c r="F2944">
        <v>9000000</v>
      </c>
      <c r="G2944">
        <v>1990</v>
      </c>
      <c r="H2944">
        <v>6.1</v>
      </c>
    </row>
    <row r="2945" spans="1:8" x14ac:dyDescent="0.25">
      <c r="A2945">
        <v>121</v>
      </c>
      <c r="B2945">
        <v>112935</v>
      </c>
      <c r="C2945" t="s">
        <v>2941</v>
      </c>
      <c r="D2945" t="s">
        <v>1</v>
      </c>
      <c r="E2945" t="s">
        <v>5</v>
      </c>
      <c r="F2945">
        <v>9000000</v>
      </c>
      <c r="G2945">
        <v>2002</v>
      </c>
      <c r="H2945">
        <v>7.6</v>
      </c>
    </row>
    <row r="2946" spans="1:8" x14ac:dyDescent="0.25">
      <c r="A2946">
        <v>97</v>
      </c>
      <c r="B2946">
        <v>883887</v>
      </c>
      <c r="C2946" t="s">
        <v>2942</v>
      </c>
      <c r="D2946" t="s">
        <v>1</v>
      </c>
      <c r="E2946" t="s">
        <v>2</v>
      </c>
      <c r="F2946">
        <v>9000000</v>
      </c>
      <c r="G2946">
        <v>2009</v>
      </c>
      <c r="H2946">
        <v>6.2</v>
      </c>
    </row>
    <row r="2947" spans="1:8" x14ac:dyDescent="0.25">
      <c r="A2947">
        <v>97</v>
      </c>
      <c r="B2947">
        <v>1046166</v>
      </c>
      <c r="C2947" t="s">
        <v>2946</v>
      </c>
      <c r="D2947" t="s">
        <v>1</v>
      </c>
      <c r="E2947" t="s">
        <v>119</v>
      </c>
      <c r="F2947">
        <v>9000000</v>
      </c>
      <c r="G2947">
        <v>2005</v>
      </c>
      <c r="H2947">
        <v>4.2</v>
      </c>
    </row>
    <row r="2948" spans="1:8" x14ac:dyDescent="0.25">
      <c r="A2948">
        <v>96</v>
      </c>
      <c r="B2948">
        <v>162</v>
      </c>
      <c r="C2948" t="s">
        <v>2949</v>
      </c>
      <c r="D2948" t="s">
        <v>1</v>
      </c>
      <c r="E2948" t="s">
        <v>2509</v>
      </c>
      <c r="F2948">
        <v>9000000</v>
      </c>
      <c r="G2948">
        <v>2014</v>
      </c>
      <c r="H2948">
        <v>5.7</v>
      </c>
    </row>
    <row r="2949" spans="1:8" x14ac:dyDescent="0.25">
      <c r="A2949">
        <v>106</v>
      </c>
      <c r="B2949">
        <v>6262942</v>
      </c>
      <c r="C2949" t="s">
        <v>2958</v>
      </c>
      <c r="D2949" t="s">
        <v>1</v>
      </c>
      <c r="E2949" t="s">
        <v>2</v>
      </c>
      <c r="F2949">
        <v>9000000</v>
      </c>
      <c r="G2949">
        <v>2013</v>
      </c>
      <c r="H2949">
        <v>6.9</v>
      </c>
    </row>
    <row r="2950" spans="1:8" x14ac:dyDescent="0.25">
      <c r="A2950">
        <v>119</v>
      </c>
      <c r="B2950">
        <v>25000000</v>
      </c>
      <c r="C2950" t="s">
        <v>3047</v>
      </c>
      <c r="D2950" t="s">
        <v>1</v>
      </c>
      <c r="E2950" t="s">
        <v>2</v>
      </c>
      <c r="F2950">
        <v>9000000</v>
      </c>
      <c r="G2950">
        <v>1976</v>
      </c>
      <c r="H2950">
        <v>6.8</v>
      </c>
    </row>
    <row r="2951" spans="1:8" x14ac:dyDescent="0.25">
      <c r="A2951">
        <v>107</v>
      </c>
      <c r="B2951">
        <v>1000000</v>
      </c>
      <c r="C2951" t="s">
        <v>3077</v>
      </c>
      <c r="D2951" t="s">
        <v>1</v>
      </c>
      <c r="E2951" t="s">
        <v>5</v>
      </c>
      <c r="F2951">
        <v>9000000</v>
      </c>
      <c r="G2951">
        <v>1977</v>
      </c>
      <c r="H2951">
        <v>6.3</v>
      </c>
    </row>
    <row r="2952" spans="1:8" x14ac:dyDescent="0.25">
      <c r="A2952">
        <v>99</v>
      </c>
      <c r="B2952">
        <v>11883495</v>
      </c>
      <c r="C2952" t="s">
        <v>3140</v>
      </c>
      <c r="D2952" t="s">
        <v>1</v>
      </c>
      <c r="E2952" t="s">
        <v>5</v>
      </c>
      <c r="F2952">
        <v>9000000</v>
      </c>
      <c r="G2952">
        <v>1998</v>
      </c>
      <c r="H2952">
        <v>6.8</v>
      </c>
    </row>
    <row r="2953" spans="1:8" x14ac:dyDescent="0.25">
      <c r="A2953">
        <v>96</v>
      </c>
      <c r="B2953">
        <v>27445</v>
      </c>
      <c r="C2953" t="s">
        <v>3192</v>
      </c>
      <c r="D2953" t="s">
        <v>1</v>
      </c>
      <c r="E2953" t="s">
        <v>2</v>
      </c>
      <c r="F2953">
        <v>9000000</v>
      </c>
      <c r="G2953">
        <v>2011</v>
      </c>
      <c r="H2953">
        <v>5.3</v>
      </c>
    </row>
    <row r="2954" spans="1:8" x14ac:dyDescent="0.25">
      <c r="A2954">
        <v>113</v>
      </c>
      <c r="B2954">
        <v>25530884</v>
      </c>
      <c r="C2954" t="s">
        <v>3213</v>
      </c>
      <c r="D2954" t="s">
        <v>1</v>
      </c>
      <c r="E2954" t="s">
        <v>2</v>
      </c>
      <c r="F2954">
        <v>9000000</v>
      </c>
      <c r="G2954">
        <v>2000</v>
      </c>
      <c r="H2954">
        <v>8.5</v>
      </c>
    </row>
    <row r="2955" spans="1:8" x14ac:dyDescent="0.25">
      <c r="A2955">
        <v>127</v>
      </c>
      <c r="B2955">
        <v>225377</v>
      </c>
      <c r="C2955" t="s">
        <v>2910</v>
      </c>
      <c r="D2955" t="s">
        <v>243</v>
      </c>
      <c r="E2955" t="s">
        <v>244</v>
      </c>
      <c r="F2955">
        <v>8900000</v>
      </c>
      <c r="G2955">
        <v>2012</v>
      </c>
      <c r="H2955">
        <v>7.9</v>
      </c>
    </row>
    <row r="2956" spans="1:8" x14ac:dyDescent="0.25">
      <c r="A2956">
        <v>93</v>
      </c>
      <c r="B2956">
        <v>174635000</v>
      </c>
      <c r="C2956" t="s">
        <v>2947</v>
      </c>
      <c r="D2956" t="s">
        <v>1</v>
      </c>
      <c r="E2956" t="s">
        <v>55</v>
      </c>
      <c r="F2956">
        <v>8800000</v>
      </c>
      <c r="G2956">
        <v>1986</v>
      </c>
      <c r="H2956">
        <v>6.5</v>
      </c>
    </row>
    <row r="2957" spans="1:8" x14ac:dyDescent="0.25">
      <c r="A2957">
        <v>100</v>
      </c>
      <c r="B2957">
        <v>5480996</v>
      </c>
      <c r="C2957" t="s">
        <v>2154</v>
      </c>
      <c r="D2957" t="s">
        <v>1</v>
      </c>
      <c r="E2957" t="s">
        <v>2</v>
      </c>
      <c r="F2957">
        <v>8700000</v>
      </c>
      <c r="G2957">
        <v>2006</v>
      </c>
      <c r="H2957">
        <v>7.1</v>
      </c>
    </row>
    <row r="2958" spans="1:8" x14ac:dyDescent="0.25">
      <c r="A2958">
        <v>84</v>
      </c>
      <c r="B2958">
        <v>14373825</v>
      </c>
      <c r="C2958" t="s">
        <v>2948</v>
      </c>
      <c r="D2958" t="s">
        <v>1</v>
      </c>
      <c r="E2958" t="s">
        <v>2</v>
      </c>
      <c r="F2958">
        <v>8600000</v>
      </c>
      <c r="G2958">
        <v>2007</v>
      </c>
      <c r="H2958">
        <v>6.5</v>
      </c>
    </row>
    <row r="2959" spans="1:8" x14ac:dyDescent="0.25">
      <c r="A2959">
        <v>119</v>
      </c>
      <c r="B2959">
        <v>4992159</v>
      </c>
      <c r="C2959" t="s">
        <v>2964</v>
      </c>
      <c r="D2959" t="s">
        <v>1</v>
      </c>
      <c r="E2959" t="s">
        <v>2</v>
      </c>
      <c r="F2959">
        <v>8550000</v>
      </c>
      <c r="G2959">
        <v>2004</v>
      </c>
      <c r="H2959">
        <v>5.6</v>
      </c>
    </row>
    <row r="2960" spans="1:8" x14ac:dyDescent="0.25">
      <c r="A2960">
        <v>93</v>
      </c>
      <c r="B2960">
        <v>15171475</v>
      </c>
      <c r="C2960" t="s">
        <v>2543</v>
      </c>
      <c r="D2960" t="s">
        <v>1</v>
      </c>
      <c r="E2960" t="s">
        <v>2</v>
      </c>
      <c r="F2960">
        <v>8500000</v>
      </c>
      <c r="G2960">
        <v>1996</v>
      </c>
      <c r="H2960">
        <v>5.7</v>
      </c>
    </row>
    <row r="2961" spans="1:8" x14ac:dyDescent="0.25">
      <c r="A2961">
        <v>85</v>
      </c>
      <c r="B2961">
        <v>28563926</v>
      </c>
      <c r="C2961" t="s">
        <v>2812</v>
      </c>
      <c r="D2961" t="s">
        <v>1</v>
      </c>
      <c r="E2961" t="s">
        <v>2</v>
      </c>
      <c r="F2961">
        <v>8500000</v>
      </c>
      <c r="G2961">
        <v>2002</v>
      </c>
      <c r="H2961">
        <v>5</v>
      </c>
    </row>
    <row r="2962" spans="1:8" x14ac:dyDescent="0.25">
      <c r="A2962">
        <v>119</v>
      </c>
      <c r="B2962">
        <v>6047856</v>
      </c>
      <c r="C2962" t="s">
        <v>2932</v>
      </c>
      <c r="D2962" t="s">
        <v>1</v>
      </c>
      <c r="E2962" t="s">
        <v>2</v>
      </c>
      <c r="F2962">
        <v>8500000</v>
      </c>
      <c r="G2962">
        <v>2000</v>
      </c>
      <c r="H2962">
        <v>6.7</v>
      </c>
    </row>
    <row r="2963" spans="1:8" x14ac:dyDescent="0.25">
      <c r="A2963">
        <v>125</v>
      </c>
      <c r="B2963">
        <v>29200000</v>
      </c>
      <c r="C2963" t="s">
        <v>2951</v>
      </c>
      <c r="D2963" t="s">
        <v>1</v>
      </c>
      <c r="E2963" t="s">
        <v>2</v>
      </c>
      <c r="F2963">
        <v>8500000</v>
      </c>
      <c r="G2963">
        <v>1979</v>
      </c>
      <c r="H2963">
        <v>6.9</v>
      </c>
    </row>
    <row r="2964" spans="1:8" x14ac:dyDescent="0.25">
      <c r="A2964">
        <v>96</v>
      </c>
      <c r="B2964">
        <v>21564616</v>
      </c>
      <c r="C2964" t="s">
        <v>2952</v>
      </c>
      <c r="D2964" t="s">
        <v>1</v>
      </c>
      <c r="E2964" t="s">
        <v>2</v>
      </c>
      <c r="F2964">
        <v>8500000</v>
      </c>
      <c r="G2964">
        <v>2013</v>
      </c>
      <c r="H2964">
        <v>5</v>
      </c>
    </row>
    <row r="2965" spans="1:8" x14ac:dyDescent="0.25">
      <c r="A2965">
        <v>101</v>
      </c>
      <c r="B2965">
        <v>34017854</v>
      </c>
      <c r="C2965" t="s">
        <v>2954</v>
      </c>
      <c r="D2965" t="s">
        <v>1</v>
      </c>
      <c r="E2965" t="s">
        <v>2</v>
      </c>
      <c r="F2965">
        <v>8500000</v>
      </c>
      <c r="G2965">
        <v>2015</v>
      </c>
      <c r="H2965">
        <v>6.5</v>
      </c>
    </row>
    <row r="2966" spans="1:8" x14ac:dyDescent="0.25">
      <c r="A2966">
        <v>119</v>
      </c>
      <c r="B2966">
        <v>4440055</v>
      </c>
      <c r="C2966" t="s">
        <v>2956</v>
      </c>
      <c r="D2966" t="s">
        <v>1</v>
      </c>
      <c r="E2966" t="s">
        <v>5</v>
      </c>
      <c r="F2966">
        <v>8500000</v>
      </c>
      <c r="G2966">
        <v>2009</v>
      </c>
      <c r="H2966">
        <v>7</v>
      </c>
    </row>
    <row r="2967" spans="1:8" x14ac:dyDescent="0.25">
      <c r="A2967">
        <v>150</v>
      </c>
      <c r="B2967">
        <v>140244</v>
      </c>
      <c r="C2967" t="s">
        <v>2960</v>
      </c>
      <c r="D2967" t="s">
        <v>1</v>
      </c>
      <c r="E2967" t="s">
        <v>2</v>
      </c>
      <c r="F2967">
        <v>8500000</v>
      </c>
      <c r="G2967">
        <v>2008</v>
      </c>
      <c r="H2967">
        <v>6.7</v>
      </c>
    </row>
    <row r="2968" spans="1:8" x14ac:dyDescent="0.25">
      <c r="A2968">
        <v>117</v>
      </c>
      <c r="B2968">
        <v>32279955</v>
      </c>
      <c r="C2968" t="s">
        <v>2963</v>
      </c>
      <c r="D2968" t="s">
        <v>1</v>
      </c>
      <c r="E2968" t="s">
        <v>2</v>
      </c>
      <c r="F2968">
        <v>8500000</v>
      </c>
      <c r="G2968">
        <v>2014</v>
      </c>
      <c r="H2968">
        <v>7.9</v>
      </c>
    </row>
    <row r="2969" spans="1:8" x14ac:dyDescent="0.25">
      <c r="A2969">
        <v>93</v>
      </c>
      <c r="B2969">
        <v>34872293</v>
      </c>
      <c r="C2969" t="s">
        <v>3208</v>
      </c>
      <c r="D2969" t="s">
        <v>1</v>
      </c>
      <c r="E2969" t="s">
        <v>2</v>
      </c>
      <c r="F2969">
        <v>8500000</v>
      </c>
      <c r="G2969">
        <v>1991</v>
      </c>
      <c r="H2969">
        <v>4.9000000000000004</v>
      </c>
    </row>
    <row r="2970" spans="1:8" x14ac:dyDescent="0.25">
      <c r="A2970">
        <v>95</v>
      </c>
      <c r="B2970">
        <v>131175</v>
      </c>
      <c r="C2970" t="s">
        <v>3310</v>
      </c>
      <c r="D2970" t="s">
        <v>1</v>
      </c>
      <c r="E2970" t="s">
        <v>2</v>
      </c>
      <c r="F2970">
        <v>8500000</v>
      </c>
      <c r="G2970">
        <v>2015</v>
      </c>
      <c r="H2970">
        <v>5.6</v>
      </c>
    </row>
    <row r="2971" spans="1:8" x14ac:dyDescent="0.25">
      <c r="A2971">
        <v>91</v>
      </c>
      <c r="B2971">
        <v>1712111</v>
      </c>
      <c r="C2971" t="s">
        <v>2623</v>
      </c>
      <c r="D2971" t="s">
        <v>1</v>
      </c>
      <c r="E2971" t="s">
        <v>2</v>
      </c>
      <c r="F2971">
        <v>8495000</v>
      </c>
      <c r="G2971">
        <v>2015</v>
      </c>
      <c r="H2971">
        <v>4.5</v>
      </c>
    </row>
    <row r="2972" spans="1:8" x14ac:dyDescent="0.25">
      <c r="A2972">
        <v>103</v>
      </c>
      <c r="B2972">
        <v>5725</v>
      </c>
      <c r="C2972" t="s">
        <v>3468</v>
      </c>
      <c r="D2972" t="s">
        <v>1644</v>
      </c>
      <c r="E2972" t="s">
        <v>119</v>
      </c>
      <c r="F2972">
        <v>8400000</v>
      </c>
      <c r="G2972">
        <v>2000</v>
      </c>
      <c r="H2972">
        <v>6.1</v>
      </c>
    </row>
    <row r="2973" spans="1:8" x14ac:dyDescent="0.25">
      <c r="A2973">
        <v>107</v>
      </c>
      <c r="B2973">
        <v>80000000</v>
      </c>
      <c r="C2973" t="s">
        <v>1903</v>
      </c>
      <c r="D2973" t="s">
        <v>1</v>
      </c>
      <c r="E2973" t="s">
        <v>2</v>
      </c>
      <c r="F2973">
        <v>8200000</v>
      </c>
      <c r="G2973">
        <v>1984</v>
      </c>
      <c r="H2973">
        <v>6.5</v>
      </c>
    </row>
    <row r="2974" spans="1:8" x14ac:dyDescent="0.25">
      <c r="A2974">
        <v>150</v>
      </c>
      <c r="B2974">
        <v>3958500</v>
      </c>
      <c r="C2974" t="s">
        <v>2557</v>
      </c>
      <c r="D2974" t="s">
        <v>1</v>
      </c>
      <c r="E2974" t="s">
        <v>5</v>
      </c>
      <c r="F2974">
        <v>8200000</v>
      </c>
      <c r="G2974">
        <v>2014</v>
      </c>
      <c r="H2974">
        <v>6.8</v>
      </c>
    </row>
    <row r="2975" spans="1:8" x14ac:dyDescent="0.25">
      <c r="A2975">
        <v>84</v>
      </c>
      <c r="B2975">
        <v>27979400</v>
      </c>
      <c r="C2975" t="s">
        <v>2585</v>
      </c>
      <c r="D2975" t="s">
        <v>1</v>
      </c>
      <c r="E2975" t="s">
        <v>2</v>
      </c>
      <c r="F2975">
        <v>8200000</v>
      </c>
      <c r="G2975">
        <v>1993</v>
      </c>
      <c r="H2975">
        <v>6.1</v>
      </c>
    </row>
    <row r="2976" spans="1:8" x14ac:dyDescent="0.25">
      <c r="A2976">
        <v>107</v>
      </c>
      <c r="B2976">
        <v>80000000</v>
      </c>
      <c r="C2976" t="s">
        <v>1903</v>
      </c>
      <c r="D2976" t="s">
        <v>1</v>
      </c>
      <c r="E2976" t="s">
        <v>2</v>
      </c>
      <c r="F2976">
        <v>8200000</v>
      </c>
      <c r="G2976">
        <v>1984</v>
      </c>
      <c r="H2976">
        <v>6.5</v>
      </c>
    </row>
    <row r="2977" spans="1:8" x14ac:dyDescent="0.25">
      <c r="A2977">
        <v>174</v>
      </c>
      <c r="B2977">
        <v>163214286</v>
      </c>
      <c r="C2977" t="s">
        <v>2965</v>
      </c>
      <c r="D2977" t="s">
        <v>1</v>
      </c>
      <c r="E2977" t="s">
        <v>2</v>
      </c>
      <c r="F2977">
        <v>8200000</v>
      </c>
      <c r="G2977">
        <v>1965</v>
      </c>
      <c r="H2977">
        <v>8</v>
      </c>
    </row>
    <row r="2978" spans="1:8" x14ac:dyDescent="0.25">
      <c r="A2978">
        <v>126</v>
      </c>
      <c r="B2978">
        <v>90800000</v>
      </c>
      <c r="C2978" t="s">
        <v>1135</v>
      </c>
      <c r="D2978" t="s">
        <v>1</v>
      </c>
      <c r="E2978" t="s">
        <v>2</v>
      </c>
      <c r="F2978">
        <v>8000000</v>
      </c>
      <c r="G2978">
        <v>1984</v>
      </c>
      <c r="H2978">
        <v>7.2</v>
      </c>
    </row>
    <row r="2979" spans="1:8" x14ac:dyDescent="0.25">
      <c r="A2979">
        <v>93</v>
      </c>
      <c r="B2979">
        <v>17427926</v>
      </c>
      <c r="C2979" t="s">
        <v>1852</v>
      </c>
      <c r="D2979" t="s">
        <v>1</v>
      </c>
      <c r="E2979" t="s">
        <v>2</v>
      </c>
      <c r="F2979">
        <v>8000000</v>
      </c>
      <c r="G2979">
        <v>2008</v>
      </c>
      <c r="H2979">
        <v>5.9</v>
      </c>
    </row>
    <row r="2980" spans="1:8" x14ac:dyDescent="0.25">
      <c r="A2980">
        <v>121</v>
      </c>
      <c r="B2980">
        <v>23618786</v>
      </c>
      <c r="C2980" t="s">
        <v>2350</v>
      </c>
      <c r="D2980" t="s">
        <v>1</v>
      </c>
      <c r="E2980" t="s">
        <v>5</v>
      </c>
      <c r="F2980">
        <v>8000000</v>
      </c>
      <c r="G2980">
        <v>2007</v>
      </c>
      <c r="H2980">
        <v>7.9</v>
      </c>
    </row>
    <row r="2981" spans="1:8" x14ac:dyDescent="0.25">
      <c r="A2981">
        <v>132</v>
      </c>
      <c r="B2981">
        <v>204565000</v>
      </c>
      <c r="C2981" t="s">
        <v>2648</v>
      </c>
      <c r="D2981" t="s">
        <v>1</v>
      </c>
      <c r="E2981" t="s">
        <v>2</v>
      </c>
      <c r="F2981">
        <v>8000000</v>
      </c>
      <c r="G2981">
        <v>1973</v>
      </c>
      <c r="H2981">
        <v>8</v>
      </c>
    </row>
    <row r="2982" spans="1:8" x14ac:dyDescent="0.25">
      <c r="A2982">
        <v>130</v>
      </c>
      <c r="B2982">
        <v>260000000</v>
      </c>
      <c r="C2982" t="s">
        <v>2649</v>
      </c>
      <c r="D2982" t="s">
        <v>1</v>
      </c>
      <c r="E2982" t="s">
        <v>2</v>
      </c>
      <c r="F2982">
        <v>8000000</v>
      </c>
      <c r="G2982">
        <v>1975</v>
      </c>
      <c r="H2982">
        <v>8</v>
      </c>
    </row>
    <row r="2983" spans="1:8" x14ac:dyDescent="0.25">
      <c r="A2983">
        <v>95</v>
      </c>
      <c r="B2983">
        <v>6739141</v>
      </c>
      <c r="C2983" t="s">
        <v>2699</v>
      </c>
      <c r="D2983" t="s">
        <v>1</v>
      </c>
      <c r="E2983" t="s">
        <v>55</v>
      </c>
      <c r="F2983">
        <v>8000000</v>
      </c>
      <c r="G2983">
        <v>1992</v>
      </c>
      <c r="H2983">
        <v>5.9</v>
      </c>
    </row>
    <row r="2984" spans="1:8" x14ac:dyDescent="0.25">
      <c r="A2984">
        <v>90</v>
      </c>
      <c r="B2984">
        <v>303439</v>
      </c>
      <c r="C2984" t="s">
        <v>2720</v>
      </c>
      <c r="D2984" t="s">
        <v>1</v>
      </c>
      <c r="E2984" t="s">
        <v>2</v>
      </c>
      <c r="F2984">
        <v>8000000</v>
      </c>
      <c r="G2984">
        <v>2007</v>
      </c>
      <c r="H2984">
        <v>6.4</v>
      </c>
    </row>
    <row r="2985" spans="1:8" x14ac:dyDescent="0.25">
      <c r="A2985">
        <v>98</v>
      </c>
      <c r="B2985">
        <v>1641788</v>
      </c>
      <c r="C2985" t="s">
        <v>2877</v>
      </c>
      <c r="D2985" t="s">
        <v>1</v>
      </c>
      <c r="E2985" t="s">
        <v>38</v>
      </c>
      <c r="F2985">
        <v>8000000</v>
      </c>
      <c r="G2985">
        <v>2002</v>
      </c>
      <c r="H2985">
        <v>6.8</v>
      </c>
    </row>
    <row r="2986" spans="1:8" x14ac:dyDescent="0.25">
      <c r="A2986">
        <v>90</v>
      </c>
      <c r="B2986">
        <v>100503</v>
      </c>
      <c r="C2986" t="s">
        <v>2900</v>
      </c>
      <c r="D2986" t="s">
        <v>1</v>
      </c>
      <c r="E2986" t="s">
        <v>2</v>
      </c>
      <c r="F2986">
        <v>8000000</v>
      </c>
      <c r="G2986">
        <v>2009</v>
      </c>
      <c r="H2986">
        <v>5.9</v>
      </c>
    </row>
    <row r="2987" spans="1:8" x14ac:dyDescent="0.25">
      <c r="A2987">
        <v>120</v>
      </c>
      <c r="B2987">
        <v>16938179</v>
      </c>
      <c r="C2987" t="s">
        <v>2929</v>
      </c>
      <c r="D2987" t="s">
        <v>1</v>
      </c>
      <c r="E2987" t="s">
        <v>2</v>
      </c>
      <c r="F2987">
        <v>8000000</v>
      </c>
      <c r="G2987">
        <v>2000</v>
      </c>
      <c r="H2987">
        <v>7</v>
      </c>
    </row>
    <row r="2988" spans="1:8" x14ac:dyDescent="0.25">
      <c r="A2988">
        <v>79</v>
      </c>
      <c r="B2988">
        <v>4350774</v>
      </c>
      <c r="C2988" t="s">
        <v>2934</v>
      </c>
      <c r="D2988" t="s">
        <v>1</v>
      </c>
      <c r="E2988" t="s">
        <v>2</v>
      </c>
      <c r="F2988">
        <v>8000000</v>
      </c>
      <c r="G2988">
        <v>1994</v>
      </c>
      <c r="H2988">
        <v>6.5</v>
      </c>
    </row>
    <row r="2989" spans="1:8" x14ac:dyDescent="0.25">
      <c r="A2989">
        <v>103</v>
      </c>
      <c r="B2989">
        <v>14879556</v>
      </c>
      <c r="C2989" t="s">
        <v>2953</v>
      </c>
      <c r="D2989" t="s">
        <v>1</v>
      </c>
      <c r="E2989" t="s">
        <v>2</v>
      </c>
      <c r="F2989">
        <v>8000000</v>
      </c>
      <c r="G2989">
        <v>1999</v>
      </c>
      <c r="H2989">
        <v>7.3</v>
      </c>
    </row>
    <row r="2990" spans="1:8" x14ac:dyDescent="0.25">
      <c r="A2990">
        <v>126</v>
      </c>
      <c r="B2990">
        <v>1997807</v>
      </c>
      <c r="C2990" t="s">
        <v>2959</v>
      </c>
      <c r="D2990" t="s">
        <v>1</v>
      </c>
      <c r="E2990" t="s">
        <v>2</v>
      </c>
      <c r="F2990">
        <v>8000000</v>
      </c>
      <c r="G2990">
        <v>1999</v>
      </c>
      <c r="H2990">
        <v>7.1</v>
      </c>
    </row>
    <row r="2991" spans="1:8" x14ac:dyDescent="0.25">
      <c r="A2991">
        <v>126</v>
      </c>
      <c r="B2991">
        <v>90800000</v>
      </c>
      <c r="C2991" t="s">
        <v>1135</v>
      </c>
      <c r="D2991" t="s">
        <v>1</v>
      </c>
      <c r="E2991" t="s">
        <v>2</v>
      </c>
      <c r="F2991">
        <v>8000000</v>
      </c>
      <c r="G2991">
        <v>1984</v>
      </c>
      <c r="H2991">
        <v>7.2</v>
      </c>
    </row>
    <row r="2992" spans="1:8" x14ac:dyDescent="0.25">
      <c r="A2992">
        <v>178</v>
      </c>
      <c r="B2992">
        <v>107930000</v>
      </c>
      <c r="C2992" t="s">
        <v>2962</v>
      </c>
      <c r="D2992" t="s">
        <v>1</v>
      </c>
      <c r="E2992" t="s">
        <v>2</v>
      </c>
      <c r="F2992">
        <v>8000000</v>
      </c>
      <c r="G2992">
        <v>1994</v>
      </c>
      <c r="H2992">
        <v>8.9</v>
      </c>
    </row>
    <row r="2993" spans="1:8" x14ac:dyDescent="0.25">
      <c r="A2993">
        <v>111</v>
      </c>
      <c r="B2993">
        <v>69800000</v>
      </c>
      <c r="C2993" t="s">
        <v>2966</v>
      </c>
      <c r="D2993" t="s">
        <v>1</v>
      </c>
      <c r="E2993" t="s">
        <v>2</v>
      </c>
      <c r="F2993">
        <v>8000000</v>
      </c>
      <c r="G2993">
        <v>1984</v>
      </c>
      <c r="H2993">
        <v>6.2</v>
      </c>
    </row>
    <row r="2994" spans="1:8" x14ac:dyDescent="0.25">
      <c r="A2994">
        <v>101</v>
      </c>
      <c r="B2994">
        <v>59889948</v>
      </c>
      <c r="C2994" t="s">
        <v>2967</v>
      </c>
      <c r="D2994" t="s">
        <v>1</v>
      </c>
      <c r="E2994" t="s">
        <v>2</v>
      </c>
      <c r="F2994">
        <v>8000000</v>
      </c>
      <c r="G2994">
        <v>2006</v>
      </c>
      <c r="H2994">
        <v>7.9</v>
      </c>
    </row>
    <row r="2995" spans="1:8" x14ac:dyDescent="0.25">
      <c r="A2995">
        <v>89</v>
      </c>
      <c r="B2995">
        <v>52287414</v>
      </c>
      <c r="C2995" t="s">
        <v>2968</v>
      </c>
      <c r="D2995" t="s">
        <v>1</v>
      </c>
      <c r="E2995" t="s">
        <v>2</v>
      </c>
      <c r="F2995">
        <v>8000000</v>
      </c>
      <c r="G2995">
        <v>1986</v>
      </c>
      <c r="H2995">
        <v>8.1</v>
      </c>
    </row>
    <row r="2996" spans="1:8" x14ac:dyDescent="0.25">
      <c r="A2996">
        <v>113</v>
      </c>
      <c r="B2996">
        <v>45063889</v>
      </c>
      <c r="C2996" t="s">
        <v>2969</v>
      </c>
      <c r="D2996" t="s">
        <v>1</v>
      </c>
      <c r="E2996" t="s">
        <v>5</v>
      </c>
      <c r="F2996">
        <v>8000000</v>
      </c>
      <c r="G2996">
        <v>2002</v>
      </c>
      <c r="H2996">
        <v>7.6</v>
      </c>
    </row>
    <row r="2997" spans="1:8" x14ac:dyDescent="0.25">
      <c r="A2997">
        <v>95</v>
      </c>
      <c r="B2997">
        <v>40066497</v>
      </c>
      <c r="C2997" t="s">
        <v>2970</v>
      </c>
      <c r="D2997" t="s">
        <v>1</v>
      </c>
      <c r="E2997" t="s">
        <v>2</v>
      </c>
      <c r="F2997">
        <v>8000000</v>
      </c>
      <c r="G2997">
        <v>2004</v>
      </c>
      <c r="H2997">
        <v>3.5</v>
      </c>
    </row>
    <row r="2998" spans="1:8" x14ac:dyDescent="0.25">
      <c r="A2998">
        <v>112</v>
      </c>
      <c r="B2998">
        <v>36500000</v>
      </c>
      <c r="C2998" t="s">
        <v>2971</v>
      </c>
      <c r="D2998" t="s">
        <v>1</v>
      </c>
      <c r="E2998" t="s">
        <v>2</v>
      </c>
      <c r="F2998">
        <v>8000000</v>
      </c>
      <c r="G2998">
        <v>1979</v>
      </c>
      <c r="H2998">
        <v>7.6</v>
      </c>
    </row>
    <row r="2999" spans="1:8" x14ac:dyDescent="0.25">
      <c r="A2999">
        <v>109</v>
      </c>
      <c r="B2999">
        <v>27362712</v>
      </c>
      <c r="C2999" t="s">
        <v>2972</v>
      </c>
      <c r="D2999" t="s">
        <v>1</v>
      </c>
      <c r="E2999" t="s">
        <v>2</v>
      </c>
      <c r="F2999">
        <v>8000000</v>
      </c>
      <c r="G2999">
        <v>2002</v>
      </c>
      <c r="H2999">
        <v>6.5</v>
      </c>
    </row>
    <row r="3000" spans="1:8" x14ac:dyDescent="0.25">
      <c r="A3000">
        <v>108</v>
      </c>
      <c r="B3000">
        <v>34746109</v>
      </c>
      <c r="C3000" t="s">
        <v>2973</v>
      </c>
      <c r="D3000" t="s">
        <v>1</v>
      </c>
      <c r="E3000" t="s">
        <v>2</v>
      </c>
      <c r="F3000">
        <v>8000000</v>
      </c>
      <c r="G3000">
        <v>1996</v>
      </c>
      <c r="H3000">
        <v>5.6</v>
      </c>
    </row>
    <row r="3001" spans="1:8" x14ac:dyDescent="0.25">
      <c r="A3001">
        <v>100</v>
      </c>
      <c r="B3001">
        <v>34963967</v>
      </c>
      <c r="C3001" t="s">
        <v>2974</v>
      </c>
      <c r="D3001" t="s">
        <v>1</v>
      </c>
      <c r="E3001" t="s">
        <v>2</v>
      </c>
      <c r="F3001">
        <v>8000000</v>
      </c>
      <c r="G3001">
        <v>2011</v>
      </c>
      <c r="H3001">
        <v>7.7</v>
      </c>
    </row>
    <row r="3002" spans="1:8" x14ac:dyDescent="0.25">
      <c r="A3002">
        <v>90</v>
      </c>
      <c r="B3002">
        <v>25926543</v>
      </c>
      <c r="C3002" t="s">
        <v>2975</v>
      </c>
      <c r="D3002" t="s">
        <v>1</v>
      </c>
      <c r="E3002" t="s">
        <v>2</v>
      </c>
      <c r="F3002">
        <v>8000000</v>
      </c>
      <c r="G3002">
        <v>2008</v>
      </c>
      <c r="H3002">
        <v>5.2</v>
      </c>
    </row>
    <row r="3003" spans="1:8" x14ac:dyDescent="0.25">
      <c r="A3003">
        <v>94</v>
      </c>
      <c r="B3003">
        <v>26049082</v>
      </c>
      <c r="C3003" t="s">
        <v>2976</v>
      </c>
      <c r="D3003" t="s">
        <v>1</v>
      </c>
      <c r="E3003" t="s">
        <v>2</v>
      </c>
      <c r="F3003">
        <v>8000000</v>
      </c>
      <c r="G3003">
        <v>2014</v>
      </c>
      <c r="H3003">
        <v>6.1</v>
      </c>
    </row>
    <row r="3004" spans="1:8" x14ac:dyDescent="0.25">
      <c r="A3004">
        <v>111</v>
      </c>
      <c r="B3004">
        <v>22551000</v>
      </c>
      <c r="C3004" t="s">
        <v>2977</v>
      </c>
      <c r="D3004" t="s">
        <v>1</v>
      </c>
      <c r="E3004" t="s">
        <v>5</v>
      </c>
      <c r="F3004">
        <v>8000000</v>
      </c>
      <c r="G3004">
        <v>1993</v>
      </c>
      <c r="H3004">
        <v>7.4</v>
      </c>
    </row>
    <row r="3005" spans="1:8" x14ac:dyDescent="0.25">
      <c r="A3005">
        <v>107</v>
      </c>
      <c r="B3005">
        <v>18090181</v>
      </c>
      <c r="C3005" t="s">
        <v>2979</v>
      </c>
      <c r="D3005" t="s">
        <v>1</v>
      </c>
      <c r="E3005" t="s">
        <v>2</v>
      </c>
      <c r="F3005">
        <v>8000000</v>
      </c>
      <c r="G3005">
        <v>1994</v>
      </c>
      <c r="H3005">
        <v>6.4</v>
      </c>
    </row>
    <row r="3006" spans="1:8" x14ac:dyDescent="0.25">
      <c r="A3006">
        <v>91</v>
      </c>
      <c r="B3006">
        <v>17843379</v>
      </c>
      <c r="C3006" t="s">
        <v>2980</v>
      </c>
      <c r="D3006" t="s">
        <v>1</v>
      </c>
      <c r="E3006" t="s">
        <v>2</v>
      </c>
      <c r="F3006">
        <v>8000000</v>
      </c>
      <c r="G3006">
        <v>1999</v>
      </c>
      <c r="H3006">
        <v>5.7</v>
      </c>
    </row>
    <row r="3007" spans="1:8" x14ac:dyDescent="0.25">
      <c r="A3007">
        <v>82</v>
      </c>
      <c r="B3007">
        <v>17278980</v>
      </c>
      <c r="C3007" t="s">
        <v>2981</v>
      </c>
      <c r="D3007" t="s">
        <v>1</v>
      </c>
      <c r="E3007" t="s">
        <v>2</v>
      </c>
      <c r="F3007">
        <v>8000000</v>
      </c>
      <c r="G3007">
        <v>1998</v>
      </c>
      <c r="H3007">
        <v>6.7</v>
      </c>
    </row>
    <row r="3008" spans="1:8" x14ac:dyDescent="0.25">
      <c r="A3008">
        <v>97</v>
      </c>
      <c r="B3008">
        <v>16699684</v>
      </c>
      <c r="C3008" t="s">
        <v>2982</v>
      </c>
      <c r="D3008" t="s">
        <v>1</v>
      </c>
      <c r="E3008" t="s">
        <v>2</v>
      </c>
      <c r="F3008">
        <v>8000000</v>
      </c>
      <c r="G3008">
        <v>2009</v>
      </c>
      <c r="H3008">
        <v>5.6</v>
      </c>
    </row>
    <row r="3009" spans="1:8" x14ac:dyDescent="0.25">
      <c r="A3009">
        <v>138</v>
      </c>
      <c r="B3009">
        <v>10269307</v>
      </c>
      <c r="C3009" t="s">
        <v>2985</v>
      </c>
      <c r="D3009" t="s">
        <v>1</v>
      </c>
      <c r="E3009" t="s">
        <v>2</v>
      </c>
      <c r="F3009">
        <v>8000000</v>
      </c>
      <c r="G3009">
        <v>2009</v>
      </c>
      <c r="H3009">
        <v>6.3</v>
      </c>
    </row>
    <row r="3010" spans="1:8" x14ac:dyDescent="0.25">
      <c r="A3010">
        <v>93</v>
      </c>
      <c r="B3010">
        <v>17536788</v>
      </c>
      <c r="C3010" t="s">
        <v>2986</v>
      </c>
      <c r="D3010" t="s">
        <v>1</v>
      </c>
      <c r="E3010" t="s">
        <v>2</v>
      </c>
      <c r="F3010">
        <v>8000000</v>
      </c>
      <c r="G3010">
        <v>2013</v>
      </c>
      <c r="H3010">
        <v>7.1</v>
      </c>
    </row>
    <row r="3011" spans="1:8" x14ac:dyDescent="0.25">
      <c r="A3011">
        <v>92</v>
      </c>
      <c r="B3011">
        <v>58401464</v>
      </c>
      <c r="C3011" t="s">
        <v>2987</v>
      </c>
      <c r="D3011" t="s">
        <v>1</v>
      </c>
      <c r="E3011" t="s">
        <v>2</v>
      </c>
      <c r="F3011">
        <v>8000000</v>
      </c>
      <c r="G3011">
        <v>2010</v>
      </c>
      <c r="H3011">
        <v>7.1</v>
      </c>
    </row>
    <row r="3012" spans="1:8" x14ac:dyDescent="0.25">
      <c r="A3012">
        <v>92</v>
      </c>
      <c r="B3012">
        <v>8279017</v>
      </c>
      <c r="C3012" t="s">
        <v>2988</v>
      </c>
      <c r="D3012" t="s">
        <v>1</v>
      </c>
      <c r="E3012" t="s">
        <v>5</v>
      </c>
      <c r="F3012">
        <v>8000000</v>
      </c>
      <c r="G3012">
        <v>2000</v>
      </c>
      <c r="H3012">
        <v>6.9</v>
      </c>
    </row>
    <row r="3013" spans="1:8" x14ac:dyDescent="0.25">
      <c r="A3013">
        <v>104</v>
      </c>
      <c r="B3013">
        <v>10106233</v>
      </c>
      <c r="C3013" t="s">
        <v>2989</v>
      </c>
      <c r="D3013" t="s">
        <v>1</v>
      </c>
      <c r="E3013" t="s">
        <v>2</v>
      </c>
      <c r="F3013">
        <v>8000000</v>
      </c>
      <c r="G3013">
        <v>2011</v>
      </c>
      <c r="H3013">
        <v>5.4</v>
      </c>
    </row>
    <row r="3014" spans="1:8" x14ac:dyDescent="0.25">
      <c r="A3014">
        <v>89</v>
      </c>
      <c r="B3014">
        <v>4692814</v>
      </c>
      <c r="C3014" t="s">
        <v>2990</v>
      </c>
      <c r="D3014" t="s">
        <v>1</v>
      </c>
      <c r="E3014" t="s">
        <v>2</v>
      </c>
      <c r="F3014">
        <v>8000000</v>
      </c>
      <c r="G3014">
        <v>1999</v>
      </c>
      <c r="H3014">
        <v>5.0999999999999996</v>
      </c>
    </row>
    <row r="3015" spans="1:8" x14ac:dyDescent="0.25">
      <c r="A3015">
        <v>92</v>
      </c>
      <c r="B3015">
        <v>5018450</v>
      </c>
      <c r="C3015" t="s">
        <v>2991</v>
      </c>
      <c r="D3015" t="s">
        <v>1</v>
      </c>
      <c r="E3015" t="s">
        <v>2</v>
      </c>
      <c r="F3015">
        <v>8000000</v>
      </c>
      <c r="G3015">
        <v>2000</v>
      </c>
      <c r="H3015">
        <v>5.3</v>
      </c>
    </row>
    <row r="3016" spans="1:8" x14ac:dyDescent="0.25">
      <c r="A3016">
        <v>90</v>
      </c>
      <c r="B3016">
        <v>3442820</v>
      </c>
      <c r="C3016" t="s">
        <v>2992</v>
      </c>
      <c r="D3016" t="s">
        <v>1</v>
      </c>
      <c r="E3016" t="s">
        <v>2</v>
      </c>
      <c r="F3016">
        <v>8000000</v>
      </c>
      <c r="G3016">
        <v>2015</v>
      </c>
      <c r="H3016">
        <v>7.3</v>
      </c>
    </row>
    <row r="3017" spans="1:8" x14ac:dyDescent="0.25">
      <c r="A3017">
        <v>111</v>
      </c>
      <c r="B3017">
        <v>3076425</v>
      </c>
      <c r="C3017" t="s">
        <v>2994</v>
      </c>
      <c r="D3017" t="s">
        <v>243</v>
      </c>
      <c r="E3017" t="s">
        <v>244</v>
      </c>
      <c r="F3017">
        <v>8000000</v>
      </c>
      <c r="G3017">
        <v>2002</v>
      </c>
      <c r="H3017">
        <v>7.1</v>
      </c>
    </row>
    <row r="3018" spans="1:8" x14ac:dyDescent="0.25">
      <c r="A3018">
        <v>79</v>
      </c>
      <c r="B3018">
        <v>2275557</v>
      </c>
      <c r="C3018" t="s">
        <v>2995</v>
      </c>
      <c r="D3018" t="s">
        <v>1</v>
      </c>
      <c r="E3018" t="s">
        <v>2</v>
      </c>
      <c r="F3018">
        <v>8000000</v>
      </c>
      <c r="G3018">
        <v>1991</v>
      </c>
      <c r="H3018">
        <v>6</v>
      </c>
    </row>
    <row r="3019" spans="1:8" x14ac:dyDescent="0.25">
      <c r="A3019">
        <v>104</v>
      </c>
      <c r="B3019">
        <v>1789892</v>
      </c>
      <c r="C3019" t="s">
        <v>2996</v>
      </c>
      <c r="D3019" t="s">
        <v>1</v>
      </c>
      <c r="E3019" t="s">
        <v>119</v>
      </c>
      <c r="F3019">
        <v>8000000</v>
      </c>
      <c r="G3019">
        <v>1998</v>
      </c>
      <c r="H3019">
        <v>6.6</v>
      </c>
    </row>
    <row r="3020" spans="1:8" x14ac:dyDescent="0.25">
      <c r="A3020">
        <v>101</v>
      </c>
      <c r="B3020">
        <v>6350058</v>
      </c>
      <c r="C3020" t="s">
        <v>2997</v>
      </c>
      <c r="D3020" t="s">
        <v>1</v>
      </c>
      <c r="E3020" t="s">
        <v>2</v>
      </c>
      <c r="F3020">
        <v>8000000</v>
      </c>
      <c r="G3020">
        <v>2010</v>
      </c>
      <c r="H3020">
        <v>7.2</v>
      </c>
    </row>
    <row r="3021" spans="1:8" x14ac:dyDescent="0.25">
      <c r="A3021">
        <v>92</v>
      </c>
      <c r="B3021">
        <v>1071240</v>
      </c>
      <c r="C3021" t="s">
        <v>2999</v>
      </c>
      <c r="D3021" t="s">
        <v>1</v>
      </c>
      <c r="E3021" t="s">
        <v>5</v>
      </c>
      <c r="F3021">
        <v>8000000</v>
      </c>
      <c r="G3021">
        <v>2007</v>
      </c>
      <c r="H3021">
        <v>6.9</v>
      </c>
    </row>
    <row r="3022" spans="1:8" x14ac:dyDescent="0.25">
      <c r="A3022">
        <v>106</v>
      </c>
      <c r="B3022">
        <v>532190</v>
      </c>
      <c r="C3022" t="s">
        <v>3000</v>
      </c>
      <c r="D3022" t="s">
        <v>1</v>
      </c>
      <c r="E3022" t="s">
        <v>2</v>
      </c>
      <c r="F3022">
        <v>8000000</v>
      </c>
      <c r="G3022">
        <v>1997</v>
      </c>
      <c r="H3022">
        <v>6.8</v>
      </c>
    </row>
    <row r="3023" spans="1:8" x14ac:dyDescent="0.25">
      <c r="A3023">
        <v>104</v>
      </c>
      <c r="B3023">
        <v>16168741</v>
      </c>
      <c r="C3023" t="s">
        <v>3002</v>
      </c>
      <c r="D3023" t="s">
        <v>1</v>
      </c>
      <c r="E3023" t="s">
        <v>2</v>
      </c>
      <c r="F3023">
        <v>8000000</v>
      </c>
      <c r="G3023">
        <v>2013</v>
      </c>
      <c r="H3023">
        <v>7.4</v>
      </c>
    </row>
    <row r="3024" spans="1:8" x14ac:dyDescent="0.25">
      <c r="A3024">
        <v>108</v>
      </c>
      <c r="B3024">
        <v>568695</v>
      </c>
      <c r="C3024" t="s">
        <v>3003</v>
      </c>
      <c r="D3024" t="s">
        <v>1</v>
      </c>
      <c r="E3024" t="s">
        <v>2</v>
      </c>
      <c r="F3024">
        <v>8000000</v>
      </c>
      <c r="G3024">
        <v>2005</v>
      </c>
      <c r="H3024">
        <v>6.5</v>
      </c>
    </row>
    <row r="3025" spans="1:8" x14ac:dyDescent="0.25">
      <c r="A3025">
        <v>99</v>
      </c>
      <c r="B3025">
        <v>398420</v>
      </c>
      <c r="C3025" t="s">
        <v>3004</v>
      </c>
      <c r="D3025" t="s">
        <v>1</v>
      </c>
      <c r="E3025" t="s">
        <v>2</v>
      </c>
      <c r="F3025">
        <v>8000000</v>
      </c>
      <c r="G3025">
        <v>2007</v>
      </c>
      <c r="H3025">
        <v>6.4</v>
      </c>
    </row>
    <row r="3026" spans="1:8" x14ac:dyDescent="0.25">
      <c r="A3026">
        <v>109</v>
      </c>
      <c r="B3026">
        <v>336456</v>
      </c>
      <c r="C3026" t="s">
        <v>3005</v>
      </c>
      <c r="D3026" t="s">
        <v>1</v>
      </c>
      <c r="E3026" t="s">
        <v>2</v>
      </c>
      <c r="F3026">
        <v>8000000</v>
      </c>
      <c r="G3026">
        <v>2003</v>
      </c>
      <c r="H3026">
        <v>5.6</v>
      </c>
    </row>
    <row r="3027" spans="1:8" x14ac:dyDescent="0.25">
      <c r="A3027">
        <v>93</v>
      </c>
      <c r="B3027">
        <v>298110</v>
      </c>
      <c r="C3027" t="s">
        <v>3006</v>
      </c>
      <c r="D3027" t="s">
        <v>1</v>
      </c>
      <c r="E3027" t="s">
        <v>38</v>
      </c>
      <c r="F3027">
        <v>8000000</v>
      </c>
      <c r="G3027">
        <v>2006</v>
      </c>
      <c r="H3027">
        <v>6.8</v>
      </c>
    </row>
    <row r="3028" spans="1:8" x14ac:dyDescent="0.25">
      <c r="A3028">
        <v>99</v>
      </c>
      <c r="B3028">
        <v>127144</v>
      </c>
      <c r="C3028" t="s">
        <v>3007</v>
      </c>
      <c r="D3028" t="s">
        <v>1</v>
      </c>
      <c r="E3028" t="s">
        <v>2</v>
      </c>
      <c r="F3028">
        <v>8000000</v>
      </c>
      <c r="G3028">
        <v>2005</v>
      </c>
      <c r="H3028">
        <v>5.5</v>
      </c>
    </row>
    <row r="3029" spans="1:8" x14ac:dyDescent="0.25">
      <c r="A3029">
        <v>98</v>
      </c>
      <c r="B3029">
        <v>117190</v>
      </c>
      <c r="C3029" t="s">
        <v>3008</v>
      </c>
      <c r="D3029" t="s">
        <v>1</v>
      </c>
      <c r="E3029" t="s">
        <v>5</v>
      </c>
      <c r="F3029">
        <v>8000000</v>
      </c>
      <c r="G3029">
        <v>2010</v>
      </c>
      <c r="H3029">
        <v>6.9</v>
      </c>
    </row>
    <row r="3030" spans="1:8" x14ac:dyDescent="0.25">
      <c r="A3030">
        <v>95</v>
      </c>
      <c r="B3030">
        <v>108662</v>
      </c>
      <c r="C3030" t="s">
        <v>3009</v>
      </c>
      <c r="D3030" t="s">
        <v>1</v>
      </c>
      <c r="E3030" t="s">
        <v>2</v>
      </c>
      <c r="F3030">
        <v>8000000</v>
      </c>
      <c r="G3030">
        <v>2008</v>
      </c>
      <c r="H3030">
        <v>6</v>
      </c>
    </row>
    <row r="3031" spans="1:8" x14ac:dyDescent="0.25">
      <c r="A3031">
        <v>107</v>
      </c>
      <c r="B3031">
        <v>53481</v>
      </c>
      <c r="C3031" t="s">
        <v>3010</v>
      </c>
      <c r="D3031" t="s">
        <v>1</v>
      </c>
      <c r="E3031" t="s">
        <v>2</v>
      </c>
      <c r="F3031">
        <v>8000000</v>
      </c>
      <c r="G3031">
        <v>2006</v>
      </c>
      <c r="H3031">
        <v>6.4</v>
      </c>
    </row>
    <row r="3032" spans="1:8" x14ac:dyDescent="0.25">
      <c r="A3032">
        <v>97</v>
      </c>
      <c r="B3032">
        <v>52961</v>
      </c>
      <c r="C3032" t="s">
        <v>3012</v>
      </c>
      <c r="D3032" t="s">
        <v>1</v>
      </c>
      <c r="E3032" t="s">
        <v>620</v>
      </c>
      <c r="F3032">
        <v>8000000</v>
      </c>
      <c r="G3032">
        <v>2014</v>
      </c>
      <c r="H3032">
        <v>5.3</v>
      </c>
    </row>
    <row r="3033" spans="1:8" x14ac:dyDescent="0.25">
      <c r="A3033">
        <v>92</v>
      </c>
      <c r="B3033">
        <v>10814185</v>
      </c>
      <c r="C3033" t="s">
        <v>3026</v>
      </c>
      <c r="D3033" t="s">
        <v>1</v>
      </c>
      <c r="E3033" t="s">
        <v>2</v>
      </c>
      <c r="F3033">
        <v>8000000</v>
      </c>
      <c r="G3033">
        <v>2009</v>
      </c>
      <c r="H3033">
        <v>6.2</v>
      </c>
    </row>
    <row r="3034" spans="1:8" x14ac:dyDescent="0.25">
      <c r="A3034">
        <v>113</v>
      </c>
      <c r="B3034">
        <v>3014541</v>
      </c>
      <c r="C3034" t="s">
        <v>3028</v>
      </c>
      <c r="D3034" t="s">
        <v>1</v>
      </c>
      <c r="E3034" t="s">
        <v>5</v>
      </c>
      <c r="F3034">
        <v>8000000</v>
      </c>
      <c r="G3034">
        <v>2011</v>
      </c>
      <c r="H3034">
        <v>6.7</v>
      </c>
    </row>
    <row r="3035" spans="1:8" x14ac:dyDescent="0.25">
      <c r="A3035">
        <v>89</v>
      </c>
      <c r="B3035">
        <v>22168359</v>
      </c>
      <c r="C3035" t="s">
        <v>3131</v>
      </c>
      <c r="D3035" t="s">
        <v>1</v>
      </c>
      <c r="E3035" t="s">
        <v>2</v>
      </c>
      <c r="F3035">
        <v>8000000</v>
      </c>
      <c r="G3035">
        <v>1989</v>
      </c>
      <c r="H3035">
        <v>5.0999999999999996</v>
      </c>
    </row>
    <row r="3036" spans="1:8" x14ac:dyDescent="0.25">
      <c r="A3036">
        <v>144</v>
      </c>
      <c r="B3036">
        <v>20400000</v>
      </c>
      <c r="C3036" t="s">
        <v>3134</v>
      </c>
      <c r="D3036" t="s">
        <v>1</v>
      </c>
      <c r="E3036" t="s">
        <v>2</v>
      </c>
      <c r="F3036">
        <v>8000000</v>
      </c>
      <c r="G3036">
        <v>1946</v>
      </c>
      <c r="H3036">
        <v>6.9</v>
      </c>
    </row>
    <row r="3037" spans="1:8" x14ac:dyDescent="0.25">
      <c r="A3037">
        <v>91</v>
      </c>
      <c r="B3037">
        <v>12055108</v>
      </c>
      <c r="C3037" t="s">
        <v>3240</v>
      </c>
      <c r="D3037" t="s">
        <v>1</v>
      </c>
      <c r="E3037" t="s">
        <v>2</v>
      </c>
      <c r="F3037">
        <v>8000000</v>
      </c>
      <c r="G3037">
        <v>2008</v>
      </c>
      <c r="H3037">
        <v>6.9</v>
      </c>
    </row>
    <row r="3038" spans="1:8" x14ac:dyDescent="0.25">
      <c r="A3038">
        <v>99</v>
      </c>
      <c r="B3038">
        <v>10572742</v>
      </c>
      <c r="C3038" t="s">
        <v>3242</v>
      </c>
      <c r="D3038" t="s">
        <v>1</v>
      </c>
      <c r="E3038" t="s">
        <v>2</v>
      </c>
      <c r="F3038">
        <v>8000000</v>
      </c>
      <c r="G3038">
        <v>2009</v>
      </c>
      <c r="H3038">
        <v>6.1</v>
      </c>
    </row>
    <row r="3039" spans="1:8" x14ac:dyDescent="0.25">
      <c r="A3039">
        <v>96</v>
      </c>
      <c r="B3039">
        <v>3713002</v>
      </c>
      <c r="C3039" t="s">
        <v>3327</v>
      </c>
      <c r="D3039" t="s">
        <v>1</v>
      </c>
      <c r="E3039" t="s">
        <v>2</v>
      </c>
      <c r="F3039">
        <v>8000000</v>
      </c>
      <c r="G3039">
        <v>2003</v>
      </c>
      <c r="H3039">
        <v>2.7</v>
      </c>
    </row>
    <row r="3040" spans="1:8" x14ac:dyDescent="0.25">
      <c r="A3040">
        <v>80</v>
      </c>
      <c r="B3040">
        <v>77413017</v>
      </c>
      <c r="C3040" t="s">
        <v>3379</v>
      </c>
      <c r="D3040" t="s">
        <v>243</v>
      </c>
      <c r="E3040" t="s">
        <v>244</v>
      </c>
      <c r="F3040">
        <v>8000000</v>
      </c>
      <c r="G3040">
        <v>2005</v>
      </c>
      <c r="H3040">
        <v>7.6</v>
      </c>
    </row>
    <row r="3041" spans="1:8" x14ac:dyDescent="0.25">
      <c r="A3041">
        <v>116</v>
      </c>
      <c r="B3041">
        <v>22201636</v>
      </c>
      <c r="C3041" t="s">
        <v>3439</v>
      </c>
      <c r="D3041" t="s">
        <v>1</v>
      </c>
      <c r="E3041" t="s">
        <v>2</v>
      </c>
      <c r="F3041">
        <v>8000000</v>
      </c>
      <c r="G3041">
        <v>2005</v>
      </c>
      <c r="H3041">
        <v>7.4</v>
      </c>
    </row>
    <row r="3042" spans="1:8" x14ac:dyDescent="0.25">
      <c r="A3042">
        <v>98</v>
      </c>
      <c r="B3042">
        <v>16115878</v>
      </c>
      <c r="C3042" t="s">
        <v>3758</v>
      </c>
      <c r="D3042" t="s">
        <v>1</v>
      </c>
      <c r="E3042" t="s">
        <v>2</v>
      </c>
      <c r="F3042">
        <v>8000000</v>
      </c>
      <c r="G3042">
        <v>1995</v>
      </c>
      <c r="H3042">
        <v>6.6</v>
      </c>
    </row>
    <row r="3043" spans="1:8" x14ac:dyDescent="0.25">
      <c r="A3043">
        <v>90</v>
      </c>
      <c r="B3043">
        <v>671240</v>
      </c>
      <c r="C3043" t="s">
        <v>3014</v>
      </c>
      <c r="D3043" t="s">
        <v>1</v>
      </c>
      <c r="E3043" t="s">
        <v>5</v>
      </c>
      <c r="F3043">
        <v>7900000</v>
      </c>
      <c r="G3043">
        <v>2005</v>
      </c>
      <c r="H3043">
        <v>6.9</v>
      </c>
    </row>
    <row r="3044" spans="1:8" x14ac:dyDescent="0.25">
      <c r="A3044">
        <v>101</v>
      </c>
      <c r="B3044">
        <v>6712241</v>
      </c>
      <c r="C3044" t="s">
        <v>2852</v>
      </c>
      <c r="D3044" t="s">
        <v>1</v>
      </c>
      <c r="E3044" t="s">
        <v>2</v>
      </c>
      <c r="F3044">
        <v>7500000</v>
      </c>
      <c r="G3044">
        <v>1998</v>
      </c>
      <c r="H3044">
        <v>8.6</v>
      </c>
    </row>
    <row r="3045" spans="1:8" x14ac:dyDescent="0.25">
      <c r="A3045">
        <v>99</v>
      </c>
      <c r="B3045">
        <v>106593296</v>
      </c>
      <c r="C3045" t="s">
        <v>3016</v>
      </c>
      <c r="D3045" t="s">
        <v>1</v>
      </c>
      <c r="E3045" t="s">
        <v>2</v>
      </c>
      <c r="F3045">
        <v>7500000</v>
      </c>
      <c r="G3045">
        <v>1989</v>
      </c>
      <c r="H3045">
        <v>7.4</v>
      </c>
    </row>
    <row r="3046" spans="1:8" x14ac:dyDescent="0.25">
      <c r="A3046">
        <v>115</v>
      </c>
      <c r="B3046">
        <v>43490057</v>
      </c>
      <c r="C3046" t="s">
        <v>3017</v>
      </c>
      <c r="D3046" t="s">
        <v>1</v>
      </c>
      <c r="E3046" t="s">
        <v>2</v>
      </c>
      <c r="F3046">
        <v>7500000</v>
      </c>
      <c r="G3046">
        <v>1997</v>
      </c>
      <c r="H3046">
        <v>6.9</v>
      </c>
    </row>
    <row r="3047" spans="1:8" x14ac:dyDescent="0.25">
      <c r="A3047">
        <v>89</v>
      </c>
      <c r="B3047">
        <v>32333860</v>
      </c>
      <c r="C3047" t="s">
        <v>3018</v>
      </c>
      <c r="D3047" t="s">
        <v>1341</v>
      </c>
      <c r="E3047" t="s">
        <v>675</v>
      </c>
      <c r="F3047">
        <v>7500000</v>
      </c>
      <c r="G3047">
        <v>1995</v>
      </c>
      <c r="H3047">
        <v>6.7</v>
      </c>
    </row>
    <row r="3048" spans="1:8" x14ac:dyDescent="0.25">
      <c r="A3048">
        <v>109</v>
      </c>
      <c r="B3048">
        <v>5100000</v>
      </c>
      <c r="C3048" t="s">
        <v>3022</v>
      </c>
      <c r="D3048" t="s">
        <v>1</v>
      </c>
      <c r="E3048" t="s">
        <v>5</v>
      </c>
      <c r="F3048">
        <v>7500000</v>
      </c>
      <c r="G3048">
        <v>1984</v>
      </c>
      <c r="H3048">
        <v>6</v>
      </c>
    </row>
    <row r="3049" spans="1:8" x14ac:dyDescent="0.25">
      <c r="A3049">
        <v>105</v>
      </c>
      <c r="B3049">
        <v>10460089</v>
      </c>
      <c r="C3049" t="s">
        <v>3023</v>
      </c>
      <c r="D3049" t="s">
        <v>1</v>
      </c>
      <c r="E3049" t="s">
        <v>2</v>
      </c>
      <c r="F3049">
        <v>7500000</v>
      </c>
      <c r="G3049">
        <v>2002</v>
      </c>
      <c r="H3049">
        <v>7.2</v>
      </c>
    </row>
    <row r="3050" spans="1:8" x14ac:dyDescent="0.25">
      <c r="A3050">
        <v>102</v>
      </c>
      <c r="B3050">
        <v>4239767</v>
      </c>
      <c r="C3050" t="s">
        <v>3024</v>
      </c>
      <c r="D3050" t="s">
        <v>1</v>
      </c>
      <c r="E3050" t="s">
        <v>38</v>
      </c>
      <c r="F3050">
        <v>7500000</v>
      </c>
      <c r="G3050">
        <v>2002</v>
      </c>
      <c r="H3050">
        <v>6</v>
      </c>
    </row>
    <row r="3051" spans="1:8" x14ac:dyDescent="0.25">
      <c r="A3051">
        <v>97</v>
      </c>
      <c r="B3051">
        <v>4131640</v>
      </c>
      <c r="C3051" t="s">
        <v>3025</v>
      </c>
      <c r="D3051" t="s">
        <v>1</v>
      </c>
      <c r="E3051" t="s">
        <v>2</v>
      </c>
      <c r="F3051">
        <v>7500000</v>
      </c>
      <c r="G3051">
        <v>2008</v>
      </c>
      <c r="H3051">
        <v>3.1</v>
      </c>
    </row>
    <row r="3052" spans="1:8" x14ac:dyDescent="0.25">
      <c r="A3052">
        <v>93</v>
      </c>
      <c r="B3052">
        <v>197148</v>
      </c>
      <c r="C3052" t="s">
        <v>3027</v>
      </c>
      <c r="D3052" t="s">
        <v>1</v>
      </c>
      <c r="E3052" t="s">
        <v>5</v>
      </c>
      <c r="F3052">
        <v>7500000</v>
      </c>
      <c r="G3052">
        <v>2003</v>
      </c>
      <c r="H3052">
        <v>6.3</v>
      </c>
    </row>
    <row r="3053" spans="1:8" x14ac:dyDescent="0.25">
      <c r="A3053">
        <v>100</v>
      </c>
      <c r="B3053">
        <v>12610552</v>
      </c>
      <c r="C3053" t="s">
        <v>3032</v>
      </c>
      <c r="D3053" t="s">
        <v>1</v>
      </c>
      <c r="E3053" t="s">
        <v>2</v>
      </c>
      <c r="F3053">
        <v>7500000</v>
      </c>
      <c r="G3053">
        <v>1999</v>
      </c>
      <c r="H3053">
        <v>3.5</v>
      </c>
    </row>
    <row r="3054" spans="1:8" x14ac:dyDescent="0.25">
      <c r="A3054">
        <v>96</v>
      </c>
      <c r="B3054">
        <v>143492840</v>
      </c>
      <c r="C3054" t="s">
        <v>3033</v>
      </c>
      <c r="D3054" t="s">
        <v>1</v>
      </c>
      <c r="E3054" t="s">
        <v>2</v>
      </c>
      <c r="F3054">
        <v>7500000</v>
      </c>
      <c r="G3054">
        <v>2007</v>
      </c>
      <c r="H3054">
        <v>7.5</v>
      </c>
    </row>
    <row r="3055" spans="1:8" x14ac:dyDescent="0.25">
      <c r="A3055">
        <v>95</v>
      </c>
      <c r="B3055">
        <v>32391374</v>
      </c>
      <c r="C3055" t="s">
        <v>3037</v>
      </c>
      <c r="D3055" t="s">
        <v>1</v>
      </c>
      <c r="E3055" t="s">
        <v>2</v>
      </c>
      <c r="F3055">
        <v>7500000</v>
      </c>
      <c r="G3055">
        <v>2009</v>
      </c>
      <c r="H3055">
        <v>7.7</v>
      </c>
    </row>
    <row r="3056" spans="1:8" x14ac:dyDescent="0.25">
      <c r="A3056">
        <v>93</v>
      </c>
      <c r="B3056">
        <v>31501218</v>
      </c>
      <c r="C3056" t="s">
        <v>3044</v>
      </c>
      <c r="D3056" t="s">
        <v>1</v>
      </c>
      <c r="E3056" t="s">
        <v>2</v>
      </c>
      <c r="F3056">
        <v>7500000</v>
      </c>
      <c r="G3056">
        <v>2005</v>
      </c>
      <c r="H3056">
        <v>7.5</v>
      </c>
    </row>
    <row r="3057" spans="1:8" x14ac:dyDescent="0.25">
      <c r="A3057">
        <v>100</v>
      </c>
      <c r="B3057">
        <v>9176553</v>
      </c>
      <c r="C3057" t="s">
        <v>3058</v>
      </c>
      <c r="D3057" t="s">
        <v>1</v>
      </c>
      <c r="E3057" t="s">
        <v>2</v>
      </c>
      <c r="F3057">
        <v>7500000</v>
      </c>
      <c r="G3057">
        <v>2009</v>
      </c>
      <c r="H3057">
        <v>7.1</v>
      </c>
    </row>
    <row r="3058" spans="1:8" x14ac:dyDescent="0.25">
      <c r="A3058">
        <v>96</v>
      </c>
      <c r="B3058">
        <v>143492840</v>
      </c>
      <c r="C3058" t="s">
        <v>3033</v>
      </c>
      <c r="D3058" t="s">
        <v>1</v>
      </c>
      <c r="E3058" t="s">
        <v>2</v>
      </c>
      <c r="F3058">
        <v>7500000</v>
      </c>
      <c r="G3058">
        <v>2007</v>
      </c>
      <c r="H3058">
        <v>7.5</v>
      </c>
    </row>
    <row r="3059" spans="1:8" x14ac:dyDescent="0.25">
      <c r="A3059">
        <v>130</v>
      </c>
      <c r="B3059">
        <v>3029870</v>
      </c>
      <c r="C3059" t="s">
        <v>2914</v>
      </c>
      <c r="D3059" t="s">
        <v>1</v>
      </c>
      <c r="E3059" t="s">
        <v>1438</v>
      </c>
      <c r="F3059">
        <v>7400000</v>
      </c>
      <c r="G3059">
        <v>2011</v>
      </c>
      <c r="H3059">
        <v>7.1</v>
      </c>
    </row>
    <row r="3060" spans="1:8" x14ac:dyDescent="0.25">
      <c r="A3060">
        <v>89</v>
      </c>
      <c r="B3060">
        <v>4443403</v>
      </c>
      <c r="C3060" t="s">
        <v>3029</v>
      </c>
      <c r="D3060" t="s">
        <v>243</v>
      </c>
      <c r="E3060" t="s">
        <v>244</v>
      </c>
      <c r="F3060">
        <v>7300000</v>
      </c>
      <c r="G3060">
        <v>2007</v>
      </c>
      <c r="H3060">
        <v>8</v>
      </c>
    </row>
    <row r="3061" spans="1:8" x14ac:dyDescent="0.25">
      <c r="A3061">
        <v>97</v>
      </c>
      <c r="B3061">
        <v>1818681</v>
      </c>
      <c r="C3061" t="s">
        <v>3031</v>
      </c>
      <c r="D3061" t="s">
        <v>1</v>
      </c>
      <c r="E3061" t="s">
        <v>5</v>
      </c>
      <c r="F3061">
        <v>7300000</v>
      </c>
      <c r="G3061">
        <v>2009</v>
      </c>
      <c r="H3061">
        <v>7.2</v>
      </c>
    </row>
    <row r="3062" spans="1:8" x14ac:dyDescent="0.25">
      <c r="A3062">
        <v>176</v>
      </c>
      <c r="B3062">
        <v>3047539</v>
      </c>
      <c r="C3062" t="s">
        <v>2915</v>
      </c>
      <c r="D3062" t="s">
        <v>1012</v>
      </c>
      <c r="E3062" t="s">
        <v>1013</v>
      </c>
      <c r="F3062">
        <v>7217600</v>
      </c>
      <c r="G3062">
        <v>2012</v>
      </c>
      <c r="H3062">
        <v>6.9</v>
      </c>
    </row>
    <row r="3063" spans="1:8" x14ac:dyDescent="0.25">
      <c r="A3063">
        <v>113</v>
      </c>
      <c r="B3063">
        <v>1094798</v>
      </c>
      <c r="C3063" t="s">
        <v>2998</v>
      </c>
      <c r="D3063" t="s">
        <v>1</v>
      </c>
      <c r="E3063" t="s">
        <v>5</v>
      </c>
      <c r="F3063">
        <v>7200000</v>
      </c>
      <c r="G3063">
        <v>2010</v>
      </c>
      <c r="H3063">
        <v>7.2</v>
      </c>
    </row>
    <row r="3064" spans="1:8" x14ac:dyDescent="0.25">
      <c r="A3064">
        <v>120</v>
      </c>
      <c r="B3064">
        <v>43800000</v>
      </c>
      <c r="C3064" t="s">
        <v>3034</v>
      </c>
      <c r="D3064" t="s">
        <v>1</v>
      </c>
      <c r="E3064" t="s">
        <v>5</v>
      </c>
      <c r="F3064">
        <v>7200000</v>
      </c>
      <c r="G3064">
        <v>1971</v>
      </c>
      <c r="H3064">
        <v>6.7</v>
      </c>
    </row>
    <row r="3065" spans="1:8" x14ac:dyDescent="0.25">
      <c r="A3065">
        <v>109</v>
      </c>
      <c r="B3065">
        <v>40983001</v>
      </c>
      <c r="C3065" t="s">
        <v>2417</v>
      </c>
      <c r="D3065" t="s">
        <v>1</v>
      </c>
      <c r="E3065" t="s">
        <v>2</v>
      </c>
      <c r="F3065">
        <v>7000000</v>
      </c>
      <c r="G3065">
        <v>2012</v>
      </c>
      <c r="H3065">
        <v>7.7</v>
      </c>
    </row>
    <row r="3066" spans="1:8" x14ac:dyDescent="0.25">
      <c r="A3066">
        <v>115</v>
      </c>
      <c r="B3066">
        <v>529766</v>
      </c>
      <c r="C3066" t="s">
        <v>2504</v>
      </c>
      <c r="D3066" t="s">
        <v>1</v>
      </c>
      <c r="E3066" t="s">
        <v>2</v>
      </c>
      <c r="F3066">
        <v>7000000</v>
      </c>
      <c r="G3066">
        <v>1995</v>
      </c>
      <c r="H3066">
        <v>6.8</v>
      </c>
    </row>
    <row r="3067" spans="1:8" x14ac:dyDescent="0.25">
      <c r="A3067">
        <v>99</v>
      </c>
      <c r="B3067">
        <v>49369900</v>
      </c>
      <c r="C3067" t="s">
        <v>2577</v>
      </c>
      <c r="D3067" t="s">
        <v>1</v>
      </c>
      <c r="E3067" t="s">
        <v>2</v>
      </c>
      <c r="F3067">
        <v>7000000</v>
      </c>
      <c r="G3067">
        <v>1988</v>
      </c>
      <c r="H3067">
        <v>5.7</v>
      </c>
    </row>
    <row r="3068" spans="1:8" x14ac:dyDescent="0.25">
      <c r="A3068">
        <v>98</v>
      </c>
      <c r="B3068">
        <v>23838</v>
      </c>
      <c r="C3068" t="s">
        <v>2775</v>
      </c>
      <c r="D3068" t="s">
        <v>1</v>
      </c>
      <c r="E3068" t="s">
        <v>5</v>
      </c>
      <c r="F3068">
        <v>7000000</v>
      </c>
      <c r="G3068">
        <v>2013</v>
      </c>
      <c r="H3068">
        <v>5.5</v>
      </c>
    </row>
    <row r="3069" spans="1:8" x14ac:dyDescent="0.25">
      <c r="A3069">
        <v>112</v>
      </c>
      <c r="B3069">
        <v>39462438</v>
      </c>
      <c r="C3069" t="s">
        <v>2950</v>
      </c>
      <c r="D3069" t="s">
        <v>1</v>
      </c>
      <c r="E3069" t="s">
        <v>2</v>
      </c>
      <c r="F3069">
        <v>7000000</v>
      </c>
      <c r="G3069">
        <v>2009</v>
      </c>
      <c r="H3069">
        <v>7.3</v>
      </c>
    </row>
    <row r="3070" spans="1:8" x14ac:dyDescent="0.25">
      <c r="A3070">
        <v>142</v>
      </c>
      <c r="B3070">
        <v>22800000</v>
      </c>
      <c r="C3070" t="s">
        <v>2978</v>
      </c>
      <c r="D3070" t="s">
        <v>1</v>
      </c>
      <c r="E3070" t="s">
        <v>5</v>
      </c>
      <c r="F3070">
        <v>7000000</v>
      </c>
      <c r="G3070">
        <v>1969</v>
      </c>
      <c r="H3070">
        <v>6.8</v>
      </c>
    </row>
    <row r="3071" spans="1:8" x14ac:dyDescent="0.25">
      <c r="A3071">
        <v>102</v>
      </c>
      <c r="B3071">
        <v>15047419</v>
      </c>
      <c r="C3071" t="s">
        <v>2983</v>
      </c>
      <c r="D3071" t="s">
        <v>1</v>
      </c>
      <c r="E3071" t="s">
        <v>2</v>
      </c>
      <c r="F3071">
        <v>7000000</v>
      </c>
      <c r="G3071">
        <v>2000</v>
      </c>
      <c r="H3071">
        <v>7.6</v>
      </c>
    </row>
    <row r="3072" spans="1:8" x14ac:dyDescent="0.25">
      <c r="A3072">
        <v>118</v>
      </c>
      <c r="B3072">
        <v>1330827</v>
      </c>
      <c r="C3072" t="s">
        <v>3030</v>
      </c>
      <c r="D3072" t="s">
        <v>1</v>
      </c>
      <c r="E3072" t="s">
        <v>244</v>
      </c>
      <c r="F3072">
        <v>7000000</v>
      </c>
      <c r="G3072">
        <v>2016</v>
      </c>
      <c r="H3072">
        <v>7</v>
      </c>
    </row>
    <row r="3073" spans="1:8" x14ac:dyDescent="0.25">
      <c r="A3073">
        <v>121</v>
      </c>
      <c r="B3073">
        <v>40158000</v>
      </c>
      <c r="C3073" t="s">
        <v>3038</v>
      </c>
      <c r="D3073" t="s">
        <v>1</v>
      </c>
      <c r="E3073" t="s">
        <v>23</v>
      </c>
      <c r="F3073">
        <v>7000000</v>
      </c>
      <c r="G3073">
        <v>1993</v>
      </c>
      <c r="H3073">
        <v>7.6</v>
      </c>
    </row>
    <row r="3074" spans="1:8" x14ac:dyDescent="0.25">
      <c r="A3074">
        <v>110</v>
      </c>
      <c r="B3074">
        <v>113709992</v>
      </c>
      <c r="C3074" t="s">
        <v>3039</v>
      </c>
      <c r="D3074" t="s">
        <v>1</v>
      </c>
      <c r="E3074" t="s">
        <v>2</v>
      </c>
      <c r="F3074">
        <v>7000000</v>
      </c>
      <c r="G3074">
        <v>2012</v>
      </c>
      <c r="H3074">
        <v>6.1</v>
      </c>
    </row>
    <row r="3075" spans="1:8" x14ac:dyDescent="0.25">
      <c r="A3075">
        <v>121</v>
      </c>
      <c r="B3075">
        <v>35400000</v>
      </c>
      <c r="C3075" t="s">
        <v>3041</v>
      </c>
      <c r="D3075" t="s">
        <v>1</v>
      </c>
      <c r="E3075" t="s">
        <v>5</v>
      </c>
      <c r="F3075">
        <v>7000000</v>
      </c>
      <c r="G3075">
        <v>1973</v>
      </c>
      <c r="H3075">
        <v>6.8</v>
      </c>
    </row>
    <row r="3076" spans="1:8" x14ac:dyDescent="0.25">
      <c r="A3076">
        <v>110</v>
      </c>
      <c r="B3076">
        <v>28747570</v>
      </c>
      <c r="C3076" t="s">
        <v>3045</v>
      </c>
      <c r="D3076" t="s">
        <v>1</v>
      </c>
      <c r="E3076" t="s">
        <v>38</v>
      </c>
      <c r="F3076">
        <v>7000000</v>
      </c>
      <c r="G3076">
        <v>2005</v>
      </c>
      <c r="H3076">
        <v>7.4</v>
      </c>
    </row>
    <row r="3077" spans="1:8" x14ac:dyDescent="0.25">
      <c r="A3077">
        <v>104</v>
      </c>
      <c r="B3077">
        <v>25625110</v>
      </c>
      <c r="C3077" t="s">
        <v>3046</v>
      </c>
      <c r="D3077" t="s">
        <v>1</v>
      </c>
      <c r="E3077" t="s">
        <v>2</v>
      </c>
      <c r="F3077">
        <v>7000000</v>
      </c>
      <c r="G3077">
        <v>1995</v>
      </c>
      <c r="H3077">
        <v>7.2</v>
      </c>
    </row>
    <row r="3078" spans="1:8" x14ac:dyDescent="0.25">
      <c r="A3078">
        <v>96</v>
      </c>
      <c r="B3078">
        <v>20257000</v>
      </c>
      <c r="C3078" t="s">
        <v>3049</v>
      </c>
      <c r="D3078" t="s">
        <v>1</v>
      </c>
      <c r="E3078" t="s">
        <v>2</v>
      </c>
      <c r="F3078">
        <v>7000000</v>
      </c>
      <c r="G3078">
        <v>1988</v>
      </c>
      <c r="H3078">
        <v>5.2</v>
      </c>
    </row>
    <row r="3079" spans="1:8" x14ac:dyDescent="0.25">
      <c r="A3079">
        <v>89</v>
      </c>
      <c r="B3079">
        <v>15818967</v>
      </c>
      <c r="C3079" t="s">
        <v>3051</v>
      </c>
      <c r="D3079" t="s">
        <v>1</v>
      </c>
      <c r="E3079" t="s">
        <v>2</v>
      </c>
      <c r="F3079">
        <v>7000000</v>
      </c>
      <c r="G3079">
        <v>2014</v>
      </c>
      <c r="H3079">
        <v>4</v>
      </c>
    </row>
    <row r="3080" spans="1:8" x14ac:dyDescent="0.25">
      <c r="A3080">
        <v>92</v>
      </c>
      <c r="B3080">
        <v>14891000</v>
      </c>
      <c r="C3080" t="s">
        <v>3052</v>
      </c>
      <c r="D3080" t="s">
        <v>1</v>
      </c>
      <c r="E3080" t="s">
        <v>2</v>
      </c>
      <c r="F3080">
        <v>7000000</v>
      </c>
      <c r="G3080">
        <v>1996</v>
      </c>
      <c r="H3080">
        <v>6.8</v>
      </c>
    </row>
    <row r="3081" spans="1:8" x14ac:dyDescent="0.25">
      <c r="A3081">
        <v>109</v>
      </c>
      <c r="B3081">
        <v>16901126</v>
      </c>
      <c r="C3081" t="s">
        <v>3053</v>
      </c>
      <c r="D3081" t="s">
        <v>1</v>
      </c>
      <c r="E3081" t="s">
        <v>2</v>
      </c>
      <c r="F3081">
        <v>7000000</v>
      </c>
      <c r="G3081">
        <v>2005</v>
      </c>
      <c r="H3081">
        <v>6.9</v>
      </c>
    </row>
    <row r="3082" spans="1:8" x14ac:dyDescent="0.25">
      <c r="A3082">
        <v>103</v>
      </c>
      <c r="B3082">
        <v>17474107</v>
      </c>
      <c r="C3082" t="s">
        <v>3054</v>
      </c>
      <c r="D3082" t="s">
        <v>1</v>
      </c>
      <c r="E3082" t="s">
        <v>2</v>
      </c>
      <c r="F3082">
        <v>7000000</v>
      </c>
      <c r="G3082">
        <v>2015</v>
      </c>
      <c r="H3082">
        <v>7.3</v>
      </c>
    </row>
    <row r="3083" spans="1:8" x14ac:dyDescent="0.25">
      <c r="A3083">
        <v>95</v>
      </c>
      <c r="B3083">
        <v>14003141</v>
      </c>
      <c r="C3083" t="s">
        <v>3055</v>
      </c>
      <c r="D3083" t="s">
        <v>1</v>
      </c>
      <c r="E3083" t="s">
        <v>2</v>
      </c>
      <c r="F3083">
        <v>7000000</v>
      </c>
      <c r="G3083">
        <v>1999</v>
      </c>
      <c r="H3083">
        <v>6.1</v>
      </c>
    </row>
    <row r="3084" spans="1:8" x14ac:dyDescent="0.25">
      <c r="A3084">
        <v>105</v>
      </c>
      <c r="B3084">
        <v>12583510</v>
      </c>
      <c r="C3084" t="s">
        <v>3056</v>
      </c>
      <c r="D3084" t="s">
        <v>1</v>
      </c>
      <c r="E3084" t="s">
        <v>2</v>
      </c>
      <c r="F3084">
        <v>7000000</v>
      </c>
      <c r="G3084">
        <v>2003</v>
      </c>
      <c r="H3084">
        <v>6</v>
      </c>
    </row>
    <row r="3085" spans="1:8" x14ac:dyDescent="0.25">
      <c r="A3085">
        <v>106</v>
      </c>
      <c r="B3085">
        <v>9190525</v>
      </c>
      <c r="C3085" t="s">
        <v>3057</v>
      </c>
      <c r="D3085" t="s">
        <v>1</v>
      </c>
      <c r="E3085" t="s">
        <v>2</v>
      </c>
      <c r="F3085">
        <v>7000000</v>
      </c>
      <c r="G3085">
        <v>2009</v>
      </c>
      <c r="H3085">
        <v>7</v>
      </c>
    </row>
    <row r="3086" spans="1:8" x14ac:dyDescent="0.25">
      <c r="A3086">
        <v>103</v>
      </c>
      <c r="B3086">
        <v>9094451</v>
      </c>
      <c r="C3086" t="s">
        <v>3059</v>
      </c>
      <c r="D3086" t="s">
        <v>1</v>
      </c>
      <c r="E3086" t="s">
        <v>2</v>
      </c>
      <c r="F3086">
        <v>7000000</v>
      </c>
      <c r="G3086">
        <v>1989</v>
      </c>
      <c r="H3086">
        <v>6.2</v>
      </c>
    </row>
    <row r="3087" spans="1:8" x14ac:dyDescent="0.25">
      <c r="A3087">
        <v>99</v>
      </c>
      <c r="B3087">
        <v>9166863</v>
      </c>
      <c r="C3087" t="s">
        <v>3060</v>
      </c>
      <c r="D3087" t="s">
        <v>1</v>
      </c>
      <c r="E3087" t="s">
        <v>2</v>
      </c>
      <c r="F3087">
        <v>7000000</v>
      </c>
      <c r="G3087">
        <v>2009</v>
      </c>
      <c r="H3087">
        <v>7.6</v>
      </c>
    </row>
    <row r="3088" spans="1:8" x14ac:dyDescent="0.25">
      <c r="A3088">
        <v>164</v>
      </c>
      <c r="B3088">
        <v>8373585</v>
      </c>
      <c r="C3088" t="s">
        <v>3061</v>
      </c>
      <c r="D3088" t="s">
        <v>1</v>
      </c>
      <c r="E3088" t="s">
        <v>2</v>
      </c>
      <c r="F3088">
        <v>7000000</v>
      </c>
      <c r="G3088">
        <v>1988</v>
      </c>
      <c r="H3088">
        <v>7.6</v>
      </c>
    </row>
    <row r="3089" spans="1:8" x14ac:dyDescent="0.25">
      <c r="A3089">
        <v>96</v>
      </c>
      <c r="B3089">
        <v>7292175</v>
      </c>
      <c r="C3089" t="s">
        <v>3062</v>
      </c>
      <c r="D3089" t="s">
        <v>1</v>
      </c>
      <c r="E3089" t="s">
        <v>2</v>
      </c>
      <c r="F3089">
        <v>7000000</v>
      </c>
      <c r="G3089">
        <v>1999</v>
      </c>
      <c r="H3089">
        <v>6.4</v>
      </c>
    </row>
    <row r="3090" spans="1:8" x14ac:dyDescent="0.25">
      <c r="A3090">
        <v>122</v>
      </c>
      <c r="B3090">
        <v>6601079</v>
      </c>
      <c r="C3090" t="s">
        <v>3063</v>
      </c>
      <c r="D3090" t="s">
        <v>1</v>
      </c>
      <c r="E3090" t="s">
        <v>5</v>
      </c>
      <c r="F3090">
        <v>7000000</v>
      </c>
      <c r="G3090">
        <v>2004</v>
      </c>
      <c r="H3090">
        <v>6.2</v>
      </c>
    </row>
    <row r="3091" spans="1:8" x14ac:dyDescent="0.25">
      <c r="A3091">
        <v>93</v>
      </c>
      <c r="B3091">
        <v>5694308</v>
      </c>
      <c r="C3091" t="s">
        <v>3065</v>
      </c>
      <c r="D3091" t="s">
        <v>1</v>
      </c>
      <c r="E3091" t="s">
        <v>2</v>
      </c>
      <c r="F3091">
        <v>7000000</v>
      </c>
      <c r="G3091">
        <v>2007</v>
      </c>
      <c r="H3091">
        <v>2</v>
      </c>
    </row>
    <row r="3092" spans="1:8" x14ac:dyDescent="0.25">
      <c r="A3092">
        <v>96</v>
      </c>
      <c r="B3092">
        <v>5430822</v>
      </c>
      <c r="C3092" t="s">
        <v>3066</v>
      </c>
      <c r="D3092" t="s">
        <v>1</v>
      </c>
      <c r="E3092" t="s">
        <v>5</v>
      </c>
      <c r="F3092">
        <v>7000000</v>
      </c>
      <c r="G3092">
        <v>1992</v>
      </c>
      <c r="H3092">
        <v>6.2</v>
      </c>
    </row>
    <row r="3093" spans="1:8" x14ac:dyDescent="0.25">
      <c r="A3093">
        <v>113</v>
      </c>
      <c r="B3093">
        <v>4720371</v>
      </c>
      <c r="C3093" t="s">
        <v>3067</v>
      </c>
      <c r="D3093" t="s">
        <v>1</v>
      </c>
      <c r="E3093" t="s">
        <v>2</v>
      </c>
      <c r="F3093">
        <v>7000000</v>
      </c>
      <c r="G3093">
        <v>2001</v>
      </c>
      <c r="H3093">
        <v>6.5</v>
      </c>
    </row>
    <row r="3094" spans="1:8" x14ac:dyDescent="0.25">
      <c r="A3094">
        <v>192</v>
      </c>
      <c r="B3094">
        <v>2921738</v>
      </c>
      <c r="C3094" t="s">
        <v>3068</v>
      </c>
      <c r="D3094" t="s">
        <v>1012</v>
      </c>
      <c r="E3094" t="s">
        <v>1013</v>
      </c>
      <c r="F3094">
        <v>7000000</v>
      </c>
      <c r="G3094">
        <v>2004</v>
      </c>
      <c r="H3094">
        <v>7.9</v>
      </c>
    </row>
    <row r="3095" spans="1:8" x14ac:dyDescent="0.25">
      <c r="A3095">
        <v>99</v>
      </c>
      <c r="B3095">
        <v>2344847</v>
      </c>
      <c r="C3095" t="s">
        <v>3069</v>
      </c>
      <c r="D3095" t="s">
        <v>1</v>
      </c>
      <c r="E3095" t="s">
        <v>2</v>
      </c>
      <c r="F3095">
        <v>7000000</v>
      </c>
      <c r="G3095">
        <v>2008</v>
      </c>
      <c r="H3095">
        <v>6.8</v>
      </c>
    </row>
    <row r="3096" spans="1:8" x14ac:dyDescent="0.25">
      <c r="A3096">
        <v>91</v>
      </c>
      <c r="B3096">
        <v>7455447</v>
      </c>
      <c r="C3096" t="s">
        <v>3070</v>
      </c>
      <c r="D3096" t="s">
        <v>1</v>
      </c>
      <c r="E3096" t="s">
        <v>2</v>
      </c>
      <c r="F3096">
        <v>7000000</v>
      </c>
      <c r="G3096">
        <v>2010</v>
      </c>
      <c r="H3096">
        <v>6.3</v>
      </c>
    </row>
    <row r="3097" spans="1:8" x14ac:dyDescent="0.25">
      <c r="A3097">
        <v>100</v>
      </c>
      <c r="B3097">
        <v>2148212</v>
      </c>
      <c r="C3097" t="s">
        <v>3071</v>
      </c>
      <c r="D3097" t="s">
        <v>1</v>
      </c>
      <c r="E3097" t="s">
        <v>2</v>
      </c>
      <c r="F3097">
        <v>7000000</v>
      </c>
      <c r="G3097">
        <v>1999</v>
      </c>
      <c r="H3097">
        <v>6.3</v>
      </c>
    </row>
    <row r="3098" spans="1:8" x14ac:dyDescent="0.25">
      <c r="A3098">
        <v>105</v>
      </c>
      <c r="B3098">
        <v>2062066</v>
      </c>
      <c r="C3098" t="s">
        <v>3072</v>
      </c>
      <c r="D3098" t="s">
        <v>1</v>
      </c>
      <c r="E3098" t="s">
        <v>2</v>
      </c>
      <c r="F3098">
        <v>7000000</v>
      </c>
      <c r="G3098">
        <v>2002</v>
      </c>
      <c r="H3098">
        <v>6.6</v>
      </c>
    </row>
    <row r="3099" spans="1:8" x14ac:dyDescent="0.25">
      <c r="A3099">
        <v>99</v>
      </c>
      <c r="B3099">
        <v>1654367</v>
      </c>
      <c r="C3099" t="s">
        <v>3073</v>
      </c>
      <c r="D3099" t="s">
        <v>1</v>
      </c>
      <c r="E3099" t="s">
        <v>2</v>
      </c>
      <c r="F3099">
        <v>7000000</v>
      </c>
      <c r="G3099">
        <v>2006</v>
      </c>
      <c r="H3099">
        <v>6.4</v>
      </c>
    </row>
    <row r="3100" spans="1:8" x14ac:dyDescent="0.25">
      <c r="A3100">
        <v>112</v>
      </c>
      <c r="B3100">
        <v>1738692</v>
      </c>
      <c r="C3100" t="s">
        <v>3074</v>
      </c>
      <c r="D3100" t="s">
        <v>1</v>
      </c>
      <c r="E3100" t="s">
        <v>5</v>
      </c>
      <c r="F3100">
        <v>7000000</v>
      </c>
      <c r="G3100">
        <v>2011</v>
      </c>
      <c r="H3100">
        <v>7.5</v>
      </c>
    </row>
    <row r="3101" spans="1:8" x14ac:dyDescent="0.25">
      <c r="A3101">
        <v>99</v>
      </c>
      <c r="B3101">
        <v>1889522</v>
      </c>
      <c r="C3101" t="s">
        <v>3075</v>
      </c>
      <c r="D3101" t="s">
        <v>1</v>
      </c>
      <c r="E3101" t="s">
        <v>2</v>
      </c>
      <c r="F3101">
        <v>7000000</v>
      </c>
      <c r="G3101">
        <v>2009</v>
      </c>
      <c r="H3101">
        <v>6.5</v>
      </c>
    </row>
    <row r="3102" spans="1:8" x14ac:dyDescent="0.25">
      <c r="A3102">
        <v>97</v>
      </c>
      <c r="B3102">
        <v>1768416</v>
      </c>
      <c r="C3102" t="s">
        <v>3079</v>
      </c>
      <c r="D3102" t="s">
        <v>1</v>
      </c>
      <c r="E3102" t="s">
        <v>2</v>
      </c>
      <c r="F3102">
        <v>7000000</v>
      </c>
      <c r="G3102">
        <v>2010</v>
      </c>
      <c r="H3102">
        <v>6.3</v>
      </c>
    </row>
    <row r="3103" spans="1:8" x14ac:dyDescent="0.25">
      <c r="A3103">
        <v>106</v>
      </c>
      <c r="B3103">
        <v>382946</v>
      </c>
      <c r="C3103" t="s">
        <v>3081</v>
      </c>
      <c r="D3103" t="s">
        <v>1</v>
      </c>
      <c r="E3103" t="s">
        <v>2</v>
      </c>
      <c r="F3103">
        <v>7000000</v>
      </c>
      <c r="G3103">
        <v>2010</v>
      </c>
      <c r="H3103">
        <v>7.1</v>
      </c>
    </row>
    <row r="3104" spans="1:8" x14ac:dyDescent="0.25">
      <c r="A3104">
        <v>96</v>
      </c>
      <c r="B3104">
        <v>196067</v>
      </c>
      <c r="C3104" t="s">
        <v>3083</v>
      </c>
      <c r="D3104" t="s">
        <v>1</v>
      </c>
      <c r="E3104" t="s">
        <v>5</v>
      </c>
      <c r="F3104">
        <v>7000000</v>
      </c>
      <c r="G3104">
        <v>2002</v>
      </c>
      <c r="H3104">
        <v>6.7</v>
      </c>
    </row>
    <row r="3105" spans="1:8" x14ac:dyDescent="0.25">
      <c r="A3105">
        <v>103</v>
      </c>
      <c r="B3105">
        <v>532988</v>
      </c>
      <c r="C3105" t="s">
        <v>3084</v>
      </c>
      <c r="D3105" t="s">
        <v>1</v>
      </c>
      <c r="E3105" t="s">
        <v>2</v>
      </c>
      <c r="F3105">
        <v>7000000</v>
      </c>
      <c r="G3105">
        <v>2015</v>
      </c>
      <c r="H3105">
        <v>6.5</v>
      </c>
    </row>
    <row r="3106" spans="1:8" x14ac:dyDescent="0.25">
      <c r="A3106">
        <v>108</v>
      </c>
      <c r="B3106">
        <v>453079</v>
      </c>
      <c r="C3106" t="s">
        <v>3085</v>
      </c>
      <c r="D3106" t="s">
        <v>1</v>
      </c>
      <c r="E3106" t="s">
        <v>2</v>
      </c>
      <c r="F3106">
        <v>7000000</v>
      </c>
      <c r="G3106">
        <v>2010</v>
      </c>
      <c r="H3106">
        <v>5.9</v>
      </c>
    </row>
    <row r="3107" spans="1:8" x14ac:dyDescent="0.25">
      <c r="A3107">
        <v>118</v>
      </c>
      <c r="B3107">
        <v>46451</v>
      </c>
      <c r="C3107" t="s">
        <v>3086</v>
      </c>
      <c r="D3107" t="s">
        <v>1</v>
      </c>
      <c r="E3107" t="s">
        <v>2</v>
      </c>
      <c r="F3107">
        <v>7000000</v>
      </c>
      <c r="G3107">
        <v>2010</v>
      </c>
      <c r="H3107">
        <v>6</v>
      </c>
    </row>
    <row r="3108" spans="1:8" x14ac:dyDescent="0.25">
      <c r="A3108">
        <v>97</v>
      </c>
      <c r="B3108">
        <v>233103</v>
      </c>
      <c r="C3108" t="s">
        <v>3087</v>
      </c>
      <c r="D3108" t="s">
        <v>1</v>
      </c>
      <c r="E3108" t="s">
        <v>5</v>
      </c>
      <c r="F3108">
        <v>7000000</v>
      </c>
      <c r="G3108">
        <v>2005</v>
      </c>
      <c r="H3108">
        <v>6.9</v>
      </c>
    </row>
    <row r="3109" spans="1:8" x14ac:dyDescent="0.25">
      <c r="A3109">
        <v>141</v>
      </c>
      <c r="B3109">
        <v>6173485</v>
      </c>
      <c r="C3109" t="s">
        <v>3107</v>
      </c>
      <c r="D3109" t="s">
        <v>1</v>
      </c>
      <c r="E3109" t="s">
        <v>119</v>
      </c>
      <c r="F3109">
        <v>7000000</v>
      </c>
      <c r="G3109">
        <v>2001</v>
      </c>
      <c r="H3109">
        <v>7.7</v>
      </c>
    </row>
    <row r="3110" spans="1:8" x14ac:dyDescent="0.25">
      <c r="A3110">
        <v>111</v>
      </c>
      <c r="B3110">
        <v>6200756</v>
      </c>
      <c r="C3110" t="s">
        <v>3182</v>
      </c>
      <c r="D3110" t="s">
        <v>1</v>
      </c>
      <c r="E3110" t="s">
        <v>2</v>
      </c>
      <c r="F3110">
        <v>7000000</v>
      </c>
      <c r="G3110">
        <v>2001</v>
      </c>
      <c r="H3110">
        <v>7.4</v>
      </c>
    </row>
    <row r="3111" spans="1:8" x14ac:dyDescent="0.25">
      <c r="A3111">
        <v>91</v>
      </c>
      <c r="B3111">
        <v>1040879</v>
      </c>
      <c r="C3111" t="s">
        <v>3265</v>
      </c>
      <c r="D3111" t="s">
        <v>1</v>
      </c>
      <c r="E3111" t="s">
        <v>2</v>
      </c>
      <c r="F3111">
        <v>7000000</v>
      </c>
      <c r="G3111">
        <v>1996</v>
      </c>
      <c r="H3111">
        <v>7.1</v>
      </c>
    </row>
    <row r="3112" spans="1:8" x14ac:dyDescent="0.25">
      <c r="A3112">
        <v>114</v>
      </c>
      <c r="B3112">
        <v>13876974</v>
      </c>
      <c r="C3112" t="s">
        <v>3594</v>
      </c>
      <c r="D3112" t="s">
        <v>1012</v>
      </c>
      <c r="E3112" t="s">
        <v>1013</v>
      </c>
      <c r="F3112">
        <v>7000000</v>
      </c>
      <c r="G3112">
        <v>2001</v>
      </c>
      <c r="H3112">
        <v>7.4</v>
      </c>
    </row>
    <row r="3113" spans="1:8" x14ac:dyDescent="0.25">
      <c r="A3113">
        <v>115</v>
      </c>
      <c r="B3113">
        <v>41400000</v>
      </c>
      <c r="C3113" t="s">
        <v>3088</v>
      </c>
      <c r="D3113" t="s">
        <v>1</v>
      </c>
      <c r="E3113" t="s">
        <v>2</v>
      </c>
      <c r="F3113">
        <v>6900000</v>
      </c>
      <c r="G3113">
        <v>1985</v>
      </c>
      <c r="H3113">
        <v>7.3</v>
      </c>
    </row>
    <row r="3114" spans="1:8" x14ac:dyDescent="0.25">
      <c r="A3114">
        <v>102</v>
      </c>
      <c r="B3114">
        <v>7993039</v>
      </c>
      <c r="C3114" t="s">
        <v>3089</v>
      </c>
      <c r="D3114" t="s">
        <v>1</v>
      </c>
      <c r="E3114" t="s">
        <v>2</v>
      </c>
      <c r="F3114">
        <v>6900000</v>
      </c>
      <c r="G3114">
        <v>1993</v>
      </c>
      <c r="H3114">
        <v>7.7</v>
      </c>
    </row>
    <row r="3115" spans="1:8" x14ac:dyDescent="0.25">
      <c r="A3115">
        <v>101</v>
      </c>
      <c r="B3115">
        <v>31607598</v>
      </c>
      <c r="C3115" t="s">
        <v>3093</v>
      </c>
      <c r="D3115" t="s">
        <v>1</v>
      </c>
      <c r="E3115" t="s">
        <v>38</v>
      </c>
      <c r="F3115">
        <v>6900000</v>
      </c>
      <c r="G3115">
        <v>2012</v>
      </c>
      <c r="H3115">
        <v>5.6</v>
      </c>
    </row>
    <row r="3116" spans="1:8" x14ac:dyDescent="0.25">
      <c r="A3116">
        <v>108</v>
      </c>
      <c r="B3116">
        <v>49526</v>
      </c>
      <c r="C3116" t="s">
        <v>3091</v>
      </c>
      <c r="D3116" t="s">
        <v>1</v>
      </c>
      <c r="E3116" t="s">
        <v>2</v>
      </c>
      <c r="F3116">
        <v>6800000</v>
      </c>
      <c r="G3116">
        <v>2005</v>
      </c>
      <c r="H3116">
        <v>7</v>
      </c>
    </row>
    <row r="3117" spans="1:8" x14ac:dyDescent="0.25">
      <c r="A3117">
        <v>101</v>
      </c>
      <c r="B3117">
        <v>10696</v>
      </c>
      <c r="C3117" t="s">
        <v>3092</v>
      </c>
      <c r="D3117" t="s">
        <v>1</v>
      </c>
      <c r="E3117" t="s">
        <v>2</v>
      </c>
      <c r="F3117">
        <v>6800000</v>
      </c>
      <c r="G3117">
        <v>2003</v>
      </c>
      <c r="H3117">
        <v>6.4</v>
      </c>
    </row>
    <row r="3118" spans="1:8" x14ac:dyDescent="0.25">
      <c r="A3118">
        <v>139</v>
      </c>
      <c r="B3118">
        <v>6857096</v>
      </c>
      <c r="C3118" t="s">
        <v>3094</v>
      </c>
      <c r="D3118" t="s">
        <v>243</v>
      </c>
      <c r="E3118" t="s">
        <v>38</v>
      </c>
      <c r="F3118">
        <v>6800000</v>
      </c>
      <c r="G3118">
        <v>2010</v>
      </c>
      <c r="H3118">
        <v>8.1999999999999993</v>
      </c>
    </row>
    <row r="3119" spans="1:8" x14ac:dyDescent="0.25">
      <c r="A3119">
        <v>112</v>
      </c>
      <c r="B3119">
        <v>37295394</v>
      </c>
      <c r="C3119" t="s">
        <v>3043</v>
      </c>
      <c r="D3119" t="s">
        <v>1</v>
      </c>
      <c r="E3119" t="s">
        <v>2</v>
      </c>
      <c r="F3119">
        <v>6600000</v>
      </c>
      <c r="G3119">
        <v>2011</v>
      </c>
      <c r="H3119">
        <v>5.7</v>
      </c>
    </row>
    <row r="3120" spans="1:8" x14ac:dyDescent="0.25">
      <c r="A3120">
        <v>143</v>
      </c>
      <c r="B3120">
        <v>82528097</v>
      </c>
      <c r="C3120" t="s">
        <v>1500</v>
      </c>
      <c r="D3120" t="s">
        <v>1</v>
      </c>
      <c r="E3120" t="s">
        <v>2</v>
      </c>
      <c r="F3120">
        <v>6500000</v>
      </c>
      <c r="G3120">
        <v>1995</v>
      </c>
      <c r="H3120">
        <v>7.3</v>
      </c>
    </row>
    <row r="3121" spans="1:8" x14ac:dyDescent="0.25">
      <c r="A3121">
        <v>115</v>
      </c>
      <c r="B3121">
        <v>54557348</v>
      </c>
      <c r="C3121" t="s">
        <v>2867</v>
      </c>
      <c r="D3121" t="s">
        <v>1</v>
      </c>
      <c r="E3121" t="s">
        <v>119</v>
      </c>
      <c r="F3121">
        <v>6500000</v>
      </c>
      <c r="G3121">
        <v>2004</v>
      </c>
      <c r="H3121">
        <v>7.9</v>
      </c>
    </row>
    <row r="3122" spans="1:8" x14ac:dyDescent="0.25">
      <c r="A3122">
        <v>85</v>
      </c>
      <c r="B3122">
        <v>70527</v>
      </c>
      <c r="C3122" t="s">
        <v>2904</v>
      </c>
      <c r="D3122" t="s">
        <v>1</v>
      </c>
      <c r="E3122" t="s">
        <v>2</v>
      </c>
      <c r="F3122">
        <v>6500000</v>
      </c>
      <c r="G3122">
        <v>2004</v>
      </c>
      <c r="H3122">
        <v>6.7</v>
      </c>
    </row>
    <row r="3123" spans="1:8" x14ac:dyDescent="0.25">
      <c r="A3123">
        <v>75</v>
      </c>
      <c r="B3123">
        <v>686383</v>
      </c>
      <c r="C3123" t="s">
        <v>3001</v>
      </c>
      <c r="D3123" t="s">
        <v>1</v>
      </c>
      <c r="E3123" t="s">
        <v>244</v>
      </c>
      <c r="F3123">
        <v>6500000</v>
      </c>
      <c r="G3123">
        <v>2009</v>
      </c>
      <c r="H3123">
        <v>7.7</v>
      </c>
    </row>
    <row r="3124" spans="1:8" x14ac:dyDescent="0.25">
      <c r="A3124">
        <v>92</v>
      </c>
      <c r="B3124">
        <v>24792061</v>
      </c>
      <c r="C3124" t="s">
        <v>3019</v>
      </c>
      <c r="D3124" t="s">
        <v>1</v>
      </c>
      <c r="E3124" t="s">
        <v>2</v>
      </c>
      <c r="F3124">
        <v>6500000</v>
      </c>
      <c r="G3124">
        <v>2005</v>
      </c>
      <c r="H3124">
        <v>7.6</v>
      </c>
    </row>
    <row r="3125" spans="1:8" x14ac:dyDescent="0.25">
      <c r="A3125">
        <v>115</v>
      </c>
      <c r="B3125">
        <v>54557348</v>
      </c>
      <c r="C3125" t="s">
        <v>2867</v>
      </c>
      <c r="D3125" t="s">
        <v>1</v>
      </c>
      <c r="E3125" t="s">
        <v>119</v>
      </c>
      <c r="F3125">
        <v>6500000</v>
      </c>
      <c r="G3125">
        <v>2004</v>
      </c>
      <c r="H3125">
        <v>7.9</v>
      </c>
    </row>
    <row r="3126" spans="1:8" x14ac:dyDescent="0.25">
      <c r="A3126">
        <v>99</v>
      </c>
      <c r="B3126">
        <v>84263837</v>
      </c>
      <c r="C3126" t="s">
        <v>3098</v>
      </c>
      <c r="D3126" t="s">
        <v>1</v>
      </c>
      <c r="E3126" t="s">
        <v>2</v>
      </c>
      <c r="F3126">
        <v>6500000</v>
      </c>
      <c r="G3126">
        <v>2014</v>
      </c>
      <c r="H3126">
        <v>5.4</v>
      </c>
    </row>
    <row r="3127" spans="1:8" x14ac:dyDescent="0.25">
      <c r="A3127">
        <v>88</v>
      </c>
      <c r="B3127">
        <v>110029</v>
      </c>
      <c r="C3127" t="s">
        <v>3099</v>
      </c>
      <c r="D3127" t="s">
        <v>1</v>
      </c>
      <c r="E3127" t="s">
        <v>55</v>
      </c>
      <c r="F3127">
        <v>6500000</v>
      </c>
      <c r="G3127">
        <v>2009</v>
      </c>
      <c r="H3127">
        <v>6.3</v>
      </c>
    </row>
    <row r="3128" spans="1:8" x14ac:dyDescent="0.25">
      <c r="A3128">
        <v>108</v>
      </c>
      <c r="B3128">
        <v>54215416</v>
      </c>
      <c r="C3128" t="s">
        <v>3101</v>
      </c>
      <c r="D3128" t="s">
        <v>1</v>
      </c>
      <c r="E3128" t="s">
        <v>2</v>
      </c>
      <c r="F3128">
        <v>6500000</v>
      </c>
      <c r="G3128">
        <v>1987</v>
      </c>
      <c r="H3128">
        <v>6.8</v>
      </c>
    </row>
    <row r="3129" spans="1:8" x14ac:dyDescent="0.25">
      <c r="A3129">
        <v>104</v>
      </c>
      <c r="B3129">
        <v>31899000</v>
      </c>
      <c r="C3129" t="s">
        <v>3102</v>
      </c>
      <c r="D3129" t="s">
        <v>1</v>
      </c>
      <c r="E3129" t="s">
        <v>2</v>
      </c>
      <c r="F3129">
        <v>6500000</v>
      </c>
      <c r="G3129">
        <v>1980</v>
      </c>
      <c r="H3129">
        <v>7.1</v>
      </c>
    </row>
    <row r="3130" spans="1:8" x14ac:dyDescent="0.25">
      <c r="A3130">
        <v>108</v>
      </c>
      <c r="B3130">
        <v>24103594</v>
      </c>
      <c r="C3130" t="s">
        <v>3103</v>
      </c>
      <c r="D3130" t="s">
        <v>1</v>
      </c>
      <c r="E3130" t="s">
        <v>2</v>
      </c>
      <c r="F3130">
        <v>6500000</v>
      </c>
      <c r="G3130">
        <v>1993</v>
      </c>
      <c r="H3130">
        <v>6.2</v>
      </c>
    </row>
    <row r="3131" spans="1:8" x14ac:dyDescent="0.25">
      <c r="A3131">
        <v>102</v>
      </c>
      <c r="B3131">
        <v>16842303</v>
      </c>
      <c r="C3131" t="s">
        <v>3104</v>
      </c>
      <c r="D3131" t="s">
        <v>1</v>
      </c>
      <c r="E3131" t="s">
        <v>2</v>
      </c>
      <c r="F3131">
        <v>6500000</v>
      </c>
      <c r="G3131">
        <v>1999</v>
      </c>
      <c r="H3131">
        <v>7.3</v>
      </c>
    </row>
    <row r="3132" spans="1:8" x14ac:dyDescent="0.25">
      <c r="A3132">
        <v>88</v>
      </c>
      <c r="B3132">
        <v>13367101</v>
      </c>
      <c r="C3132" t="s">
        <v>3105</v>
      </c>
      <c r="D3132" t="s">
        <v>1</v>
      </c>
      <c r="E3132" t="s">
        <v>2</v>
      </c>
      <c r="F3132">
        <v>6500000</v>
      </c>
      <c r="G3132">
        <v>2006</v>
      </c>
      <c r="H3132">
        <v>5.9</v>
      </c>
    </row>
    <row r="3133" spans="1:8" x14ac:dyDescent="0.25">
      <c r="A3133">
        <v>91</v>
      </c>
      <c r="B3133">
        <v>10149779</v>
      </c>
      <c r="C3133" t="s">
        <v>3106</v>
      </c>
      <c r="D3133" t="s">
        <v>1</v>
      </c>
      <c r="E3133" t="s">
        <v>2</v>
      </c>
      <c r="F3133">
        <v>6500000</v>
      </c>
      <c r="G3133">
        <v>1999</v>
      </c>
      <c r="H3133">
        <v>3.6</v>
      </c>
    </row>
    <row r="3134" spans="1:8" x14ac:dyDescent="0.25">
      <c r="A3134">
        <v>101</v>
      </c>
      <c r="B3134">
        <v>4000304</v>
      </c>
      <c r="C3134" t="s">
        <v>3108</v>
      </c>
      <c r="D3134" t="s">
        <v>1</v>
      </c>
      <c r="E3134" t="s">
        <v>5</v>
      </c>
      <c r="F3134">
        <v>6500000</v>
      </c>
      <c r="G3134">
        <v>2011</v>
      </c>
      <c r="H3134">
        <v>7.3</v>
      </c>
    </row>
    <row r="3135" spans="1:8" x14ac:dyDescent="0.25">
      <c r="A3135">
        <v>100</v>
      </c>
      <c r="B3135">
        <v>2024854</v>
      </c>
      <c r="C3135" t="s">
        <v>3110</v>
      </c>
      <c r="D3135" t="s">
        <v>1</v>
      </c>
      <c r="E3135" t="s">
        <v>2</v>
      </c>
      <c r="F3135">
        <v>6500000</v>
      </c>
      <c r="G3135">
        <v>2005</v>
      </c>
      <c r="H3135">
        <v>6.6</v>
      </c>
    </row>
    <row r="3136" spans="1:8" x14ac:dyDescent="0.25">
      <c r="A3136">
        <v>116</v>
      </c>
      <c r="B3136">
        <v>2268296</v>
      </c>
      <c r="C3136" t="s">
        <v>3111</v>
      </c>
      <c r="D3136" t="s">
        <v>1</v>
      </c>
      <c r="E3136" t="s">
        <v>5</v>
      </c>
      <c r="F3136">
        <v>6500000</v>
      </c>
      <c r="G3136">
        <v>2013</v>
      </c>
      <c r="H3136">
        <v>6.9</v>
      </c>
    </row>
    <row r="3137" spans="1:8" x14ac:dyDescent="0.25">
      <c r="A3137">
        <v>97</v>
      </c>
      <c r="B3137">
        <v>1029017</v>
      </c>
      <c r="C3137" t="s">
        <v>3112</v>
      </c>
      <c r="D3137" t="s">
        <v>1</v>
      </c>
      <c r="E3137" t="s">
        <v>2</v>
      </c>
      <c r="F3137">
        <v>6500000</v>
      </c>
      <c r="G3137">
        <v>2004</v>
      </c>
      <c r="H3137">
        <v>6.8</v>
      </c>
    </row>
    <row r="3138" spans="1:8" x14ac:dyDescent="0.25">
      <c r="A3138">
        <v>106</v>
      </c>
      <c r="B3138">
        <v>64148</v>
      </c>
      <c r="C3138" t="s">
        <v>3113</v>
      </c>
      <c r="D3138" t="s">
        <v>1</v>
      </c>
      <c r="E3138" t="s">
        <v>5</v>
      </c>
      <c r="F3138">
        <v>6500000</v>
      </c>
      <c r="G3138">
        <v>2000</v>
      </c>
      <c r="H3138">
        <v>7.3</v>
      </c>
    </row>
    <row r="3139" spans="1:8" x14ac:dyDescent="0.25">
      <c r="A3139">
        <v>105</v>
      </c>
      <c r="B3139">
        <v>66637</v>
      </c>
      <c r="C3139" t="s">
        <v>3114</v>
      </c>
      <c r="D3139" t="s">
        <v>1</v>
      </c>
      <c r="E3139" t="s">
        <v>2</v>
      </c>
      <c r="F3139">
        <v>6500000</v>
      </c>
      <c r="G3139">
        <v>2009</v>
      </c>
      <c r="H3139">
        <v>7.2</v>
      </c>
    </row>
    <row r="3140" spans="1:8" x14ac:dyDescent="0.25">
      <c r="A3140">
        <v>107</v>
      </c>
      <c r="B3140">
        <v>38400000</v>
      </c>
      <c r="C3140" t="s">
        <v>3116</v>
      </c>
      <c r="D3140" t="s">
        <v>1</v>
      </c>
      <c r="E3140" t="s">
        <v>5</v>
      </c>
      <c r="F3140">
        <v>6500000</v>
      </c>
      <c r="G3140">
        <v>1984</v>
      </c>
      <c r="H3140">
        <v>8.1</v>
      </c>
    </row>
    <row r="3141" spans="1:8" x14ac:dyDescent="0.25">
      <c r="A3141">
        <v>121</v>
      </c>
      <c r="B3141">
        <v>14545844</v>
      </c>
      <c r="C3141" t="s">
        <v>3137</v>
      </c>
      <c r="D3141" t="s">
        <v>1</v>
      </c>
      <c r="E3141" t="s">
        <v>2</v>
      </c>
      <c r="F3141">
        <v>6500000</v>
      </c>
      <c r="G3141">
        <v>1988</v>
      </c>
      <c r="H3141">
        <v>5.8</v>
      </c>
    </row>
    <row r="3142" spans="1:8" x14ac:dyDescent="0.25">
      <c r="A3142">
        <v>94</v>
      </c>
      <c r="B3142">
        <v>4693919</v>
      </c>
      <c r="C3142" t="s">
        <v>3152</v>
      </c>
      <c r="D3142" t="s">
        <v>1</v>
      </c>
      <c r="E3142" t="s">
        <v>2</v>
      </c>
      <c r="F3142">
        <v>6500000</v>
      </c>
      <c r="G3142">
        <v>2008</v>
      </c>
      <c r="H3142">
        <v>4.5999999999999996</v>
      </c>
    </row>
    <row r="3143" spans="1:8" x14ac:dyDescent="0.25">
      <c r="A3143">
        <v>120</v>
      </c>
      <c r="B3143">
        <v>27545445</v>
      </c>
      <c r="C3143" t="s">
        <v>3187</v>
      </c>
      <c r="D3143" t="s">
        <v>1</v>
      </c>
      <c r="E3143" t="s">
        <v>2</v>
      </c>
      <c r="F3143">
        <v>6500000</v>
      </c>
      <c r="G3143">
        <v>1989</v>
      </c>
      <c r="H3143">
        <v>7.9</v>
      </c>
    </row>
    <row r="3144" spans="1:8" x14ac:dyDescent="0.25">
      <c r="A3144">
        <v>99</v>
      </c>
      <c r="B3144">
        <v>14597405</v>
      </c>
      <c r="C3144" t="s">
        <v>2836</v>
      </c>
      <c r="D3144" t="s">
        <v>1</v>
      </c>
      <c r="E3144" t="s">
        <v>5</v>
      </c>
      <c r="F3144">
        <v>6400000</v>
      </c>
      <c r="G3144">
        <v>2011</v>
      </c>
      <c r="H3144">
        <v>7</v>
      </c>
    </row>
    <row r="3145" spans="1:8" x14ac:dyDescent="0.25">
      <c r="A3145">
        <v>83</v>
      </c>
      <c r="B3145">
        <v>126247</v>
      </c>
      <c r="C3145" t="s">
        <v>2897</v>
      </c>
      <c r="D3145" t="s">
        <v>1</v>
      </c>
      <c r="E3145" t="s">
        <v>2</v>
      </c>
      <c r="F3145">
        <v>6200000</v>
      </c>
      <c r="G3145">
        <v>1994</v>
      </c>
      <c r="H3145">
        <v>3.3</v>
      </c>
    </row>
    <row r="3146" spans="1:8" x14ac:dyDescent="0.25">
      <c r="A3146">
        <v>145</v>
      </c>
      <c r="B3146">
        <v>26435</v>
      </c>
      <c r="C3146" t="s">
        <v>2502</v>
      </c>
      <c r="D3146" t="s">
        <v>1644</v>
      </c>
      <c r="E3146" t="s">
        <v>119</v>
      </c>
      <c r="F3146">
        <v>6000000</v>
      </c>
      <c r="G3146">
        <v>1927</v>
      </c>
      <c r="H3146">
        <v>8.3000000000000007</v>
      </c>
    </row>
    <row r="3147" spans="1:8" x14ac:dyDescent="0.25">
      <c r="A3147">
        <v>90</v>
      </c>
      <c r="B3147">
        <v>22235901</v>
      </c>
      <c r="C3147" t="s">
        <v>2598</v>
      </c>
      <c r="D3147" t="s">
        <v>1</v>
      </c>
      <c r="E3147" t="s">
        <v>2</v>
      </c>
      <c r="F3147">
        <v>6000000</v>
      </c>
      <c r="G3147">
        <v>2001</v>
      </c>
      <c r="H3147">
        <v>6.1</v>
      </c>
    </row>
    <row r="3148" spans="1:8" x14ac:dyDescent="0.25">
      <c r="A3148">
        <v>104</v>
      </c>
      <c r="B3148">
        <v>30093107</v>
      </c>
      <c r="C3148" t="s">
        <v>2730</v>
      </c>
      <c r="D3148" t="s">
        <v>1</v>
      </c>
      <c r="E3148" t="s">
        <v>5</v>
      </c>
      <c r="F3148">
        <v>6000000</v>
      </c>
      <c r="G3148">
        <v>2000</v>
      </c>
      <c r="H3148">
        <v>8.3000000000000007</v>
      </c>
    </row>
    <row r="3149" spans="1:8" x14ac:dyDescent="0.25">
      <c r="A3149">
        <v>107</v>
      </c>
      <c r="B3149">
        <v>63231524</v>
      </c>
      <c r="C3149" t="s">
        <v>2789</v>
      </c>
      <c r="D3149" t="s">
        <v>1</v>
      </c>
      <c r="E3149" t="s">
        <v>2</v>
      </c>
      <c r="F3149">
        <v>6000000</v>
      </c>
      <c r="G3149">
        <v>2006</v>
      </c>
      <c r="H3149">
        <v>5</v>
      </c>
    </row>
    <row r="3150" spans="1:8" x14ac:dyDescent="0.25">
      <c r="A3150">
        <v>104</v>
      </c>
      <c r="B3150">
        <v>30093107</v>
      </c>
      <c r="C3150" t="s">
        <v>2730</v>
      </c>
      <c r="D3150" t="s">
        <v>1</v>
      </c>
      <c r="E3150" t="s">
        <v>5</v>
      </c>
      <c r="F3150">
        <v>6000000</v>
      </c>
      <c r="G3150">
        <v>2000</v>
      </c>
      <c r="H3150">
        <v>8.3000000000000007</v>
      </c>
    </row>
    <row r="3151" spans="1:8" x14ac:dyDescent="0.25">
      <c r="A3151">
        <v>94</v>
      </c>
      <c r="B3151">
        <v>8828771</v>
      </c>
      <c r="C3151" t="s">
        <v>2849</v>
      </c>
      <c r="D3151" t="s">
        <v>1</v>
      </c>
      <c r="E3151" t="s">
        <v>2</v>
      </c>
      <c r="F3151">
        <v>6000000</v>
      </c>
      <c r="G3151">
        <v>2013</v>
      </c>
      <c r="H3151">
        <v>4.3</v>
      </c>
    </row>
    <row r="3152" spans="1:8" x14ac:dyDescent="0.25">
      <c r="A3152">
        <v>104</v>
      </c>
      <c r="B3152">
        <v>2600000</v>
      </c>
      <c r="C3152" t="s">
        <v>2913</v>
      </c>
      <c r="D3152" t="s">
        <v>1</v>
      </c>
      <c r="E3152" t="s">
        <v>5</v>
      </c>
      <c r="F3152">
        <v>6000000</v>
      </c>
      <c r="G3152">
        <v>1995</v>
      </c>
      <c r="H3152">
        <v>7.5</v>
      </c>
    </row>
    <row r="3153" spans="1:8" x14ac:dyDescent="0.25">
      <c r="A3153">
        <v>175</v>
      </c>
      <c r="B3153">
        <v>134821952</v>
      </c>
      <c r="C3153" t="s">
        <v>3035</v>
      </c>
      <c r="D3153" t="s">
        <v>1</v>
      </c>
      <c r="E3153" t="s">
        <v>2</v>
      </c>
      <c r="F3153">
        <v>6000000</v>
      </c>
      <c r="G3153">
        <v>1972</v>
      </c>
      <c r="H3153">
        <v>9.1999999999999993</v>
      </c>
    </row>
    <row r="3154" spans="1:8" x14ac:dyDescent="0.25">
      <c r="A3154">
        <v>94</v>
      </c>
      <c r="B3154">
        <v>6165429</v>
      </c>
      <c r="C3154" t="s">
        <v>3064</v>
      </c>
      <c r="D3154" t="s">
        <v>376</v>
      </c>
      <c r="E3154" t="s">
        <v>55</v>
      </c>
      <c r="F3154">
        <v>6000000</v>
      </c>
      <c r="G3154">
        <v>2002</v>
      </c>
      <c r="H3154">
        <v>7.5</v>
      </c>
    </row>
    <row r="3155" spans="1:8" x14ac:dyDescent="0.25">
      <c r="A3155">
        <v>112</v>
      </c>
      <c r="B3155">
        <v>57504069</v>
      </c>
      <c r="C3155" t="s">
        <v>3100</v>
      </c>
      <c r="D3155" t="s">
        <v>1</v>
      </c>
      <c r="E3155" t="s">
        <v>2</v>
      </c>
      <c r="F3155">
        <v>6000000</v>
      </c>
      <c r="G3155">
        <v>1991</v>
      </c>
      <c r="H3155">
        <v>7.8</v>
      </c>
    </row>
    <row r="3156" spans="1:8" x14ac:dyDescent="0.25">
      <c r="A3156">
        <v>123</v>
      </c>
      <c r="B3156">
        <v>2122561</v>
      </c>
      <c r="C3156" t="s">
        <v>3119</v>
      </c>
      <c r="D3156" t="s">
        <v>1</v>
      </c>
      <c r="E3156" t="s">
        <v>2</v>
      </c>
      <c r="F3156">
        <v>6000000</v>
      </c>
      <c r="G3156">
        <v>1995</v>
      </c>
      <c r="H3156">
        <v>7.2</v>
      </c>
    </row>
    <row r="3157" spans="1:8" x14ac:dyDescent="0.25">
      <c r="A3157">
        <v>110</v>
      </c>
      <c r="B3157">
        <v>181360000</v>
      </c>
      <c r="C3157" t="s">
        <v>3120</v>
      </c>
      <c r="D3157" t="s">
        <v>1</v>
      </c>
      <c r="E3157" t="s">
        <v>2</v>
      </c>
      <c r="F3157">
        <v>6000000</v>
      </c>
      <c r="G3157">
        <v>1978</v>
      </c>
      <c r="H3157">
        <v>7.2</v>
      </c>
    </row>
    <row r="3158" spans="1:8" x14ac:dyDescent="0.25">
      <c r="A3158">
        <v>120</v>
      </c>
      <c r="B3158">
        <v>137963328</v>
      </c>
      <c r="C3158" t="s">
        <v>3121</v>
      </c>
      <c r="D3158" t="s">
        <v>1</v>
      </c>
      <c r="E3158" t="s">
        <v>5</v>
      </c>
      <c r="F3158">
        <v>6000000</v>
      </c>
      <c r="G3158">
        <v>1986</v>
      </c>
      <c r="H3158">
        <v>8.1</v>
      </c>
    </row>
    <row r="3159" spans="1:8" x14ac:dyDescent="0.25">
      <c r="A3159">
        <v>122</v>
      </c>
      <c r="B3159">
        <v>119078393</v>
      </c>
      <c r="C3159" t="s">
        <v>3122</v>
      </c>
      <c r="D3159" t="s">
        <v>1</v>
      </c>
      <c r="E3159" t="s">
        <v>2</v>
      </c>
      <c r="F3159">
        <v>6000000</v>
      </c>
      <c r="G3159">
        <v>2004</v>
      </c>
      <c r="H3159">
        <v>7.5</v>
      </c>
    </row>
    <row r="3160" spans="1:8" x14ac:dyDescent="0.25">
      <c r="A3160">
        <v>110</v>
      </c>
      <c r="B3160">
        <v>102308900</v>
      </c>
      <c r="C3160" t="s">
        <v>3123</v>
      </c>
      <c r="D3160" t="s">
        <v>1</v>
      </c>
      <c r="E3160" t="s">
        <v>2</v>
      </c>
      <c r="F3160">
        <v>6000000</v>
      </c>
      <c r="G3160">
        <v>1969</v>
      </c>
      <c r="H3160">
        <v>8.1</v>
      </c>
    </row>
    <row r="3161" spans="1:8" x14ac:dyDescent="0.25">
      <c r="A3161">
        <v>139</v>
      </c>
      <c r="B3161">
        <v>102300000</v>
      </c>
      <c r="C3161" t="s">
        <v>3124</v>
      </c>
      <c r="D3161" t="s">
        <v>1</v>
      </c>
      <c r="E3161" t="s">
        <v>2</v>
      </c>
      <c r="F3161">
        <v>6000000</v>
      </c>
      <c r="G3161">
        <v>1964</v>
      </c>
      <c r="H3161">
        <v>7.8</v>
      </c>
    </row>
    <row r="3162" spans="1:8" x14ac:dyDescent="0.25">
      <c r="A3162">
        <v>124</v>
      </c>
      <c r="B3162">
        <v>54800000</v>
      </c>
      <c r="C3162" t="s">
        <v>3125</v>
      </c>
      <c r="D3162" t="s">
        <v>1</v>
      </c>
      <c r="E3162" t="s">
        <v>2</v>
      </c>
      <c r="F3162">
        <v>6000000</v>
      </c>
      <c r="G3162">
        <v>1980</v>
      </c>
      <c r="H3162">
        <v>7.8</v>
      </c>
    </row>
    <row r="3163" spans="1:8" x14ac:dyDescent="0.25">
      <c r="A3163">
        <v>152</v>
      </c>
      <c r="B3163">
        <v>43650000</v>
      </c>
      <c r="C3163" t="s">
        <v>3126</v>
      </c>
      <c r="D3163" t="s">
        <v>1</v>
      </c>
      <c r="E3163" t="s">
        <v>2</v>
      </c>
      <c r="F3163">
        <v>6000000</v>
      </c>
      <c r="G3163">
        <v>1961</v>
      </c>
      <c r="H3163">
        <v>7.6</v>
      </c>
    </row>
    <row r="3164" spans="1:8" x14ac:dyDescent="0.25">
      <c r="A3164">
        <v>98</v>
      </c>
      <c r="B3164">
        <v>39800000</v>
      </c>
      <c r="C3164" t="s">
        <v>3127</v>
      </c>
      <c r="D3164" t="s">
        <v>1</v>
      </c>
      <c r="E3164" t="s">
        <v>2</v>
      </c>
      <c r="F3164">
        <v>6000000</v>
      </c>
      <c r="G3164">
        <v>1980</v>
      </c>
      <c r="H3164">
        <v>7.4</v>
      </c>
    </row>
    <row r="3165" spans="1:8" x14ac:dyDescent="0.25">
      <c r="A3165">
        <v>106</v>
      </c>
      <c r="B3165">
        <v>27457409</v>
      </c>
      <c r="C3165" t="s">
        <v>3128</v>
      </c>
      <c r="D3165" t="s">
        <v>1</v>
      </c>
      <c r="E3165" t="s">
        <v>2</v>
      </c>
      <c r="F3165">
        <v>6000000</v>
      </c>
      <c r="G3165">
        <v>2001</v>
      </c>
      <c r="H3165">
        <v>6.3</v>
      </c>
    </row>
    <row r="3166" spans="1:8" x14ac:dyDescent="0.25">
      <c r="A3166">
        <v>106</v>
      </c>
      <c r="B3166">
        <v>25047631</v>
      </c>
      <c r="C3166" t="s">
        <v>3129</v>
      </c>
      <c r="D3166" t="s">
        <v>1</v>
      </c>
      <c r="E3166" t="s">
        <v>2</v>
      </c>
      <c r="F3166">
        <v>6000000</v>
      </c>
      <c r="G3166">
        <v>1999</v>
      </c>
      <c r="H3166">
        <v>6.9</v>
      </c>
    </row>
    <row r="3167" spans="1:8" x14ac:dyDescent="0.25">
      <c r="A3167">
        <v>106</v>
      </c>
      <c r="B3167">
        <v>23272306</v>
      </c>
      <c r="C3167" t="s">
        <v>3130</v>
      </c>
      <c r="D3167" t="s">
        <v>1</v>
      </c>
      <c r="E3167" t="s">
        <v>2</v>
      </c>
      <c r="F3167">
        <v>6000000</v>
      </c>
      <c r="G3167">
        <v>1995</v>
      </c>
      <c r="H3167">
        <v>8.6</v>
      </c>
    </row>
    <row r="3168" spans="1:8" x14ac:dyDescent="0.25">
      <c r="A3168">
        <v>94</v>
      </c>
      <c r="B3168">
        <v>21005329</v>
      </c>
      <c r="C3168" t="s">
        <v>3132</v>
      </c>
      <c r="D3168" t="s">
        <v>1</v>
      </c>
      <c r="E3168" t="s">
        <v>119</v>
      </c>
      <c r="F3168">
        <v>6000000</v>
      </c>
      <c r="G3168">
        <v>2002</v>
      </c>
      <c r="H3168">
        <v>6.4</v>
      </c>
    </row>
    <row r="3169" spans="1:8" x14ac:dyDescent="0.25">
      <c r="A3169">
        <v>109</v>
      </c>
      <c r="B3169">
        <v>26236603</v>
      </c>
      <c r="C3169" t="s">
        <v>3133</v>
      </c>
      <c r="D3169" t="s">
        <v>1</v>
      </c>
      <c r="E3169" t="s">
        <v>2</v>
      </c>
      <c r="F3169">
        <v>6000000</v>
      </c>
      <c r="G3169">
        <v>2008</v>
      </c>
      <c r="H3169">
        <v>7.9</v>
      </c>
    </row>
    <row r="3170" spans="1:8" x14ac:dyDescent="0.25">
      <c r="A3170">
        <v>90</v>
      </c>
      <c r="B3170">
        <v>18621249</v>
      </c>
      <c r="C3170" t="s">
        <v>3135</v>
      </c>
      <c r="D3170" t="s">
        <v>1</v>
      </c>
      <c r="E3170" t="s">
        <v>2</v>
      </c>
      <c r="F3170">
        <v>6000000</v>
      </c>
      <c r="G3170">
        <v>2000</v>
      </c>
      <c r="H3170">
        <v>7.5</v>
      </c>
    </row>
    <row r="3171" spans="1:8" x14ac:dyDescent="0.25">
      <c r="A3171">
        <v>106</v>
      </c>
      <c r="B3171">
        <v>25244700</v>
      </c>
      <c r="C3171" t="s">
        <v>3136</v>
      </c>
      <c r="D3171" t="s">
        <v>1</v>
      </c>
      <c r="E3171" t="s">
        <v>5</v>
      </c>
      <c r="F3171">
        <v>6000000</v>
      </c>
      <c r="G3171">
        <v>1981</v>
      </c>
      <c r="H3171">
        <v>7.2</v>
      </c>
    </row>
    <row r="3172" spans="1:8" x14ac:dyDescent="0.25">
      <c r="A3172">
        <v>89</v>
      </c>
      <c r="B3172">
        <v>13235267</v>
      </c>
      <c r="C3172" t="s">
        <v>3138</v>
      </c>
      <c r="D3172" t="s">
        <v>1</v>
      </c>
      <c r="E3172" t="s">
        <v>2</v>
      </c>
      <c r="F3172">
        <v>6000000</v>
      </c>
      <c r="G3172">
        <v>2007</v>
      </c>
      <c r="H3172">
        <v>2.9</v>
      </c>
    </row>
    <row r="3173" spans="1:8" x14ac:dyDescent="0.25">
      <c r="A3173">
        <v>104</v>
      </c>
      <c r="B3173">
        <v>12793213</v>
      </c>
      <c r="C3173" t="s">
        <v>3139</v>
      </c>
      <c r="D3173" t="s">
        <v>1</v>
      </c>
      <c r="E3173" t="s">
        <v>2</v>
      </c>
      <c r="F3173">
        <v>6000000</v>
      </c>
      <c r="G3173">
        <v>1988</v>
      </c>
      <c r="H3173">
        <v>6.2</v>
      </c>
    </row>
    <row r="3174" spans="1:8" x14ac:dyDescent="0.25">
      <c r="A3174">
        <v>98</v>
      </c>
      <c r="B3174">
        <v>11797927</v>
      </c>
      <c r="C3174" t="s">
        <v>3141</v>
      </c>
      <c r="D3174" t="s">
        <v>1</v>
      </c>
      <c r="E3174" t="s">
        <v>2</v>
      </c>
      <c r="F3174">
        <v>6000000</v>
      </c>
      <c r="G3174">
        <v>1995</v>
      </c>
      <c r="H3174">
        <v>6.1</v>
      </c>
    </row>
    <row r="3175" spans="1:8" x14ac:dyDescent="0.25">
      <c r="A3175">
        <v>121</v>
      </c>
      <c r="B3175">
        <v>17605861</v>
      </c>
      <c r="C3175" t="s">
        <v>3142</v>
      </c>
      <c r="D3175" t="s">
        <v>1</v>
      </c>
      <c r="E3175" t="s">
        <v>5</v>
      </c>
      <c r="F3175">
        <v>6000000</v>
      </c>
      <c r="G3175">
        <v>2006</v>
      </c>
      <c r="H3175">
        <v>7.7</v>
      </c>
    </row>
    <row r="3176" spans="1:8" x14ac:dyDescent="0.25">
      <c r="A3176">
        <v>42</v>
      </c>
      <c r="B3176">
        <v>7518876</v>
      </c>
      <c r="C3176" t="s">
        <v>3145</v>
      </c>
      <c r="D3176" t="s">
        <v>1</v>
      </c>
      <c r="E3176" t="s">
        <v>5</v>
      </c>
      <c r="F3176">
        <v>6000000</v>
      </c>
      <c r="G3176">
        <v>2008</v>
      </c>
      <c r="H3176">
        <v>6.5</v>
      </c>
    </row>
    <row r="3177" spans="1:8" x14ac:dyDescent="0.25">
      <c r="A3177">
        <v>122</v>
      </c>
      <c r="B3177">
        <v>8596914</v>
      </c>
      <c r="C3177" t="s">
        <v>3146</v>
      </c>
      <c r="D3177" t="s">
        <v>1</v>
      </c>
      <c r="E3177" t="s">
        <v>2</v>
      </c>
      <c r="F3177">
        <v>6000000</v>
      </c>
      <c r="G3177">
        <v>2000</v>
      </c>
      <c r="H3177">
        <v>7</v>
      </c>
    </row>
    <row r="3178" spans="1:8" x14ac:dyDescent="0.25">
      <c r="A3178">
        <v>101</v>
      </c>
      <c r="B3178">
        <v>6851636</v>
      </c>
      <c r="C3178" t="s">
        <v>3147</v>
      </c>
      <c r="D3178" t="s">
        <v>1</v>
      </c>
      <c r="E3178" t="s">
        <v>2</v>
      </c>
      <c r="F3178">
        <v>6000000</v>
      </c>
      <c r="G3178">
        <v>1999</v>
      </c>
      <c r="H3178">
        <v>5.9</v>
      </c>
    </row>
    <row r="3179" spans="1:8" x14ac:dyDescent="0.25">
      <c r="A3179">
        <v>102</v>
      </c>
      <c r="B3179">
        <v>11434867</v>
      </c>
      <c r="C3179" t="s">
        <v>3148</v>
      </c>
      <c r="D3179" t="s">
        <v>1</v>
      </c>
      <c r="E3179" t="s">
        <v>2</v>
      </c>
      <c r="F3179">
        <v>6000000</v>
      </c>
      <c r="G3179">
        <v>2012</v>
      </c>
      <c r="H3179">
        <v>7.1</v>
      </c>
    </row>
    <row r="3180" spans="1:8" x14ac:dyDescent="0.25">
      <c r="A3180">
        <v>84</v>
      </c>
      <c r="B3180">
        <v>5895238</v>
      </c>
      <c r="C3180" t="s">
        <v>3149</v>
      </c>
      <c r="D3180" t="s">
        <v>475</v>
      </c>
      <c r="E3180" t="s">
        <v>2</v>
      </c>
      <c r="F3180">
        <v>6000000</v>
      </c>
      <c r="G3180">
        <v>2012</v>
      </c>
      <c r="H3180">
        <v>5.5</v>
      </c>
    </row>
    <row r="3181" spans="1:8" x14ac:dyDescent="0.25">
      <c r="A3181">
        <v>104</v>
      </c>
      <c r="B3181">
        <v>6670712</v>
      </c>
      <c r="C3181" t="s">
        <v>3150</v>
      </c>
      <c r="D3181" t="s">
        <v>1</v>
      </c>
      <c r="E3181" t="s">
        <v>2</v>
      </c>
      <c r="F3181">
        <v>6000000</v>
      </c>
      <c r="G3181">
        <v>2009</v>
      </c>
      <c r="H3181">
        <v>7.4</v>
      </c>
    </row>
    <row r="3182" spans="1:8" x14ac:dyDescent="0.25">
      <c r="A3182">
        <v>96</v>
      </c>
      <c r="B3182">
        <v>5359774</v>
      </c>
      <c r="C3182" t="s">
        <v>3151</v>
      </c>
      <c r="D3182" t="s">
        <v>1</v>
      </c>
      <c r="E3182" t="s">
        <v>1489</v>
      </c>
      <c r="F3182">
        <v>6000000</v>
      </c>
      <c r="G3182">
        <v>2011</v>
      </c>
      <c r="H3182">
        <v>7.3</v>
      </c>
    </row>
    <row r="3183" spans="1:8" x14ac:dyDescent="0.25">
      <c r="A3183">
        <v>90</v>
      </c>
      <c r="B3183">
        <v>4859475</v>
      </c>
      <c r="C3183" t="s">
        <v>3153</v>
      </c>
      <c r="D3183" t="s">
        <v>1</v>
      </c>
      <c r="E3183" t="s">
        <v>2</v>
      </c>
      <c r="F3183">
        <v>6000000</v>
      </c>
      <c r="G3183">
        <v>1999</v>
      </c>
      <c r="H3183">
        <v>7.2</v>
      </c>
    </row>
    <row r="3184" spans="1:8" x14ac:dyDescent="0.25">
      <c r="A3184">
        <v>90</v>
      </c>
      <c r="B3184">
        <v>4542775</v>
      </c>
      <c r="C3184" t="s">
        <v>3154</v>
      </c>
      <c r="D3184" t="s">
        <v>1</v>
      </c>
      <c r="E3184" t="s">
        <v>2</v>
      </c>
      <c r="F3184">
        <v>6000000</v>
      </c>
      <c r="G3184">
        <v>2009</v>
      </c>
      <c r="H3184">
        <v>5.0999999999999996</v>
      </c>
    </row>
    <row r="3185" spans="1:8" x14ac:dyDescent="0.25">
      <c r="A3185">
        <v>106</v>
      </c>
      <c r="B3185">
        <v>3588432</v>
      </c>
      <c r="C3185" t="s">
        <v>3155</v>
      </c>
      <c r="D3185" t="s">
        <v>1</v>
      </c>
      <c r="E3185" t="s">
        <v>2</v>
      </c>
      <c r="F3185">
        <v>6000000</v>
      </c>
      <c r="G3185">
        <v>2014</v>
      </c>
      <c r="H3185">
        <v>6.7</v>
      </c>
    </row>
    <row r="3186" spans="1:8" x14ac:dyDescent="0.25">
      <c r="A3186">
        <v>96</v>
      </c>
      <c r="B3186">
        <v>4394936</v>
      </c>
      <c r="C3186" t="s">
        <v>3156</v>
      </c>
      <c r="D3186" t="s">
        <v>1</v>
      </c>
      <c r="E3186" t="s">
        <v>119</v>
      </c>
      <c r="F3186">
        <v>6000000</v>
      </c>
      <c r="G3186">
        <v>1999</v>
      </c>
      <c r="H3186">
        <v>5.3</v>
      </c>
    </row>
    <row r="3187" spans="1:8" x14ac:dyDescent="0.25">
      <c r="A3187">
        <v>95</v>
      </c>
      <c r="B3187">
        <v>3029081</v>
      </c>
      <c r="C3187" t="s">
        <v>3157</v>
      </c>
      <c r="D3187" t="s">
        <v>1</v>
      </c>
      <c r="E3187" t="s">
        <v>2</v>
      </c>
      <c r="F3187">
        <v>6000000</v>
      </c>
      <c r="G3187">
        <v>2001</v>
      </c>
      <c r="H3187">
        <v>7.8</v>
      </c>
    </row>
    <row r="3188" spans="1:8" x14ac:dyDescent="0.25">
      <c r="A3188">
        <v>99</v>
      </c>
      <c r="B3188">
        <v>3273588</v>
      </c>
      <c r="C3188" t="s">
        <v>3158</v>
      </c>
      <c r="D3188" t="s">
        <v>1</v>
      </c>
      <c r="E3188" t="s">
        <v>2</v>
      </c>
      <c r="F3188">
        <v>6000000</v>
      </c>
      <c r="G3188">
        <v>1993</v>
      </c>
      <c r="H3188">
        <v>6.7</v>
      </c>
    </row>
    <row r="3189" spans="1:8" x14ac:dyDescent="0.25">
      <c r="A3189">
        <v>99</v>
      </c>
      <c r="B3189">
        <v>2207975</v>
      </c>
      <c r="C3189" t="s">
        <v>3159</v>
      </c>
      <c r="D3189" t="s">
        <v>1</v>
      </c>
      <c r="E3189" t="s">
        <v>2</v>
      </c>
      <c r="F3189">
        <v>6000000</v>
      </c>
      <c r="G3189">
        <v>2003</v>
      </c>
      <c r="H3189">
        <v>7.2</v>
      </c>
    </row>
    <row r="3190" spans="1:8" x14ac:dyDescent="0.25">
      <c r="A3190">
        <v>95</v>
      </c>
      <c r="B3190">
        <v>2025238</v>
      </c>
      <c r="C3190" t="s">
        <v>3160</v>
      </c>
      <c r="D3190" t="s">
        <v>1</v>
      </c>
      <c r="E3190" t="s">
        <v>2</v>
      </c>
      <c r="F3190">
        <v>6000000</v>
      </c>
      <c r="G3190">
        <v>2001</v>
      </c>
      <c r="H3190">
        <v>5.8</v>
      </c>
    </row>
    <row r="3191" spans="1:8" x14ac:dyDescent="0.25">
      <c r="A3191">
        <v>99</v>
      </c>
      <c r="B3191">
        <v>2077046</v>
      </c>
      <c r="C3191" t="s">
        <v>3161</v>
      </c>
      <c r="D3191" t="s">
        <v>1</v>
      </c>
      <c r="E3191" t="s">
        <v>2</v>
      </c>
      <c r="F3191">
        <v>6000000</v>
      </c>
      <c r="G3191">
        <v>2008</v>
      </c>
      <c r="H3191">
        <v>7</v>
      </c>
    </row>
    <row r="3192" spans="1:8" x14ac:dyDescent="0.25">
      <c r="A3192">
        <v>107</v>
      </c>
      <c r="B3192">
        <v>869325</v>
      </c>
      <c r="C3192" t="s">
        <v>3162</v>
      </c>
      <c r="D3192" t="s">
        <v>1</v>
      </c>
      <c r="E3192" t="s">
        <v>2</v>
      </c>
      <c r="F3192">
        <v>6000000</v>
      </c>
      <c r="G3192">
        <v>1991</v>
      </c>
      <c r="H3192">
        <v>3.8</v>
      </c>
    </row>
    <row r="3193" spans="1:8" x14ac:dyDescent="0.25">
      <c r="A3193">
        <v>90</v>
      </c>
      <c r="B3193">
        <v>399611</v>
      </c>
      <c r="C3193" t="s">
        <v>3163</v>
      </c>
      <c r="D3193" t="s">
        <v>1</v>
      </c>
      <c r="E3193" t="s">
        <v>2</v>
      </c>
      <c r="F3193">
        <v>6000000</v>
      </c>
      <c r="G3193">
        <v>2010</v>
      </c>
      <c r="H3193">
        <v>5.7</v>
      </c>
    </row>
    <row r="3194" spans="1:8" x14ac:dyDescent="0.25">
      <c r="A3194">
        <v>96</v>
      </c>
      <c r="B3194">
        <v>115862</v>
      </c>
      <c r="C3194" t="s">
        <v>3164</v>
      </c>
      <c r="D3194" t="s">
        <v>1</v>
      </c>
      <c r="E3194" t="s">
        <v>2</v>
      </c>
      <c r="F3194">
        <v>6000000</v>
      </c>
      <c r="G3194">
        <v>2009</v>
      </c>
      <c r="H3194">
        <v>6.7</v>
      </c>
    </row>
    <row r="3195" spans="1:8" x14ac:dyDescent="0.25">
      <c r="A3195">
        <v>104</v>
      </c>
      <c r="B3195">
        <v>1346503</v>
      </c>
      <c r="C3195" t="s">
        <v>3165</v>
      </c>
      <c r="D3195" t="s">
        <v>1</v>
      </c>
      <c r="E3195" t="s">
        <v>142</v>
      </c>
      <c r="F3195">
        <v>6000000</v>
      </c>
      <c r="G3195">
        <v>2011</v>
      </c>
      <c r="H3195">
        <v>6.1</v>
      </c>
    </row>
    <row r="3196" spans="1:8" x14ac:dyDescent="0.25">
      <c r="A3196">
        <v>97</v>
      </c>
      <c r="B3196">
        <v>117560</v>
      </c>
      <c r="C3196" t="s">
        <v>3166</v>
      </c>
      <c r="D3196" t="s">
        <v>1</v>
      </c>
      <c r="E3196" t="s">
        <v>2</v>
      </c>
      <c r="F3196">
        <v>6000000</v>
      </c>
      <c r="G3196">
        <v>2006</v>
      </c>
      <c r="H3196">
        <v>6.2</v>
      </c>
    </row>
    <row r="3197" spans="1:8" x14ac:dyDescent="0.25">
      <c r="A3197">
        <v>107</v>
      </c>
      <c r="B3197">
        <v>54606</v>
      </c>
      <c r="C3197" t="s">
        <v>3167</v>
      </c>
      <c r="D3197" t="s">
        <v>1</v>
      </c>
      <c r="E3197" t="s">
        <v>5</v>
      </c>
      <c r="F3197">
        <v>6000000</v>
      </c>
      <c r="G3197">
        <v>2001</v>
      </c>
      <c r="H3197">
        <v>6.2</v>
      </c>
    </row>
    <row r="3198" spans="1:8" x14ac:dyDescent="0.25">
      <c r="A3198">
        <v>85</v>
      </c>
      <c r="B3198">
        <v>36497</v>
      </c>
      <c r="C3198" t="s">
        <v>3168</v>
      </c>
      <c r="D3198" t="s">
        <v>1</v>
      </c>
      <c r="E3198" t="s">
        <v>2</v>
      </c>
      <c r="F3198">
        <v>6000000</v>
      </c>
      <c r="G3198">
        <v>2008</v>
      </c>
      <c r="H3198">
        <v>4.7</v>
      </c>
    </row>
    <row r="3199" spans="1:8" x14ac:dyDescent="0.25">
      <c r="A3199">
        <v>98</v>
      </c>
      <c r="B3199">
        <v>795126</v>
      </c>
      <c r="C3199" t="s">
        <v>3196</v>
      </c>
      <c r="D3199" t="s">
        <v>1</v>
      </c>
      <c r="E3199" t="s">
        <v>38</v>
      </c>
      <c r="F3199">
        <v>6000000</v>
      </c>
      <c r="G3199">
        <v>2004</v>
      </c>
      <c r="H3199">
        <v>7.6</v>
      </c>
    </row>
    <row r="3200" spans="1:8" x14ac:dyDescent="0.25">
      <c r="A3200">
        <v>109</v>
      </c>
      <c r="B3200">
        <v>14821531</v>
      </c>
      <c r="C3200" t="s">
        <v>3225</v>
      </c>
      <c r="D3200" t="s">
        <v>1</v>
      </c>
      <c r="E3200" t="s">
        <v>2</v>
      </c>
      <c r="F3200">
        <v>6000000</v>
      </c>
      <c r="G3200">
        <v>1997</v>
      </c>
      <c r="H3200">
        <v>7.3</v>
      </c>
    </row>
    <row r="3201" spans="1:8" x14ac:dyDescent="0.25">
      <c r="A3201">
        <v>112</v>
      </c>
      <c r="B3201">
        <v>3432342</v>
      </c>
      <c r="C3201" t="s">
        <v>3245</v>
      </c>
      <c r="D3201" t="s">
        <v>243</v>
      </c>
      <c r="E3201" t="s">
        <v>38</v>
      </c>
      <c r="F3201">
        <v>6000000</v>
      </c>
      <c r="G3201">
        <v>2003</v>
      </c>
      <c r="H3201">
        <v>7.7</v>
      </c>
    </row>
    <row r="3202" spans="1:8" x14ac:dyDescent="0.25">
      <c r="A3202">
        <v>101</v>
      </c>
      <c r="B3202">
        <v>20772796</v>
      </c>
      <c r="C3202" t="s">
        <v>3300</v>
      </c>
      <c r="D3202" t="s">
        <v>1</v>
      </c>
      <c r="E3202" t="s">
        <v>23</v>
      </c>
      <c r="F3202">
        <v>6000000</v>
      </c>
      <c r="G3202">
        <v>2002</v>
      </c>
      <c r="H3202">
        <v>7.6</v>
      </c>
    </row>
    <row r="3203" spans="1:8" x14ac:dyDescent="0.25">
      <c r="A3203">
        <v>82</v>
      </c>
      <c r="B3203">
        <v>9821335</v>
      </c>
      <c r="C3203" t="s">
        <v>3319</v>
      </c>
      <c r="D3203" t="s">
        <v>1</v>
      </c>
      <c r="E3203" t="s">
        <v>2</v>
      </c>
      <c r="F3203">
        <v>6000000</v>
      </c>
      <c r="G3203">
        <v>2000</v>
      </c>
      <c r="H3203">
        <v>4</v>
      </c>
    </row>
    <row r="3204" spans="1:8" x14ac:dyDescent="0.25">
      <c r="A3204">
        <v>96</v>
      </c>
      <c r="B3204">
        <v>371081</v>
      </c>
      <c r="C3204" t="s">
        <v>3512</v>
      </c>
      <c r="D3204" t="s">
        <v>1</v>
      </c>
      <c r="E3204" t="s">
        <v>2</v>
      </c>
      <c r="F3204">
        <v>6000000</v>
      </c>
      <c r="G3204">
        <v>2004</v>
      </c>
      <c r="H3204">
        <v>7</v>
      </c>
    </row>
    <row r="3205" spans="1:8" x14ac:dyDescent="0.25">
      <c r="A3205">
        <v>100</v>
      </c>
      <c r="B3205">
        <v>7186670</v>
      </c>
      <c r="C3205" t="s">
        <v>3626</v>
      </c>
      <c r="D3205" t="s">
        <v>1</v>
      </c>
      <c r="E3205" t="s">
        <v>2</v>
      </c>
      <c r="F3205">
        <v>6000000</v>
      </c>
      <c r="G3205">
        <v>2013</v>
      </c>
      <c r="H3205">
        <v>5.4</v>
      </c>
    </row>
    <row r="3206" spans="1:8" x14ac:dyDescent="0.25">
      <c r="A3206">
        <v>89</v>
      </c>
      <c r="B3206">
        <v>12843</v>
      </c>
      <c r="C3206" t="s">
        <v>3753</v>
      </c>
      <c r="D3206" t="s">
        <v>1</v>
      </c>
      <c r="E3206" t="s">
        <v>244</v>
      </c>
      <c r="F3206">
        <v>6000000</v>
      </c>
      <c r="G3206">
        <v>2012</v>
      </c>
      <c r="H3206">
        <v>6.1</v>
      </c>
    </row>
    <row r="3207" spans="1:8" x14ac:dyDescent="0.25">
      <c r="A3207">
        <v>141</v>
      </c>
      <c r="B3207">
        <v>3064356</v>
      </c>
      <c r="C3207" t="s">
        <v>3174</v>
      </c>
      <c r="D3207" t="s">
        <v>1</v>
      </c>
      <c r="E3207" t="s">
        <v>2</v>
      </c>
      <c r="F3207">
        <v>5600000</v>
      </c>
      <c r="G3207">
        <v>2002</v>
      </c>
      <c r="H3207">
        <v>6.9</v>
      </c>
    </row>
    <row r="3208" spans="1:8" x14ac:dyDescent="0.25">
      <c r="A3208">
        <v>95</v>
      </c>
      <c r="B3208">
        <v>7009668</v>
      </c>
      <c r="C3208" t="s">
        <v>3175</v>
      </c>
      <c r="D3208" t="s">
        <v>1</v>
      </c>
      <c r="E3208" t="s">
        <v>2</v>
      </c>
      <c r="F3208">
        <v>5600000</v>
      </c>
      <c r="G3208">
        <v>2006</v>
      </c>
      <c r="H3208">
        <v>2.1</v>
      </c>
    </row>
    <row r="3209" spans="1:8" x14ac:dyDescent="0.25">
      <c r="A3209">
        <v>85</v>
      </c>
      <c r="B3209">
        <v>27024</v>
      </c>
      <c r="C3209" t="s">
        <v>3176</v>
      </c>
      <c r="D3209" t="s">
        <v>475</v>
      </c>
      <c r="E3209" t="s">
        <v>620</v>
      </c>
      <c r="F3209">
        <v>5600000</v>
      </c>
      <c r="G3209">
        <v>2009</v>
      </c>
      <c r="H3209">
        <v>6.6</v>
      </c>
    </row>
    <row r="3210" spans="1:8" x14ac:dyDescent="0.25">
      <c r="A3210">
        <v>129</v>
      </c>
      <c r="B3210">
        <v>159600000</v>
      </c>
      <c r="C3210" t="s">
        <v>3177</v>
      </c>
      <c r="D3210" t="s">
        <v>1</v>
      </c>
      <c r="E3210" t="s">
        <v>2</v>
      </c>
      <c r="F3210">
        <v>5500000</v>
      </c>
      <c r="G3210">
        <v>1973</v>
      </c>
      <c r="H3210">
        <v>8.3000000000000007</v>
      </c>
    </row>
    <row r="3211" spans="1:8" x14ac:dyDescent="0.25">
      <c r="A3211">
        <v>125</v>
      </c>
      <c r="B3211">
        <v>58800000</v>
      </c>
      <c r="C3211" t="s">
        <v>3178</v>
      </c>
      <c r="D3211" t="s">
        <v>1</v>
      </c>
      <c r="E3211" t="s">
        <v>5</v>
      </c>
      <c r="F3211">
        <v>5500000</v>
      </c>
      <c r="G3211">
        <v>1981</v>
      </c>
      <c r="H3211">
        <v>7.2</v>
      </c>
    </row>
    <row r="3212" spans="1:8" x14ac:dyDescent="0.25">
      <c r="A3212">
        <v>116</v>
      </c>
      <c r="B3212">
        <v>50382128</v>
      </c>
      <c r="C3212" t="s">
        <v>3179</v>
      </c>
      <c r="D3212" t="s">
        <v>1</v>
      </c>
      <c r="E3212" t="s">
        <v>2</v>
      </c>
      <c r="F3212">
        <v>5500000</v>
      </c>
      <c r="G3212">
        <v>2005</v>
      </c>
      <c r="H3212">
        <v>5.6</v>
      </c>
    </row>
    <row r="3213" spans="1:8" x14ac:dyDescent="0.25">
      <c r="A3213">
        <v>105</v>
      </c>
      <c r="B3213">
        <v>35811509</v>
      </c>
      <c r="C3213" t="s">
        <v>3180</v>
      </c>
      <c r="D3213" t="s">
        <v>1</v>
      </c>
      <c r="E3213" t="s">
        <v>55</v>
      </c>
      <c r="F3213">
        <v>5500000</v>
      </c>
      <c r="G3213">
        <v>1996</v>
      </c>
      <c r="H3213">
        <v>7.7</v>
      </c>
    </row>
    <row r="3214" spans="1:8" x14ac:dyDescent="0.25">
      <c r="A3214">
        <v>91</v>
      </c>
      <c r="B3214">
        <v>1292119</v>
      </c>
      <c r="C3214" t="s">
        <v>3183</v>
      </c>
      <c r="D3214" t="s">
        <v>1</v>
      </c>
      <c r="E3214" t="s">
        <v>5</v>
      </c>
      <c r="F3214">
        <v>5500000</v>
      </c>
      <c r="G3214">
        <v>2001</v>
      </c>
      <c r="H3214">
        <v>7.1</v>
      </c>
    </row>
    <row r="3215" spans="1:8" x14ac:dyDescent="0.25">
      <c r="A3215">
        <v>97</v>
      </c>
      <c r="B3215">
        <v>3629758</v>
      </c>
      <c r="C3215" t="s">
        <v>3184</v>
      </c>
      <c r="D3215" t="s">
        <v>243</v>
      </c>
      <c r="E3215" t="s">
        <v>244</v>
      </c>
      <c r="F3215">
        <v>5500000</v>
      </c>
      <c r="G3215">
        <v>2004</v>
      </c>
      <c r="H3215">
        <v>7.9</v>
      </c>
    </row>
    <row r="3216" spans="1:8" x14ac:dyDescent="0.25">
      <c r="A3216">
        <v>99</v>
      </c>
      <c r="B3216">
        <v>56007</v>
      </c>
      <c r="C3216" t="s">
        <v>3188</v>
      </c>
      <c r="D3216" t="s">
        <v>1</v>
      </c>
      <c r="E3216" t="s">
        <v>2</v>
      </c>
      <c r="F3216">
        <v>5500000</v>
      </c>
      <c r="G3216">
        <v>2001</v>
      </c>
      <c r="H3216">
        <v>4.9000000000000004</v>
      </c>
    </row>
    <row r="3217" spans="1:8" x14ac:dyDescent="0.25">
      <c r="A3217">
        <v>99</v>
      </c>
      <c r="B3217">
        <v>22770</v>
      </c>
      <c r="C3217" t="s">
        <v>3191</v>
      </c>
      <c r="D3217" t="s">
        <v>102</v>
      </c>
      <c r="E3217" t="s">
        <v>103</v>
      </c>
      <c r="F3217">
        <v>5500000</v>
      </c>
      <c r="G3217">
        <v>2013</v>
      </c>
      <c r="H3217">
        <v>6.1</v>
      </c>
    </row>
    <row r="3218" spans="1:8" x14ac:dyDescent="0.25">
      <c r="A3218">
        <v>111</v>
      </c>
      <c r="B3218">
        <v>3895664</v>
      </c>
      <c r="C3218" t="s">
        <v>3170</v>
      </c>
      <c r="D3218" t="s">
        <v>243</v>
      </c>
      <c r="E3218" t="s">
        <v>244</v>
      </c>
      <c r="F3218">
        <v>5300000</v>
      </c>
      <c r="G3218">
        <v>2002</v>
      </c>
      <c r="H3218">
        <v>7.3</v>
      </c>
    </row>
    <row r="3219" spans="1:8" x14ac:dyDescent="0.25">
      <c r="A3219">
        <v>96</v>
      </c>
      <c r="B3219">
        <v>766487</v>
      </c>
      <c r="C3219" t="s">
        <v>3193</v>
      </c>
      <c r="D3219" t="s">
        <v>1</v>
      </c>
      <c r="E3219" t="s">
        <v>2</v>
      </c>
      <c r="F3219">
        <v>5250000</v>
      </c>
      <c r="G3219">
        <v>2007</v>
      </c>
      <c r="H3219">
        <v>5</v>
      </c>
    </row>
    <row r="3220" spans="1:8" x14ac:dyDescent="0.25">
      <c r="A3220">
        <v>103</v>
      </c>
      <c r="B3220">
        <v>42365600</v>
      </c>
      <c r="C3220" t="s">
        <v>2666</v>
      </c>
      <c r="D3220" t="s">
        <v>1</v>
      </c>
      <c r="E3220" t="s">
        <v>5</v>
      </c>
      <c r="F3220">
        <v>5000000</v>
      </c>
      <c r="G3220">
        <v>1981</v>
      </c>
      <c r="H3220">
        <v>7</v>
      </c>
    </row>
    <row r="3221" spans="1:8" x14ac:dyDescent="0.25">
      <c r="A3221">
        <v>95</v>
      </c>
      <c r="B3221">
        <v>16017403</v>
      </c>
      <c r="C3221" t="s">
        <v>2768</v>
      </c>
      <c r="D3221" t="s">
        <v>1</v>
      </c>
      <c r="E3221" t="s">
        <v>2</v>
      </c>
      <c r="F3221">
        <v>5000000</v>
      </c>
      <c r="G3221">
        <v>2001</v>
      </c>
      <c r="H3221">
        <v>6.2</v>
      </c>
    </row>
    <row r="3222" spans="1:8" x14ac:dyDescent="0.25">
      <c r="A3222">
        <v>108</v>
      </c>
      <c r="B3222">
        <v>43771291</v>
      </c>
      <c r="C3222" t="s">
        <v>2839</v>
      </c>
      <c r="D3222" t="s">
        <v>1</v>
      </c>
      <c r="E3222" t="s">
        <v>2</v>
      </c>
      <c r="F3222">
        <v>5000000</v>
      </c>
      <c r="G3222">
        <v>2015</v>
      </c>
      <c r="H3222">
        <v>7.1</v>
      </c>
    </row>
    <row r="3223" spans="1:8" x14ac:dyDescent="0.25">
      <c r="A3223">
        <v>96</v>
      </c>
      <c r="B3223">
        <v>1474508</v>
      </c>
      <c r="C3223" t="s">
        <v>2883</v>
      </c>
      <c r="D3223" t="s">
        <v>1</v>
      </c>
      <c r="E3223" t="s">
        <v>2</v>
      </c>
      <c r="F3223">
        <v>5000000</v>
      </c>
      <c r="G3223">
        <v>2009</v>
      </c>
      <c r="H3223">
        <v>6.5</v>
      </c>
    </row>
    <row r="3224" spans="1:8" x14ac:dyDescent="0.25">
      <c r="A3224">
        <v>103</v>
      </c>
      <c r="B3224">
        <v>3093491</v>
      </c>
      <c r="C3224" t="s">
        <v>2892</v>
      </c>
      <c r="D3224" t="s">
        <v>1</v>
      </c>
      <c r="E3224" t="s">
        <v>2</v>
      </c>
      <c r="F3224">
        <v>5000000</v>
      </c>
      <c r="G3224">
        <v>2014</v>
      </c>
      <c r="H3224">
        <v>6.6</v>
      </c>
    </row>
    <row r="3225" spans="1:8" x14ac:dyDescent="0.25">
      <c r="A3225">
        <v>90</v>
      </c>
      <c r="B3225">
        <v>136432</v>
      </c>
      <c r="C3225" t="s">
        <v>2895</v>
      </c>
      <c r="D3225" t="s">
        <v>1</v>
      </c>
      <c r="E3225" t="s">
        <v>5</v>
      </c>
      <c r="F3225">
        <v>5000000</v>
      </c>
      <c r="G3225">
        <v>2006</v>
      </c>
      <c r="H3225">
        <v>6.6</v>
      </c>
    </row>
    <row r="3226" spans="1:8" x14ac:dyDescent="0.25">
      <c r="A3226">
        <v>90</v>
      </c>
      <c r="B3226">
        <v>92900</v>
      </c>
      <c r="C3226" t="s">
        <v>2901</v>
      </c>
      <c r="D3226" t="s">
        <v>1</v>
      </c>
      <c r="E3226" t="s">
        <v>2</v>
      </c>
      <c r="F3226">
        <v>5000000</v>
      </c>
      <c r="G3226">
        <v>2009</v>
      </c>
      <c r="H3226">
        <v>4.7</v>
      </c>
    </row>
    <row r="3227" spans="1:8" x14ac:dyDescent="0.25">
      <c r="A3227">
        <v>93</v>
      </c>
      <c r="B3227">
        <v>14015786</v>
      </c>
      <c r="C3227" t="s">
        <v>2984</v>
      </c>
      <c r="D3227" t="s">
        <v>1</v>
      </c>
      <c r="E3227" t="s">
        <v>2</v>
      </c>
      <c r="F3227">
        <v>5000000</v>
      </c>
      <c r="G3227">
        <v>2002</v>
      </c>
      <c r="H3227">
        <v>6.5</v>
      </c>
    </row>
    <row r="3228" spans="1:8" x14ac:dyDescent="0.25">
      <c r="A3228">
        <v>95</v>
      </c>
      <c r="B3228">
        <v>34099640</v>
      </c>
      <c r="C3228" t="s">
        <v>3042</v>
      </c>
      <c r="D3228" t="s">
        <v>1</v>
      </c>
      <c r="E3228" t="s">
        <v>2</v>
      </c>
      <c r="F3228">
        <v>5000000</v>
      </c>
      <c r="G3228">
        <v>2000</v>
      </c>
      <c r="H3228">
        <v>7</v>
      </c>
    </row>
    <row r="3229" spans="1:8" x14ac:dyDescent="0.25">
      <c r="A3229">
        <v>125</v>
      </c>
      <c r="B3229">
        <v>223878</v>
      </c>
      <c r="C3229" t="s">
        <v>3095</v>
      </c>
      <c r="D3229" t="s">
        <v>1850</v>
      </c>
      <c r="E3229" t="s">
        <v>1307</v>
      </c>
      <c r="F3229">
        <v>5000000</v>
      </c>
      <c r="G3229">
        <v>2003</v>
      </c>
      <c r="H3229">
        <v>6.5</v>
      </c>
    </row>
    <row r="3230" spans="1:8" x14ac:dyDescent="0.25">
      <c r="A3230">
        <v>99</v>
      </c>
      <c r="B3230">
        <v>9203192</v>
      </c>
      <c r="C3230" t="s">
        <v>3144</v>
      </c>
      <c r="D3230" t="s">
        <v>1</v>
      </c>
      <c r="E3230" t="s">
        <v>2</v>
      </c>
      <c r="F3230">
        <v>5000000</v>
      </c>
      <c r="G3230">
        <v>2011</v>
      </c>
      <c r="H3230">
        <v>6.8</v>
      </c>
    </row>
    <row r="3231" spans="1:8" x14ac:dyDescent="0.25">
      <c r="A3231">
        <v>92</v>
      </c>
      <c r="B3231">
        <v>6239558</v>
      </c>
      <c r="C3231" t="s">
        <v>3185</v>
      </c>
      <c r="D3231" t="s">
        <v>1</v>
      </c>
      <c r="E3231" t="s">
        <v>38</v>
      </c>
      <c r="F3231">
        <v>5000000</v>
      </c>
      <c r="G3231">
        <v>2003</v>
      </c>
      <c r="H3231">
        <v>6.7</v>
      </c>
    </row>
    <row r="3232" spans="1:8" x14ac:dyDescent="0.25">
      <c r="A3232">
        <v>104</v>
      </c>
      <c r="B3232">
        <v>1056102</v>
      </c>
      <c r="C3232" t="s">
        <v>3186</v>
      </c>
      <c r="D3232" t="s">
        <v>1</v>
      </c>
      <c r="E3232" t="s">
        <v>2</v>
      </c>
      <c r="F3232">
        <v>5000000</v>
      </c>
      <c r="G3232">
        <v>2003</v>
      </c>
      <c r="H3232">
        <v>6.6</v>
      </c>
    </row>
    <row r="3233" spans="1:8" x14ac:dyDescent="0.25">
      <c r="A3233">
        <v>106</v>
      </c>
      <c r="B3233">
        <v>83574831</v>
      </c>
      <c r="C3233" t="s">
        <v>3197</v>
      </c>
      <c r="D3233" t="s">
        <v>1</v>
      </c>
      <c r="E3233" t="s">
        <v>2</v>
      </c>
      <c r="F3233">
        <v>5000000</v>
      </c>
      <c r="G3233">
        <v>2013</v>
      </c>
      <c r="H3233">
        <v>6.6</v>
      </c>
    </row>
    <row r="3234" spans="1:8" x14ac:dyDescent="0.25">
      <c r="A3234">
        <v>87</v>
      </c>
      <c r="B3234">
        <v>64267897</v>
      </c>
      <c r="C3234" t="s">
        <v>3200</v>
      </c>
      <c r="D3234" t="s">
        <v>1</v>
      </c>
      <c r="E3234" t="s">
        <v>2</v>
      </c>
      <c r="F3234">
        <v>5000000</v>
      </c>
      <c r="G3234">
        <v>2002</v>
      </c>
      <c r="H3234">
        <v>6.6</v>
      </c>
    </row>
    <row r="3235" spans="1:8" x14ac:dyDescent="0.25">
      <c r="A3235">
        <v>94</v>
      </c>
      <c r="B3235">
        <v>104007828</v>
      </c>
      <c r="C3235" t="s">
        <v>3202</v>
      </c>
      <c r="D3235" t="s">
        <v>1</v>
      </c>
      <c r="E3235" t="s">
        <v>2</v>
      </c>
      <c r="F3235">
        <v>5000000</v>
      </c>
      <c r="G3235">
        <v>2011</v>
      </c>
      <c r="H3235">
        <v>5.8</v>
      </c>
    </row>
    <row r="3236" spans="1:8" x14ac:dyDescent="0.25">
      <c r="A3236">
        <v>89</v>
      </c>
      <c r="B3236">
        <v>50820940</v>
      </c>
      <c r="C3236" t="s">
        <v>3203</v>
      </c>
      <c r="D3236" t="s">
        <v>1</v>
      </c>
      <c r="E3236" t="s">
        <v>2</v>
      </c>
      <c r="F3236">
        <v>5000000</v>
      </c>
      <c r="G3236">
        <v>2014</v>
      </c>
      <c r="H3236">
        <v>4.4000000000000004</v>
      </c>
    </row>
    <row r="3237" spans="1:8" x14ac:dyDescent="0.25">
      <c r="A3237">
        <v>108</v>
      </c>
      <c r="B3237">
        <v>43771291</v>
      </c>
      <c r="C3237" t="s">
        <v>2839</v>
      </c>
      <c r="D3237" t="s">
        <v>1</v>
      </c>
      <c r="E3237" t="s">
        <v>2</v>
      </c>
      <c r="F3237">
        <v>5000000</v>
      </c>
      <c r="G3237">
        <v>2015</v>
      </c>
      <c r="H3237">
        <v>7.1</v>
      </c>
    </row>
    <row r="3238" spans="1:8" x14ac:dyDescent="0.25">
      <c r="A3238">
        <v>115</v>
      </c>
      <c r="B3238">
        <v>44456509</v>
      </c>
      <c r="C3238" t="s">
        <v>3205</v>
      </c>
      <c r="D3238" t="s">
        <v>475</v>
      </c>
      <c r="E3238" t="s">
        <v>496</v>
      </c>
      <c r="F3238">
        <v>5000000</v>
      </c>
      <c r="G3238">
        <v>2013</v>
      </c>
      <c r="H3238">
        <v>7.6</v>
      </c>
    </row>
    <row r="3239" spans="1:8" x14ac:dyDescent="0.25">
      <c r="A3239">
        <v>96</v>
      </c>
      <c r="B3239">
        <v>53884821</v>
      </c>
      <c r="C3239" t="s">
        <v>3206</v>
      </c>
      <c r="D3239" t="s">
        <v>1</v>
      </c>
      <c r="E3239" t="s">
        <v>2</v>
      </c>
      <c r="F3239">
        <v>5000000</v>
      </c>
      <c r="G3239">
        <v>2012</v>
      </c>
      <c r="H3239">
        <v>4.5999999999999996</v>
      </c>
    </row>
    <row r="3240" spans="1:8" x14ac:dyDescent="0.25">
      <c r="A3240">
        <v>135</v>
      </c>
      <c r="B3240">
        <v>36000000</v>
      </c>
      <c r="C3240" t="s">
        <v>3207</v>
      </c>
      <c r="D3240" t="s">
        <v>1</v>
      </c>
      <c r="E3240" t="s">
        <v>2</v>
      </c>
      <c r="F3240">
        <v>5000000</v>
      </c>
      <c r="G3240">
        <v>1953</v>
      </c>
      <c r="H3240">
        <v>6.8</v>
      </c>
    </row>
    <row r="3241" spans="1:8" x14ac:dyDescent="0.25">
      <c r="A3241">
        <v>101</v>
      </c>
      <c r="B3241">
        <v>32453345</v>
      </c>
      <c r="C3241" t="s">
        <v>3210</v>
      </c>
      <c r="D3241" t="s">
        <v>1</v>
      </c>
      <c r="E3241" t="s">
        <v>2</v>
      </c>
      <c r="F3241">
        <v>5000000</v>
      </c>
      <c r="G3241">
        <v>2014</v>
      </c>
      <c r="H3241">
        <v>5</v>
      </c>
    </row>
    <row r="3242" spans="1:8" x14ac:dyDescent="0.25">
      <c r="A3242">
        <v>117</v>
      </c>
      <c r="B3242">
        <v>27296514</v>
      </c>
      <c r="C3242" t="s">
        <v>3211</v>
      </c>
      <c r="D3242" t="s">
        <v>1</v>
      </c>
      <c r="E3242" t="s">
        <v>2</v>
      </c>
      <c r="F3242">
        <v>5000000</v>
      </c>
      <c r="G3242">
        <v>2013</v>
      </c>
      <c r="H3242">
        <v>8</v>
      </c>
    </row>
    <row r="3243" spans="1:8" x14ac:dyDescent="0.25">
      <c r="A3243">
        <v>104</v>
      </c>
      <c r="B3243">
        <v>27689474</v>
      </c>
      <c r="C3243" t="s">
        <v>3214</v>
      </c>
      <c r="D3243" t="s">
        <v>1</v>
      </c>
      <c r="E3243" t="s">
        <v>2</v>
      </c>
      <c r="F3243">
        <v>5000000</v>
      </c>
      <c r="G3243">
        <v>2013</v>
      </c>
      <c r="H3243">
        <v>6.5</v>
      </c>
    </row>
    <row r="3244" spans="1:8" x14ac:dyDescent="0.25">
      <c r="A3244">
        <v>97</v>
      </c>
      <c r="B3244">
        <v>24138847</v>
      </c>
      <c r="C3244" t="s">
        <v>3215</v>
      </c>
      <c r="D3244" t="s">
        <v>1</v>
      </c>
      <c r="E3244" t="s">
        <v>2</v>
      </c>
      <c r="F3244">
        <v>5000000</v>
      </c>
      <c r="G3244">
        <v>2006</v>
      </c>
      <c r="H3244">
        <v>7.4</v>
      </c>
    </row>
    <row r="3245" spans="1:8" x14ac:dyDescent="0.25">
      <c r="A3245">
        <v>110</v>
      </c>
      <c r="B3245">
        <v>21994911</v>
      </c>
      <c r="C3245" t="s">
        <v>3216</v>
      </c>
      <c r="D3245" t="s">
        <v>1</v>
      </c>
      <c r="E3245" t="s">
        <v>5</v>
      </c>
      <c r="F3245">
        <v>5000000</v>
      </c>
      <c r="G3245">
        <v>2000</v>
      </c>
      <c r="H3245">
        <v>7.7</v>
      </c>
    </row>
    <row r="3246" spans="1:8" x14ac:dyDescent="0.25">
      <c r="A3246">
        <v>103</v>
      </c>
      <c r="B3246">
        <v>21501098</v>
      </c>
      <c r="C3246" t="s">
        <v>3217</v>
      </c>
      <c r="D3246" t="s">
        <v>1</v>
      </c>
      <c r="E3246" t="s">
        <v>2</v>
      </c>
      <c r="F3246">
        <v>5000000</v>
      </c>
      <c r="G3246">
        <v>2013</v>
      </c>
      <c r="H3246">
        <v>7.4</v>
      </c>
    </row>
    <row r="3247" spans="1:8" x14ac:dyDescent="0.25">
      <c r="A3247">
        <v>94</v>
      </c>
      <c r="B3247">
        <v>19281235</v>
      </c>
      <c r="C3247" t="s">
        <v>3218</v>
      </c>
      <c r="D3247" t="s">
        <v>1</v>
      </c>
      <c r="E3247" t="s">
        <v>2</v>
      </c>
      <c r="F3247">
        <v>5000000</v>
      </c>
      <c r="G3247">
        <v>1991</v>
      </c>
      <c r="H3247">
        <v>5.0999999999999996</v>
      </c>
    </row>
    <row r="3248" spans="1:8" x14ac:dyDescent="0.25">
      <c r="A3248">
        <v>77</v>
      </c>
      <c r="B3248">
        <v>19421271</v>
      </c>
      <c r="C3248" t="s">
        <v>3219</v>
      </c>
      <c r="D3248" t="s">
        <v>1</v>
      </c>
      <c r="E3248" t="s">
        <v>2</v>
      </c>
      <c r="F3248">
        <v>5000000</v>
      </c>
      <c r="G3248">
        <v>1999</v>
      </c>
      <c r="H3248">
        <v>5</v>
      </c>
    </row>
    <row r="3249" spans="1:8" x14ac:dyDescent="0.25">
      <c r="A3249">
        <v>134</v>
      </c>
      <c r="B3249">
        <v>20733485</v>
      </c>
      <c r="C3249" t="s">
        <v>3220</v>
      </c>
      <c r="D3249" t="s">
        <v>1</v>
      </c>
      <c r="E3249" t="s">
        <v>2</v>
      </c>
      <c r="F3249">
        <v>5000000</v>
      </c>
      <c r="G3249">
        <v>1997</v>
      </c>
      <c r="H3249">
        <v>7.2</v>
      </c>
    </row>
    <row r="3250" spans="1:8" x14ac:dyDescent="0.25">
      <c r="A3250">
        <v>90</v>
      </c>
      <c r="B3250">
        <v>24809547</v>
      </c>
      <c r="C3250" t="s">
        <v>3221</v>
      </c>
      <c r="D3250" t="s">
        <v>1</v>
      </c>
      <c r="E3250" t="s">
        <v>2</v>
      </c>
      <c r="F3250">
        <v>5000000</v>
      </c>
      <c r="G3250">
        <v>2011</v>
      </c>
      <c r="H3250">
        <v>6.4</v>
      </c>
    </row>
    <row r="3251" spans="1:8" x14ac:dyDescent="0.25">
      <c r="A3251">
        <v>95</v>
      </c>
      <c r="B3251">
        <v>16017403</v>
      </c>
      <c r="C3251" t="s">
        <v>2768</v>
      </c>
      <c r="D3251" t="s">
        <v>1</v>
      </c>
      <c r="E3251" t="s">
        <v>2</v>
      </c>
      <c r="F3251">
        <v>5000000</v>
      </c>
      <c r="G3251">
        <v>2001</v>
      </c>
      <c r="H3251">
        <v>6.2</v>
      </c>
    </row>
    <row r="3252" spans="1:8" x14ac:dyDescent="0.25">
      <c r="A3252">
        <v>93</v>
      </c>
      <c r="B3252">
        <v>21197315</v>
      </c>
      <c r="C3252" t="s">
        <v>3223</v>
      </c>
      <c r="D3252" t="s">
        <v>1</v>
      </c>
      <c r="E3252" t="s">
        <v>2</v>
      </c>
      <c r="F3252">
        <v>5000000</v>
      </c>
      <c r="G3252">
        <v>2014</v>
      </c>
      <c r="H3252">
        <v>6.1</v>
      </c>
    </row>
    <row r="3253" spans="1:8" x14ac:dyDescent="0.25">
      <c r="A3253">
        <v>106</v>
      </c>
      <c r="B3253">
        <v>17382982</v>
      </c>
      <c r="C3253" t="s">
        <v>3224</v>
      </c>
      <c r="D3253" t="s">
        <v>475</v>
      </c>
      <c r="E3253" t="s">
        <v>2</v>
      </c>
      <c r="F3253">
        <v>5000000</v>
      </c>
      <c r="G3253">
        <v>2014</v>
      </c>
      <c r="H3253">
        <v>5.2</v>
      </c>
    </row>
    <row r="3254" spans="1:8" x14ac:dyDescent="0.25">
      <c r="A3254">
        <v>101</v>
      </c>
      <c r="B3254">
        <v>18656400</v>
      </c>
      <c r="C3254" t="s">
        <v>3226</v>
      </c>
      <c r="D3254" t="s">
        <v>1</v>
      </c>
      <c r="E3254" t="s">
        <v>2</v>
      </c>
      <c r="F3254">
        <v>5000000</v>
      </c>
      <c r="G3254">
        <v>2014</v>
      </c>
      <c r="H3254">
        <v>7.5</v>
      </c>
    </row>
    <row r="3255" spans="1:8" x14ac:dyDescent="0.25">
      <c r="A3255">
        <v>100</v>
      </c>
      <c r="B3255">
        <v>14343976</v>
      </c>
      <c r="C3255" t="s">
        <v>3227</v>
      </c>
      <c r="D3255" t="s">
        <v>1</v>
      </c>
      <c r="E3255" t="s">
        <v>2</v>
      </c>
      <c r="F3255">
        <v>5000000</v>
      </c>
      <c r="G3255">
        <v>1989</v>
      </c>
      <c r="H3255">
        <v>4.5</v>
      </c>
    </row>
    <row r="3256" spans="1:8" x14ac:dyDescent="0.25">
      <c r="A3256">
        <v>95</v>
      </c>
      <c r="B3256">
        <v>241437427</v>
      </c>
      <c r="C3256" t="s">
        <v>3228</v>
      </c>
      <c r="D3256" t="s">
        <v>1</v>
      </c>
      <c r="E3256" t="s">
        <v>2</v>
      </c>
      <c r="F3256">
        <v>5000000</v>
      </c>
      <c r="G3256">
        <v>2002</v>
      </c>
      <c r="H3256">
        <v>6.6</v>
      </c>
    </row>
    <row r="3257" spans="1:8" x14ac:dyDescent="0.25">
      <c r="A3257">
        <v>94</v>
      </c>
      <c r="B3257">
        <v>14123773</v>
      </c>
      <c r="C3257" t="s">
        <v>3229</v>
      </c>
      <c r="D3257" t="s">
        <v>1</v>
      </c>
      <c r="E3257" t="s">
        <v>2</v>
      </c>
      <c r="F3257">
        <v>5000000</v>
      </c>
      <c r="G3257">
        <v>2012</v>
      </c>
      <c r="H3257">
        <v>5.3</v>
      </c>
    </row>
    <row r="3258" spans="1:8" x14ac:dyDescent="0.25">
      <c r="A3258">
        <v>93</v>
      </c>
      <c r="B3258">
        <v>15126948</v>
      </c>
      <c r="C3258" t="s">
        <v>3230</v>
      </c>
      <c r="D3258" t="s">
        <v>1</v>
      </c>
      <c r="E3258" t="s">
        <v>2</v>
      </c>
      <c r="F3258">
        <v>5000000</v>
      </c>
      <c r="G3258">
        <v>1995</v>
      </c>
      <c r="H3258">
        <v>4.9000000000000004</v>
      </c>
    </row>
    <row r="3259" spans="1:8" x14ac:dyDescent="0.25">
      <c r="A3259">
        <v>82</v>
      </c>
      <c r="B3259">
        <v>13350177</v>
      </c>
      <c r="C3259" t="s">
        <v>3233</v>
      </c>
      <c r="D3259" t="s">
        <v>1</v>
      </c>
      <c r="E3259" t="s">
        <v>2</v>
      </c>
      <c r="F3259">
        <v>5000000</v>
      </c>
      <c r="G3259">
        <v>2008</v>
      </c>
      <c r="H3259">
        <v>3.8</v>
      </c>
    </row>
    <row r="3260" spans="1:8" x14ac:dyDescent="0.25">
      <c r="A3260">
        <v>135</v>
      </c>
      <c r="B3260">
        <v>13269963</v>
      </c>
      <c r="C3260" t="s">
        <v>3234</v>
      </c>
      <c r="D3260" t="s">
        <v>1</v>
      </c>
      <c r="E3260" t="s">
        <v>2</v>
      </c>
      <c r="F3260">
        <v>5000000</v>
      </c>
      <c r="G3260">
        <v>1996</v>
      </c>
      <c r="H3260">
        <v>7.6</v>
      </c>
    </row>
    <row r="3261" spans="1:8" x14ac:dyDescent="0.25">
      <c r="A3261">
        <v>88</v>
      </c>
      <c r="B3261">
        <v>17768000</v>
      </c>
      <c r="C3261" t="s">
        <v>3235</v>
      </c>
      <c r="D3261" t="s">
        <v>1</v>
      </c>
      <c r="E3261" t="s">
        <v>2</v>
      </c>
      <c r="F3261">
        <v>5000000</v>
      </c>
      <c r="G3261">
        <v>1988</v>
      </c>
      <c r="H3261">
        <v>5.9</v>
      </c>
    </row>
    <row r="3262" spans="1:8" x14ac:dyDescent="0.25">
      <c r="A3262">
        <v>89</v>
      </c>
      <c r="B3262">
        <v>12947763</v>
      </c>
      <c r="C3262" t="s">
        <v>3236</v>
      </c>
      <c r="D3262" t="s">
        <v>1</v>
      </c>
      <c r="E3262" t="s">
        <v>2</v>
      </c>
      <c r="F3262">
        <v>5000000</v>
      </c>
      <c r="G3262">
        <v>1986</v>
      </c>
      <c r="H3262">
        <v>6.2</v>
      </c>
    </row>
    <row r="3263" spans="1:8" x14ac:dyDescent="0.25">
      <c r="A3263">
        <v>110</v>
      </c>
      <c r="B3263">
        <v>14100000</v>
      </c>
      <c r="C3263" t="s">
        <v>3237</v>
      </c>
      <c r="D3263" t="s">
        <v>1</v>
      </c>
      <c r="E3263" t="s">
        <v>2</v>
      </c>
      <c r="F3263">
        <v>5000000</v>
      </c>
      <c r="G3263">
        <v>1982</v>
      </c>
      <c r="H3263">
        <v>7.2</v>
      </c>
    </row>
    <row r="3264" spans="1:8" x14ac:dyDescent="0.25">
      <c r="A3264">
        <v>107</v>
      </c>
      <c r="B3264">
        <v>12200000</v>
      </c>
      <c r="C3264" t="s">
        <v>3238</v>
      </c>
      <c r="D3264" t="s">
        <v>1</v>
      </c>
      <c r="E3264" t="s">
        <v>2</v>
      </c>
      <c r="F3264">
        <v>5000000</v>
      </c>
      <c r="G3264">
        <v>1983</v>
      </c>
      <c r="H3264">
        <v>6.3</v>
      </c>
    </row>
    <row r="3265" spans="1:8" x14ac:dyDescent="0.25">
      <c r="A3265">
        <v>86</v>
      </c>
      <c r="B3265">
        <v>17683670</v>
      </c>
      <c r="C3265" t="s">
        <v>3239</v>
      </c>
      <c r="D3265" t="s">
        <v>1</v>
      </c>
      <c r="E3265" t="s">
        <v>2</v>
      </c>
      <c r="F3265">
        <v>5000000</v>
      </c>
      <c r="G3265">
        <v>2011</v>
      </c>
      <c r="H3265">
        <v>5.2</v>
      </c>
    </row>
    <row r="3266" spans="1:8" x14ac:dyDescent="0.25">
      <c r="A3266">
        <v>103</v>
      </c>
      <c r="B3266">
        <v>27285953</v>
      </c>
      <c r="C3266" t="s">
        <v>3241</v>
      </c>
      <c r="D3266" t="s">
        <v>1</v>
      </c>
      <c r="E3266" t="s">
        <v>2</v>
      </c>
      <c r="F3266">
        <v>5000000</v>
      </c>
      <c r="G3266">
        <v>2015</v>
      </c>
      <c r="H3266">
        <v>6.8</v>
      </c>
    </row>
    <row r="3267" spans="1:8" x14ac:dyDescent="0.25">
      <c r="A3267">
        <v>82</v>
      </c>
      <c r="B3267">
        <v>9628751</v>
      </c>
      <c r="C3267" t="s">
        <v>3243</v>
      </c>
      <c r="D3267" t="s">
        <v>1</v>
      </c>
      <c r="E3267" t="s">
        <v>2</v>
      </c>
      <c r="F3267">
        <v>5000000</v>
      </c>
      <c r="G3267">
        <v>2000</v>
      </c>
      <c r="H3267">
        <v>5.9</v>
      </c>
    </row>
    <row r="3268" spans="1:8" x14ac:dyDescent="0.25">
      <c r="A3268">
        <v>92</v>
      </c>
      <c r="B3268">
        <v>8786715</v>
      </c>
      <c r="C3268" t="s">
        <v>3244</v>
      </c>
      <c r="D3268" t="s">
        <v>1</v>
      </c>
      <c r="E3268" t="s">
        <v>2</v>
      </c>
      <c r="F3268">
        <v>5000000</v>
      </c>
      <c r="G3268">
        <v>2004</v>
      </c>
      <c r="H3268">
        <v>6.9</v>
      </c>
    </row>
    <row r="3269" spans="1:8" x14ac:dyDescent="0.25">
      <c r="A3269">
        <v>90</v>
      </c>
      <c r="B3269">
        <v>6755271</v>
      </c>
      <c r="C3269" t="s">
        <v>3246</v>
      </c>
      <c r="D3269" t="s">
        <v>1</v>
      </c>
      <c r="E3269" t="s">
        <v>2</v>
      </c>
      <c r="F3269">
        <v>5000000</v>
      </c>
      <c r="G3269">
        <v>2001</v>
      </c>
      <c r="H3269">
        <v>5.3</v>
      </c>
    </row>
    <row r="3270" spans="1:8" x14ac:dyDescent="0.25">
      <c r="A3270">
        <v>150</v>
      </c>
      <c r="B3270">
        <v>6157157</v>
      </c>
      <c r="C3270" t="s">
        <v>3247</v>
      </c>
      <c r="D3270" t="s">
        <v>1</v>
      </c>
      <c r="E3270" t="s">
        <v>2</v>
      </c>
      <c r="F3270">
        <v>5000000</v>
      </c>
      <c r="G3270">
        <v>1989</v>
      </c>
      <c r="H3270">
        <v>7</v>
      </c>
    </row>
    <row r="3271" spans="1:8" x14ac:dyDescent="0.25">
      <c r="A3271">
        <v>91</v>
      </c>
      <c r="B3271">
        <v>5480318</v>
      </c>
      <c r="C3271" t="s">
        <v>3248</v>
      </c>
      <c r="D3271" t="s">
        <v>1</v>
      </c>
      <c r="E3271" t="s">
        <v>2</v>
      </c>
      <c r="F3271">
        <v>5000000</v>
      </c>
      <c r="G3271">
        <v>1998</v>
      </c>
      <c r="H3271">
        <v>6.6</v>
      </c>
    </row>
    <row r="3272" spans="1:8" x14ac:dyDescent="0.25">
      <c r="A3272">
        <v>95</v>
      </c>
      <c r="B3272">
        <v>5308707</v>
      </c>
      <c r="C3272" t="s">
        <v>3249</v>
      </c>
      <c r="D3272" t="s">
        <v>1</v>
      </c>
      <c r="E3272" t="s">
        <v>2</v>
      </c>
      <c r="F3272">
        <v>5000000</v>
      </c>
      <c r="G3272">
        <v>2001</v>
      </c>
      <c r="H3272">
        <v>6.4</v>
      </c>
    </row>
    <row r="3273" spans="1:8" x14ac:dyDescent="0.25">
      <c r="A3273">
        <v>97</v>
      </c>
      <c r="B3273">
        <v>5009677</v>
      </c>
      <c r="C3273" t="s">
        <v>3250</v>
      </c>
      <c r="D3273" t="s">
        <v>1</v>
      </c>
      <c r="E3273" t="s">
        <v>5</v>
      </c>
      <c r="F3273">
        <v>5000000</v>
      </c>
      <c r="G3273">
        <v>2009</v>
      </c>
      <c r="H3273">
        <v>7.9</v>
      </c>
    </row>
    <row r="3274" spans="1:8" x14ac:dyDescent="0.25">
      <c r="A3274">
        <v>41</v>
      </c>
      <c r="B3274">
        <v>4074023</v>
      </c>
      <c r="C3274" t="s">
        <v>3251</v>
      </c>
      <c r="D3274" t="s">
        <v>1</v>
      </c>
      <c r="E3274" t="s">
        <v>5</v>
      </c>
      <c r="F3274">
        <v>5000000</v>
      </c>
      <c r="G3274">
        <v>2010</v>
      </c>
      <c r="H3274">
        <v>6.9</v>
      </c>
    </row>
    <row r="3275" spans="1:8" x14ac:dyDescent="0.25">
      <c r="A3275">
        <v>112</v>
      </c>
      <c r="B3275">
        <v>4306697</v>
      </c>
      <c r="C3275" t="s">
        <v>3252</v>
      </c>
      <c r="D3275" t="s">
        <v>1</v>
      </c>
      <c r="E3275" t="s">
        <v>38</v>
      </c>
      <c r="F3275">
        <v>5000000</v>
      </c>
      <c r="G3275">
        <v>1997</v>
      </c>
      <c r="H3275">
        <v>7.7</v>
      </c>
    </row>
    <row r="3276" spans="1:8" x14ac:dyDescent="0.25">
      <c r="A3276">
        <v>110</v>
      </c>
      <c r="B3276">
        <v>4040588</v>
      </c>
      <c r="C3276" t="s">
        <v>3254</v>
      </c>
      <c r="D3276" t="s">
        <v>1</v>
      </c>
      <c r="E3276" t="s">
        <v>2</v>
      </c>
      <c r="F3276">
        <v>5000000</v>
      </c>
      <c r="G3276">
        <v>2008</v>
      </c>
      <c r="H3276">
        <v>6.8</v>
      </c>
    </row>
    <row r="3277" spans="1:8" x14ac:dyDescent="0.25">
      <c r="A3277">
        <v>108</v>
      </c>
      <c r="B3277">
        <v>3049135</v>
      </c>
      <c r="C3277" t="s">
        <v>3255</v>
      </c>
      <c r="D3277" t="s">
        <v>1</v>
      </c>
      <c r="E3277" t="s">
        <v>23</v>
      </c>
      <c r="F3277">
        <v>5000000</v>
      </c>
      <c r="G3277">
        <v>1994</v>
      </c>
      <c r="H3277">
        <v>7.4</v>
      </c>
    </row>
    <row r="3278" spans="1:8" x14ac:dyDescent="0.25">
      <c r="A3278">
        <v>121</v>
      </c>
      <c r="B3278">
        <v>4700361</v>
      </c>
      <c r="C3278" t="s">
        <v>3256</v>
      </c>
      <c r="D3278" t="s">
        <v>1</v>
      </c>
      <c r="E3278" t="s">
        <v>2</v>
      </c>
      <c r="F3278">
        <v>5000000</v>
      </c>
      <c r="G3278">
        <v>2015</v>
      </c>
      <c r="H3278">
        <v>4.5999999999999996</v>
      </c>
    </row>
    <row r="3279" spans="1:8" x14ac:dyDescent="0.25">
      <c r="A3279">
        <v>97</v>
      </c>
      <c r="B3279">
        <v>2711210</v>
      </c>
      <c r="C3279" t="s">
        <v>3257</v>
      </c>
      <c r="D3279" t="s">
        <v>1</v>
      </c>
      <c r="E3279" t="s">
        <v>2</v>
      </c>
      <c r="F3279">
        <v>5000000</v>
      </c>
      <c r="G3279">
        <v>2010</v>
      </c>
      <c r="H3279">
        <v>6.4</v>
      </c>
    </row>
    <row r="3280" spans="1:8" x14ac:dyDescent="0.25">
      <c r="A3280">
        <v>116</v>
      </c>
      <c r="B3280">
        <v>1980338</v>
      </c>
      <c r="C3280" t="s">
        <v>3258</v>
      </c>
      <c r="D3280" t="s">
        <v>1</v>
      </c>
      <c r="E3280" t="s">
        <v>2</v>
      </c>
      <c r="F3280">
        <v>5000000</v>
      </c>
      <c r="G3280">
        <v>1998</v>
      </c>
      <c r="H3280">
        <v>7</v>
      </c>
    </row>
    <row r="3281" spans="1:8" x14ac:dyDescent="0.25">
      <c r="A3281">
        <v>94</v>
      </c>
      <c r="B3281">
        <v>1082044</v>
      </c>
      <c r="C3281" t="s">
        <v>3259</v>
      </c>
      <c r="D3281" t="s">
        <v>1</v>
      </c>
      <c r="E3281" t="s">
        <v>620</v>
      </c>
      <c r="F3281">
        <v>5000000</v>
      </c>
      <c r="G3281">
        <v>2004</v>
      </c>
      <c r="H3281">
        <v>7.7</v>
      </c>
    </row>
    <row r="3282" spans="1:8" x14ac:dyDescent="0.25">
      <c r="A3282">
        <v>103</v>
      </c>
      <c r="B3282">
        <v>1100000</v>
      </c>
      <c r="C3282" t="s">
        <v>3260</v>
      </c>
      <c r="D3282" t="s">
        <v>1</v>
      </c>
      <c r="E3282" t="s">
        <v>2</v>
      </c>
      <c r="F3282">
        <v>5000000</v>
      </c>
      <c r="G3282">
        <v>1992</v>
      </c>
      <c r="H3282">
        <v>6.8</v>
      </c>
    </row>
    <row r="3283" spans="1:8" x14ac:dyDescent="0.25">
      <c r="A3283">
        <v>112</v>
      </c>
      <c r="B3283">
        <v>2445646</v>
      </c>
      <c r="C3283" t="s">
        <v>3261</v>
      </c>
      <c r="D3283" t="s">
        <v>1</v>
      </c>
      <c r="E3283" t="s">
        <v>2</v>
      </c>
      <c r="F3283">
        <v>5000000</v>
      </c>
      <c r="G3283">
        <v>2014</v>
      </c>
      <c r="H3283">
        <v>7</v>
      </c>
    </row>
    <row r="3284" spans="1:8" x14ac:dyDescent="0.25">
      <c r="A3284">
        <v>91</v>
      </c>
      <c r="B3284">
        <v>2221809</v>
      </c>
      <c r="C3284" t="s">
        <v>3262</v>
      </c>
      <c r="D3284" t="s">
        <v>1</v>
      </c>
      <c r="E3284" t="s">
        <v>2</v>
      </c>
      <c r="F3284">
        <v>5000000</v>
      </c>
      <c r="G3284">
        <v>2010</v>
      </c>
      <c r="H3284">
        <v>7</v>
      </c>
    </row>
    <row r="3285" spans="1:8" x14ac:dyDescent="0.25">
      <c r="A3285">
        <v>98</v>
      </c>
      <c r="B3285">
        <v>296665</v>
      </c>
      <c r="C3285" t="s">
        <v>3263</v>
      </c>
      <c r="D3285" t="s">
        <v>1</v>
      </c>
      <c r="E3285" t="s">
        <v>2</v>
      </c>
      <c r="F3285">
        <v>5000000</v>
      </c>
      <c r="G3285">
        <v>2003</v>
      </c>
      <c r="H3285">
        <v>6.3</v>
      </c>
    </row>
    <row r="3286" spans="1:8" x14ac:dyDescent="0.25">
      <c r="A3286">
        <v>95</v>
      </c>
      <c r="B3286">
        <v>3219029</v>
      </c>
      <c r="C3286" t="s">
        <v>3264</v>
      </c>
      <c r="D3286" t="s">
        <v>1</v>
      </c>
      <c r="E3286" t="s">
        <v>2</v>
      </c>
      <c r="F3286">
        <v>5000000</v>
      </c>
      <c r="G3286">
        <v>2015</v>
      </c>
      <c r="H3286">
        <v>7.1</v>
      </c>
    </row>
    <row r="3287" spans="1:8" x14ac:dyDescent="0.25">
      <c r="A3287">
        <v>97</v>
      </c>
      <c r="B3287">
        <v>326308</v>
      </c>
      <c r="C3287" t="s">
        <v>3266</v>
      </c>
      <c r="D3287" t="s">
        <v>1</v>
      </c>
      <c r="E3287" t="s">
        <v>2</v>
      </c>
      <c r="F3287">
        <v>5000000</v>
      </c>
      <c r="G3287">
        <v>1996</v>
      </c>
      <c r="H3287">
        <v>6.1</v>
      </c>
    </row>
    <row r="3288" spans="1:8" x14ac:dyDescent="0.25">
      <c r="A3288">
        <v>90</v>
      </c>
      <c r="B3288">
        <v>124720</v>
      </c>
      <c r="C3288" t="s">
        <v>3267</v>
      </c>
      <c r="D3288" t="s">
        <v>1</v>
      </c>
      <c r="E3288" t="s">
        <v>2</v>
      </c>
      <c r="F3288">
        <v>5000000</v>
      </c>
      <c r="G3288">
        <v>2008</v>
      </c>
      <c r="H3288">
        <v>7.3</v>
      </c>
    </row>
    <row r="3289" spans="1:8" x14ac:dyDescent="0.25">
      <c r="A3289">
        <v>94</v>
      </c>
      <c r="B3289">
        <v>65069140</v>
      </c>
      <c r="C3289" t="s">
        <v>3269</v>
      </c>
      <c r="D3289" t="s">
        <v>1</v>
      </c>
      <c r="E3289" t="s">
        <v>2</v>
      </c>
      <c r="F3289">
        <v>5000000</v>
      </c>
      <c r="G3289">
        <v>2015</v>
      </c>
      <c r="H3289">
        <v>6.2</v>
      </c>
    </row>
    <row r="3290" spans="1:8" x14ac:dyDescent="0.25">
      <c r="A3290">
        <v>90</v>
      </c>
      <c r="B3290">
        <v>65087</v>
      </c>
      <c r="C3290" t="s">
        <v>3270</v>
      </c>
      <c r="D3290" t="s">
        <v>1</v>
      </c>
      <c r="E3290" t="s">
        <v>2</v>
      </c>
      <c r="F3290">
        <v>5000000</v>
      </c>
      <c r="G3290">
        <v>2007</v>
      </c>
      <c r="H3290">
        <v>6.2</v>
      </c>
    </row>
    <row r="3291" spans="1:8" x14ac:dyDescent="0.25">
      <c r="A3291">
        <v>103</v>
      </c>
      <c r="B3291">
        <v>16066</v>
      </c>
      <c r="C3291" t="s">
        <v>3271</v>
      </c>
      <c r="D3291" t="s">
        <v>1</v>
      </c>
      <c r="E3291" t="s">
        <v>119</v>
      </c>
      <c r="F3291">
        <v>5000000</v>
      </c>
      <c r="G3291">
        <v>2004</v>
      </c>
      <c r="H3291">
        <v>3.3</v>
      </c>
    </row>
    <row r="3292" spans="1:8" x14ac:dyDescent="0.25">
      <c r="A3292">
        <v>121</v>
      </c>
      <c r="B3292">
        <v>1729969</v>
      </c>
      <c r="C3292" t="s">
        <v>3278</v>
      </c>
      <c r="D3292" t="s">
        <v>1</v>
      </c>
      <c r="E3292" t="s">
        <v>2</v>
      </c>
      <c r="F3292">
        <v>5000000</v>
      </c>
      <c r="G3292">
        <v>2011</v>
      </c>
      <c r="H3292">
        <v>7.4</v>
      </c>
    </row>
    <row r="3293" spans="1:8" x14ac:dyDescent="0.25">
      <c r="A3293">
        <v>98</v>
      </c>
      <c r="B3293">
        <v>10429707</v>
      </c>
      <c r="C3293" t="s">
        <v>3290</v>
      </c>
      <c r="D3293" t="s">
        <v>1</v>
      </c>
      <c r="E3293" t="s">
        <v>2</v>
      </c>
      <c r="F3293">
        <v>5000000</v>
      </c>
      <c r="G3293">
        <v>2014</v>
      </c>
      <c r="H3293">
        <v>5.4</v>
      </c>
    </row>
    <row r="3294" spans="1:8" x14ac:dyDescent="0.25">
      <c r="A3294">
        <v>93</v>
      </c>
      <c r="B3294">
        <v>15152879</v>
      </c>
      <c r="C3294" t="s">
        <v>3315</v>
      </c>
      <c r="D3294" t="s">
        <v>1</v>
      </c>
      <c r="E3294" t="s">
        <v>244</v>
      </c>
      <c r="F3294">
        <v>5000000</v>
      </c>
      <c r="G3294">
        <v>2013</v>
      </c>
      <c r="H3294">
        <v>4</v>
      </c>
    </row>
    <row r="3295" spans="1:8" x14ac:dyDescent="0.25">
      <c r="A3295">
        <v>88</v>
      </c>
      <c r="B3295">
        <v>143000</v>
      </c>
      <c r="C3295" t="s">
        <v>3433</v>
      </c>
      <c r="D3295" t="s">
        <v>1</v>
      </c>
      <c r="E3295" t="s">
        <v>2</v>
      </c>
      <c r="F3295">
        <v>5000000</v>
      </c>
      <c r="G3295">
        <v>2009</v>
      </c>
      <c r="H3295">
        <v>4.0999999999999996</v>
      </c>
    </row>
    <row r="3296" spans="1:8" x14ac:dyDescent="0.25">
      <c r="A3296">
        <v>112</v>
      </c>
      <c r="C3296" t="s">
        <v>3575</v>
      </c>
      <c r="D3296" t="s">
        <v>1</v>
      </c>
      <c r="E3296" t="s">
        <v>1655</v>
      </c>
      <c r="F3296">
        <v>5000000</v>
      </c>
      <c r="G3296">
        <v>2014</v>
      </c>
      <c r="H3296">
        <v>7.1</v>
      </c>
    </row>
    <row r="3297" spans="1:8" x14ac:dyDescent="0.25">
      <c r="A3297">
        <v>120</v>
      </c>
      <c r="B3297">
        <v>20773070</v>
      </c>
      <c r="C3297" t="s">
        <v>3619</v>
      </c>
      <c r="D3297" t="s">
        <v>1</v>
      </c>
      <c r="E3297" t="s">
        <v>2</v>
      </c>
      <c r="F3297">
        <v>5000000</v>
      </c>
      <c r="G3297">
        <v>2016</v>
      </c>
      <c r="H3297">
        <v>3.4</v>
      </c>
    </row>
    <row r="3298" spans="1:8" x14ac:dyDescent="0.25">
      <c r="A3298">
        <v>81</v>
      </c>
      <c r="B3298">
        <v>56536016</v>
      </c>
      <c r="C3298" t="s">
        <v>3201</v>
      </c>
      <c r="D3298" t="s">
        <v>1</v>
      </c>
      <c r="E3298" t="s">
        <v>2</v>
      </c>
      <c r="F3298">
        <v>4900000</v>
      </c>
      <c r="G3298">
        <v>2016</v>
      </c>
      <c r="H3298">
        <v>6.9</v>
      </c>
    </row>
    <row r="3299" spans="1:8" x14ac:dyDescent="0.25">
      <c r="A3299">
        <v>125</v>
      </c>
      <c r="B3299">
        <v>1110286</v>
      </c>
      <c r="C3299" t="s">
        <v>3076</v>
      </c>
      <c r="D3299" t="s">
        <v>1</v>
      </c>
      <c r="E3299" t="s">
        <v>2</v>
      </c>
      <c r="F3299">
        <v>4825000</v>
      </c>
      <c r="G3299">
        <v>2009</v>
      </c>
      <c r="H3299">
        <v>7.2</v>
      </c>
    </row>
    <row r="3300" spans="1:8" x14ac:dyDescent="0.25">
      <c r="A3300">
        <v>121</v>
      </c>
      <c r="B3300">
        <v>4063859</v>
      </c>
      <c r="C3300" t="s">
        <v>3117</v>
      </c>
      <c r="D3300" t="s">
        <v>1644</v>
      </c>
      <c r="E3300" t="s">
        <v>119</v>
      </c>
      <c r="F3300">
        <v>4800000</v>
      </c>
      <c r="G3300">
        <v>2003</v>
      </c>
      <c r="H3300">
        <v>7.7</v>
      </c>
    </row>
    <row r="3301" spans="1:8" x14ac:dyDescent="0.25">
      <c r="A3301">
        <v>93</v>
      </c>
      <c r="B3301">
        <v>47277326</v>
      </c>
      <c r="C3301" t="s">
        <v>3276</v>
      </c>
      <c r="D3301" t="s">
        <v>1</v>
      </c>
      <c r="E3301" t="s">
        <v>2</v>
      </c>
      <c r="F3301">
        <v>4800000</v>
      </c>
      <c r="G3301">
        <v>2005</v>
      </c>
      <c r="H3301">
        <v>5.9</v>
      </c>
    </row>
    <row r="3302" spans="1:8" x14ac:dyDescent="0.25">
      <c r="A3302">
        <v>90</v>
      </c>
      <c r="B3302">
        <v>778565</v>
      </c>
      <c r="C3302" t="s">
        <v>3281</v>
      </c>
      <c r="D3302" t="s">
        <v>1</v>
      </c>
      <c r="E3302" t="s">
        <v>1438</v>
      </c>
      <c r="F3302">
        <v>4800000</v>
      </c>
      <c r="G3302">
        <v>2013</v>
      </c>
      <c r="H3302">
        <v>5.7</v>
      </c>
    </row>
    <row r="3303" spans="1:8" x14ac:dyDescent="0.25">
      <c r="A3303">
        <v>118</v>
      </c>
      <c r="B3303">
        <v>1705139</v>
      </c>
      <c r="C3303" t="s">
        <v>3279</v>
      </c>
      <c r="D3303" t="s">
        <v>1</v>
      </c>
      <c r="E3303" t="s">
        <v>2</v>
      </c>
      <c r="F3303">
        <v>4700000</v>
      </c>
      <c r="G3303">
        <v>1988</v>
      </c>
      <c r="H3303">
        <v>6.7</v>
      </c>
    </row>
    <row r="3304" spans="1:8" x14ac:dyDescent="0.25">
      <c r="A3304">
        <v>101</v>
      </c>
      <c r="B3304">
        <v>8025872</v>
      </c>
      <c r="C3304" t="s">
        <v>3280</v>
      </c>
      <c r="D3304" t="s">
        <v>1</v>
      </c>
      <c r="E3304" t="s">
        <v>2</v>
      </c>
      <c r="F3304">
        <v>4700000</v>
      </c>
      <c r="G3304">
        <v>1986</v>
      </c>
      <c r="H3304">
        <v>5.5</v>
      </c>
    </row>
    <row r="3305" spans="1:8" x14ac:dyDescent="0.25">
      <c r="A3305">
        <v>100</v>
      </c>
      <c r="B3305">
        <v>513836</v>
      </c>
      <c r="C3305" t="s">
        <v>3282</v>
      </c>
      <c r="D3305" t="s">
        <v>243</v>
      </c>
      <c r="E3305" t="s">
        <v>244</v>
      </c>
      <c r="F3305">
        <v>4600000</v>
      </c>
      <c r="G3305">
        <v>2010</v>
      </c>
      <c r="H3305">
        <v>7.2</v>
      </c>
    </row>
    <row r="3306" spans="1:8" x14ac:dyDescent="0.25">
      <c r="A3306">
        <v>97</v>
      </c>
      <c r="B3306">
        <v>434417</v>
      </c>
      <c r="C3306" t="s">
        <v>3283</v>
      </c>
      <c r="D3306" t="s">
        <v>1</v>
      </c>
      <c r="E3306" t="s">
        <v>620</v>
      </c>
      <c r="F3306">
        <v>4600000</v>
      </c>
      <c r="G3306">
        <v>2007</v>
      </c>
      <c r="H3306">
        <v>5.9</v>
      </c>
    </row>
    <row r="3307" spans="1:8" x14ac:dyDescent="0.25">
      <c r="A3307">
        <v>100</v>
      </c>
      <c r="B3307">
        <v>12574715</v>
      </c>
      <c r="C3307" t="s">
        <v>3021</v>
      </c>
      <c r="D3307" t="s">
        <v>1</v>
      </c>
      <c r="E3307" t="s">
        <v>5</v>
      </c>
      <c r="F3307">
        <v>4500000</v>
      </c>
      <c r="G3307">
        <v>2009</v>
      </c>
      <c r="H3307">
        <v>7.3</v>
      </c>
    </row>
    <row r="3308" spans="1:8" x14ac:dyDescent="0.25">
      <c r="A3308">
        <v>122</v>
      </c>
      <c r="B3308">
        <v>871577</v>
      </c>
      <c r="C3308" t="s">
        <v>3115</v>
      </c>
      <c r="D3308" t="s">
        <v>1</v>
      </c>
      <c r="E3308" t="s">
        <v>5</v>
      </c>
      <c r="F3308">
        <v>4500000</v>
      </c>
      <c r="G3308">
        <v>2007</v>
      </c>
      <c r="H3308">
        <v>7.7</v>
      </c>
    </row>
    <row r="3309" spans="1:8" x14ac:dyDescent="0.25">
      <c r="A3309">
        <v>88</v>
      </c>
      <c r="B3309">
        <v>44793200</v>
      </c>
      <c r="C3309" t="s">
        <v>3204</v>
      </c>
      <c r="D3309" t="s">
        <v>1</v>
      </c>
      <c r="E3309" t="s">
        <v>2</v>
      </c>
      <c r="F3309">
        <v>4500000</v>
      </c>
      <c r="G3309">
        <v>1987</v>
      </c>
      <c r="H3309">
        <v>6.6</v>
      </c>
    </row>
    <row r="3310" spans="1:8" x14ac:dyDescent="0.25">
      <c r="A3310">
        <v>109</v>
      </c>
      <c r="B3310">
        <v>34468224</v>
      </c>
      <c r="C3310" t="s">
        <v>3209</v>
      </c>
      <c r="D3310" t="s">
        <v>1</v>
      </c>
      <c r="E3310" t="s">
        <v>2</v>
      </c>
      <c r="F3310">
        <v>4500000</v>
      </c>
      <c r="G3310">
        <v>2003</v>
      </c>
      <c r="H3310">
        <v>7.3</v>
      </c>
    </row>
    <row r="3311" spans="1:8" x14ac:dyDescent="0.25">
      <c r="A3311">
        <v>104</v>
      </c>
      <c r="B3311">
        <v>23031390</v>
      </c>
      <c r="C3311" t="s">
        <v>3222</v>
      </c>
      <c r="D3311" t="s">
        <v>1</v>
      </c>
      <c r="E3311" t="s">
        <v>2</v>
      </c>
      <c r="F3311">
        <v>4500000</v>
      </c>
      <c r="G3311">
        <v>1998</v>
      </c>
      <c r="H3311">
        <v>5.6</v>
      </c>
    </row>
    <row r="3312" spans="1:8" x14ac:dyDescent="0.25">
      <c r="A3312">
        <v>96</v>
      </c>
      <c r="B3312">
        <v>81200000</v>
      </c>
      <c r="C3312" t="s">
        <v>3284</v>
      </c>
      <c r="D3312" t="s">
        <v>1</v>
      </c>
      <c r="E3312" t="s">
        <v>2</v>
      </c>
      <c r="F3312">
        <v>4500000</v>
      </c>
      <c r="G3312">
        <v>1984</v>
      </c>
      <c r="H3312">
        <v>6.7</v>
      </c>
    </row>
    <row r="3313" spans="1:8" x14ac:dyDescent="0.25">
      <c r="A3313">
        <v>117</v>
      </c>
      <c r="B3313">
        <v>52700832</v>
      </c>
      <c r="C3313" t="s">
        <v>3285</v>
      </c>
      <c r="D3313" t="s">
        <v>1</v>
      </c>
      <c r="E3313" t="s">
        <v>5</v>
      </c>
      <c r="F3313">
        <v>4500000</v>
      </c>
      <c r="G3313">
        <v>1994</v>
      </c>
      <c r="H3313">
        <v>7.1</v>
      </c>
    </row>
    <row r="3314" spans="1:8" x14ac:dyDescent="0.25">
      <c r="A3314">
        <v>109</v>
      </c>
      <c r="B3314">
        <v>3798532</v>
      </c>
      <c r="C3314" t="s">
        <v>3287</v>
      </c>
      <c r="D3314" t="s">
        <v>1</v>
      </c>
      <c r="E3314" t="s">
        <v>2</v>
      </c>
      <c r="F3314">
        <v>4500000</v>
      </c>
      <c r="G3314">
        <v>1996</v>
      </c>
      <c r="H3314">
        <v>7.4</v>
      </c>
    </row>
    <row r="3315" spans="1:8" x14ac:dyDescent="0.25">
      <c r="A3315">
        <v>102</v>
      </c>
      <c r="B3315">
        <v>3609278</v>
      </c>
      <c r="C3315" t="s">
        <v>3288</v>
      </c>
      <c r="D3315" t="s">
        <v>1</v>
      </c>
      <c r="E3315" t="s">
        <v>2</v>
      </c>
      <c r="F3315">
        <v>4500000</v>
      </c>
      <c r="G3315">
        <v>2000</v>
      </c>
      <c r="H3315">
        <v>8.4</v>
      </c>
    </row>
    <row r="3316" spans="1:8" x14ac:dyDescent="0.25">
      <c r="A3316">
        <v>133</v>
      </c>
      <c r="B3316">
        <v>727883</v>
      </c>
      <c r="C3316" t="s">
        <v>3291</v>
      </c>
      <c r="D3316" t="s">
        <v>1</v>
      </c>
      <c r="E3316" t="s">
        <v>2</v>
      </c>
      <c r="F3316">
        <v>4500000</v>
      </c>
      <c r="G3316">
        <v>2001</v>
      </c>
      <c r="H3316">
        <v>8.1</v>
      </c>
    </row>
    <row r="3317" spans="1:8" x14ac:dyDescent="0.25">
      <c r="A3317">
        <v>122</v>
      </c>
      <c r="B3317">
        <v>713413</v>
      </c>
      <c r="C3317" t="s">
        <v>3292</v>
      </c>
      <c r="D3317" t="s">
        <v>1984</v>
      </c>
      <c r="E3317" t="s">
        <v>1985</v>
      </c>
      <c r="F3317">
        <v>4500000</v>
      </c>
      <c r="G3317">
        <v>1997</v>
      </c>
      <c r="H3317">
        <v>7.8</v>
      </c>
    </row>
    <row r="3318" spans="1:8" x14ac:dyDescent="0.25">
      <c r="A3318">
        <v>104</v>
      </c>
      <c r="B3318">
        <v>108229</v>
      </c>
      <c r="C3318" t="s">
        <v>3297</v>
      </c>
      <c r="D3318" t="s">
        <v>1</v>
      </c>
      <c r="E3318" t="s">
        <v>2</v>
      </c>
      <c r="F3318">
        <v>4500000</v>
      </c>
      <c r="G3318">
        <v>2009</v>
      </c>
      <c r="H3318">
        <v>5.9</v>
      </c>
    </row>
    <row r="3319" spans="1:8" x14ac:dyDescent="0.25">
      <c r="A3319">
        <v>104</v>
      </c>
      <c r="B3319">
        <v>3287435</v>
      </c>
      <c r="C3319" t="s">
        <v>3419</v>
      </c>
      <c r="D3319" t="s">
        <v>1</v>
      </c>
      <c r="E3319" t="s">
        <v>2</v>
      </c>
      <c r="F3319">
        <v>4500000</v>
      </c>
      <c r="G3319">
        <v>2001</v>
      </c>
      <c r="H3319">
        <v>7.1</v>
      </c>
    </row>
    <row r="3320" spans="1:8" x14ac:dyDescent="0.25">
      <c r="A3320">
        <v>133</v>
      </c>
      <c r="B3320">
        <v>112000000</v>
      </c>
      <c r="C3320" t="s">
        <v>3298</v>
      </c>
      <c r="D3320" t="s">
        <v>1</v>
      </c>
      <c r="E3320" t="s">
        <v>2</v>
      </c>
      <c r="F3320">
        <v>4400000</v>
      </c>
      <c r="G3320">
        <v>1975</v>
      </c>
      <c r="H3320">
        <v>8.6999999999999993</v>
      </c>
    </row>
    <row r="3321" spans="1:8" x14ac:dyDescent="0.25">
      <c r="A3321">
        <v>104</v>
      </c>
      <c r="B3321">
        <v>1487477</v>
      </c>
      <c r="C3321" t="s">
        <v>3302</v>
      </c>
      <c r="D3321" t="s">
        <v>1017</v>
      </c>
      <c r="E3321" t="s">
        <v>1324</v>
      </c>
      <c r="F3321">
        <v>4200000</v>
      </c>
      <c r="G3321">
        <v>2004</v>
      </c>
      <c r="H3321">
        <v>6.5</v>
      </c>
    </row>
    <row r="3322" spans="1:8" x14ac:dyDescent="0.25">
      <c r="A3322">
        <v>89</v>
      </c>
      <c r="B3322">
        <v>15655665</v>
      </c>
      <c r="C3322" t="s">
        <v>2311</v>
      </c>
      <c r="D3322" t="s">
        <v>1</v>
      </c>
      <c r="E3322" t="s">
        <v>2</v>
      </c>
      <c r="F3322">
        <v>4000000</v>
      </c>
      <c r="G3322">
        <v>2006</v>
      </c>
      <c r="H3322">
        <v>3.1</v>
      </c>
    </row>
    <row r="3323" spans="1:8" x14ac:dyDescent="0.25">
      <c r="A3323">
        <v>111</v>
      </c>
      <c r="B3323">
        <v>228524</v>
      </c>
      <c r="C3323" t="s">
        <v>2893</v>
      </c>
      <c r="D3323" t="s">
        <v>1</v>
      </c>
      <c r="E3323" t="s">
        <v>2</v>
      </c>
      <c r="F3323">
        <v>4000000</v>
      </c>
      <c r="G3323">
        <v>2004</v>
      </c>
      <c r="H3323">
        <v>7.3</v>
      </c>
    </row>
    <row r="3324" spans="1:8" x14ac:dyDescent="0.25">
      <c r="A3324">
        <v>95</v>
      </c>
      <c r="B3324">
        <v>94900000</v>
      </c>
      <c r="C3324" t="s">
        <v>3036</v>
      </c>
      <c r="D3324" t="s">
        <v>1</v>
      </c>
      <c r="E3324" t="s">
        <v>2</v>
      </c>
      <c r="F3324">
        <v>4000000</v>
      </c>
      <c r="G3324">
        <v>1983</v>
      </c>
      <c r="H3324">
        <v>6.1</v>
      </c>
    </row>
    <row r="3325" spans="1:8" x14ac:dyDescent="0.25">
      <c r="A3325">
        <v>115</v>
      </c>
      <c r="B3325">
        <v>8060</v>
      </c>
      <c r="C3325" t="s">
        <v>3096</v>
      </c>
      <c r="D3325" t="s">
        <v>2737</v>
      </c>
      <c r="E3325" t="s">
        <v>3097</v>
      </c>
      <c r="F3325">
        <v>4000000</v>
      </c>
      <c r="G3325">
        <v>2007</v>
      </c>
      <c r="H3325">
        <v>8.1</v>
      </c>
    </row>
    <row r="3326" spans="1:8" x14ac:dyDescent="0.25">
      <c r="A3326">
        <v>105</v>
      </c>
      <c r="B3326">
        <v>2338695</v>
      </c>
      <c r="C3326" t="s">
        <v>3109</v>
      </c>
      <c r="D3326" t="s">
        <v>1</v>
      </c>
      <c r="E3326" t="s">
        <v>5</v>
      </c>
      <c r="F3326">
        <v>4000000</v>
      </c>
      <c r="G3326">
        <v>2004</v>
      </c>
      <c r="H3326">
        <v>7.4</v>
      </c>
    </row>
    <row r="3327" spans="1:8" x14ac:dyDescent="0.25">
      <c r="A3327">
        <v>103</v>
      </c>
      <c r="B3327">
        <v>542860</v>
      </c>
      <c r="C3327" t="s">
        <v>3171</v>
      </c>
      <c r="D3327" t="s">
        <v>1984</v>
      </c>
      <c r="E3327" t="s">
        <v>1985</v>
      </c>
      <c r="F3327">
        <v>4000000</v>
      </c>
      <c r="G3327">
        <v>2008</v>
      </c>
      <c r="H3327">
        <v>7.1</v>
      </c>
    </row>
    <row r="3328" spans="1:8" x14ac:dyDescent="0.25">
      <c r="A3328">
        <v>95</v>
      </c>
      <c r="B3328">
        <v>87025093</v>
      </c>
      <c r="C3328" t="s">
        <v>3198</v>
      </c>
      <c r="D3328" t="s">
        <v>1</v>
      </c>
      <c r="E3328" t="s">
        <v>2</v>
      </c>
      <c r="F3328">
        <v>4000000</v>
      </c>
      <c r="G3328">
        <v>2005</v>
      </c>
      <c r="H3328">
        <v>6.6</v>
      </c>
    </row>
    <row r="3329" spans="1:8" x14ac:dyDescent="0.25">
      <c r="A3329">
        <v>99</v>
      </c>
      <c r="B3329">
        <v>13464388</v>
      </c>
      <c r="C3329" t="s">
        <v>3232</v>
      </c>
      <c r="D3329" t="s">
        <v>1</v>
      </c>
      <c r="E3329" t="s">
        <v>5</v>
      </c>
      <c r="F3329">
        <v>4000000</v>
      </c>
      <c r="G3329">
        <v>2004</v>
      </c>
      <c r="H3329">
        <v>8</v>
      </c>
    </row>
    <row r="3330" spans="1:8" x14ac:dyDescent="0.25">
      <c r="A3330">
        <v>122</v>
      </c>
      <c r="B3330">
        <v>3950029</v>
      </c>
      <c r="C3330" t="s">
        <v>3253</v>
      </c>
      <c r="D3330" t="s">
        <v>243</v>
      </c>
      <c r="E3330" t="s">
        <v>244</v>
      </c>
      <c r="F3330">
        <v>4000000</v>
      </c>
      <c r="G3330">
        <v>2010</v>
      </c>
      <c r="H3330">
        <v>7.2</v>
      </c>
    </row>
    <row r="3331" spans="1:8" x14ac:dyDescent="0.25">
      <c r="A3331">
        <v>99</v>
      </c>
      <c r="B3331">
        <v>274385</v>
      </c>
      <c r="C3331" t="s">
        <v>3274</v>
      </c>
      <c r="D3331" t="s">
        <v>1644</v>
      </c>
      <c r="E3331" t="s">
        <v>119</v>
      </c>
      <c r="F3331">
        <v>4000000</v>
      </c>
      <c r="G3331">
        <v>2009</v>
      </c>
      <c r="H3331">
        <v>7.3</v>
      </c>
    </row>
    <row r="3332" spans="1:8" x14ac:dyDescent="0.25">
      <c r="A3332">
        <v>94</v>
      </c>
      <c r="B3332">
        <v>105500000</v>
      </c>
      <c r="C3332" t="s">
        <v>3304</v>
      </c>
      <c r="D3332" t="s">
        <v>1</v>
      </c>
      <c r="E3332" t="s">
        <v>38</v>
      </c>
      <c r="F3332">
        <v>4000000</v>
      </c>
      <c r="G3332">
        <v>1981</v>
      </c>
      <c r="H3332">
        <v>6.2</v>
      </c>
    </row>
    <row r="3333" spans="1:8" x14ac:dyDescent="0.25">
      <c r="A3333">
        <v>90</v>
      </c>
      <c r="B3333">
        <v>101055</v>
      </c>
      <c r="C3333" t="s">
        <v>3305</v>
      </c>
      <c r="D3333" t="s">
        <v>1</v>
      </c>
      <c r="E3333" t="s">
        <v>2</v>
      </c>
      <c r="F3333">
        <v>4000000</v>
      </c>
      <c r="G3333">
        <v>2009</v>
      </c>
      <c r="H3333">
        <v>5</v>
      </c>
    </row>
    <row r="3334" spans="1:8" x14ac:dyDescent="0.25">
      <c r="A3334">
        <v>101</v>
      </c>
      <c r="B3334">
        <v>44566004</v>
      </c>
      <c r="C3334" t="s">
        <v>3306</v>
      </c>
      <c r="D3334" t="s">
        <v>1</v>
      </c>
      <c r="E3334" t="s">
        <v>2</v>
      </c>
      <c r="F3334">
        <v>4000000</v>
      </c>
      <c r="G3334">
        <v>2003</v>
      </c>
      <c r="H3334">
        <v>7.8</v>
      </c>
    </row>
    <row r="3335" spans="1:8" x14ac:dyDescent="0.25">
      <c r="A3335">
        <v>93</v>
      </c>
      <c r="B3335">
        <v>39200000</v>
      </c>
      <c r="C3335" t="s">
        <v>3307</v>
      </c>
      <c r="D3335" t="s">
        <v>1</v>
      </c>
      <c r="E3335" t="s">
        <v>2</v>
      </c>
      <c r="F3335">
        <v>4000000</v>
      </c>
      <c r="G3335">
        <v>1977</v>
      </c>
      <c r="H3335">
        <v>8.1</v>
      </c>
    </row>
    <row r="3336" spans="1:8" x14ac:dyDescent="0.25">
      <c r="A3336">
        <v>152</v>
      </c>
      <c r="B3336">
        <v>36000000</v>
      </c>
      <c r="C3336" t="s">
        <v>3308</v>
      </c>
      <c r="D3336" t="s">
        <v>1</v>
      </c>
      <c r="E3336" t="s">
        <v>2</v>
      </c>
      <c r="F3336">
        <v>4000000</v>
      </c>
      <c r="G3336">
        <v>1952</v>
      </c>
      <c r="H3336">
        <v>6.7</v>
      </c>
    </row>
    <row r="3337" spans="1:8" x14ac:dyDescent="0.25">
      <c r="A3337">
        <v>112</v>
      </c>
      <c r="B3337">
        <v>31252964</v>
      </c>
      <c r="C3337" t="s">
        <v>3309</v>
      </c>
      <c r="D3337" t="s">
        <v>1</v>
      </c>
      <c r="E3337" t="s">
        <v>2</v>
      </c>
      <c r="F3337">
        <v>4000000</v>
      </c>
      <c r="G3337">
        <v>2001</v>
      </c>
      <c r="H3337">
        <v>7.1</v>
      </c>
    </row>
    <row r="3338" spans="1:8" x14ac:dyDescent="0.25">
      <c r="A3338">
        <v>91</v>
      </c>
      <c r="B3338">
        <v>35385560</v>
      </c>
      <c r="C3338" t="s">
        <v>3312</v>
      </c>
      <c r="D3338" t="s">
        <v>1</v>
      </c>
      <c r="E3338" t="s">
        <v>2</v>
      </c>
      <c r="F3338">
        <v>4000000</v>
      </c>
      <c r="G3338">
        <v>2015</v>
      </c>
      <c r="H3338">
        <v>4.5999999999999996</v>
      </c>
    </row>
    <row r="3339" spans="1:8" x14ac:dyDescent="0.25">
      <c r="A3339">
        <v>93</v>
      </c>
      <c r="B3339">
        <v>13008928</v>
      </c>
      <c r="C3339" t="s">
        <v>3314</v>
      </c>
      <c r="D3339" t="s">
        <v>1</v>
      </c>
      <c r="E3339" t="s">
        <v>2</v>
      </c>
      <c r="F3339">
        <v>4000000</v>
      </c>
      <c r="G3339">
        <v>1988</v>
      </c>
      <c r="H3339">
        <v>7.3</v>
      </c>
    </row>
    <row r="3340" spans="1:8" x14ac:dyDescent="0.25">
      <c r="A3340">
        <v>165</v>
      </c>
      <c r="B3340">
        <v>25359200</v>
      </c>
      <c r="C3340" t="s">
        <v>3316</v>
      </c>
      <c r="D3340" t="s">
        <v>1</v>
      </c>
      <c r="E3340" t="s">
        <v>2</v>
      </c>
      <c r="F3340">
        <v>4000000</v>
      </c>
      <c r="G3340">
        <v>2014</v>
      </c>
      <c r="H3340">
        <v>8</v>
      </c>
    </row>
    <row r="3341" spans="1:8" x14ac:dyDescent="0.25">
      <c r="A3341">
        <v>96</v>
      </c>
      <c r="B3341">
        <v>10515579</v>
      </c>
      <c r="C3341" t="s">
        <v>3317</v>
      </c>
      <c r="D3341" t="s">
        <v>1</v>
      </c>
      <c r="E3341" t="s">
        <v>5</v>
      </c>
      <c r="F3341">
        <v>4000000</v>
      </c>
      <c r="G3341">
        <v>2006</v>
      </c>
      <c r="H3341">
        <v>6.7</v>
      </c>
    </row>
    <row r="3342" spans="1:8" x14ac:dyDescent="0.25">
      <c r="A3342">
        <v>93</v>
      </c>
      <c r="B3342">
        <v>10097096</v>
      </c>
      <c r="C3342" t="s">
        <v>3318</v>
      </c>
      <c r="D3342" t="s">
        <v>1</v>
      </c>
      <c r="E3342" t="s">
        <v>2</v>
      </c>
      <c r="F3342">
        <v>4000000</v>
      </c>
      <c r="G3342">
        <v>2001</v>
      </c>
      <c r="H3342">
        <v>4.5999999999999996</v>
      </c>
    </row>
    <row r="3343" spans="1:8" x14ac:dyDescent="0.25">
      <c r="A3343">
        <v>81</v>
      </c>
      <c r="B3343">
        <v>7825820</v>
      </c>
      <c r="C3343" t="s">
        <v>3321</v>
      </c>
      <c r="D3343" t="s">
        <v>1</v>
      </c>
      <c r="E3343" t="s">
        <v>2</v>
      </c>
      <c r="F3343">
        <v>4000000</v>
      </c>
      <c r="G3343">
        <v>2006</v>
      </c>
      <c r="H3343">
        <v>5.9</v>
      </c>
    </row>
    <row r="3344" spans="1:8" x14ac:dyDescent="0.25">
      <c r="A3344">
        <v>86</v>
      </c>
      <c r="B3344">
        <v>17314483</v>
      </c>
      <c r="C3344" t="s">
        <v>3323</v>
      </c>
      <c r="D3344" t="s">
        <v>1</v>
      </c>
      <c r="E3344" t="s">
        <v>2</v>
      </c>
      <c r="F3344">
        <v>4000000</v>
      </c>
      <c r="G3344">
        <v>2014</v>
      </c>
      <c r="H3344">
        <v>4.7</v>
      </c>
    </row>
    <row r="3345" spans="1:8" x14ac:dyDescent="0.25">
      <c r="A3345">
        <v>110</v>
      </c>
      <c r="B3345">
        <v>6525762</v>
      </c>
      <c r="C3345" t="s">
        <v>3324</v>
      </c>
      <c r="D3345" t="s">
        <v>1</v>
      </c>
      <c r="E3345" t="s">
        <v>2</v>
      </c>
      <c r="F3345">
        <v>4000000</v>
      </c>
      <c r="G3345">
        <v>2002</v>
      </c>
      <c r="H3345">
        <v>6.7</v>
      </c>
    </row>
    <row r="3346" spans="1:8" x14ac:dyDescent="0.25">
      <c r="A3346">
        <v>110</v>
      </c>
      <c r="B3346">
        <v>4301331</v>
      </c>
      <c r="C3346" t="s">
        <v>3325</v>
      </c>
      <c r="D3346" t="s">
        <v>1</v>
      </c>
      <c r="E3346" t="s">
        <v>2</v>
      </c>
      <c r="F3346">
        <v>4000000</v>
      </c>
      <c r="G3346">
        <v>1995</v>
      </c>
      <c r="H3346">
        <v>6.7</v>
      </c>
    </row>
    <row r="3347" spans="1:8" x14ac:dyDescent="0.25">
      <c r="A3347">
        <v>104</v>
      </c>
      <c r="B3347">
        <v>4046737</v>
      </c>
      <c r="C3347" t="s">
        <v>3326</v>
      </c>
      <c r="D3347" t="s">
        <v>1</v>
      </c>
      <c r="E3347" t="s">
        <v>2</v>
      </c>
      <c r="F3347">
        <v>4000000</v>
      </c>
      <c r="G3347">
        <v>2002</v>
      </c>
      <c r="H3347">
        <v>7.1</v>
      </c>
    </row>
    <row r="3348" spans="1:8" x14ac:dyDescent="0.25">
      <c r="A3348">
        <v>110</v>
      </c>
      <c r="B3348">
        <v>3468572</v>
      </c>
      <c r="C3348" t="s">
        <v>3328</v>
      </c>
      <c r="D3348" t="s">
        <v>1</v>
      </c>
      <c r="E3348" t="s">
        <v>2</v>
      </c>
      <c r="F3348">
        <v>4000000</v>
      </c>
      <c r="G3348">
        <v>1988</v>
      </c>
      <c r="H3348">
        <v>7.3</v>
      </c>
    </row>
    <row r="3349" spans="1:8" x14ac:dyDescent="0.25">
      <c r="A3349">
        <v>84</v>
      </c>
      <c r="B3349">
        <v>2892582</v>
      </c>
      <c r="C3349" t="s">
        <v>3329</v>
      </c>
      <c r="D3349" t="s">
        <v>1</v>
      </c>
      <c r="E3349" t="s">
        <v>2</v>
      </c>
      <c r="F3349">
        <v>4000000</v>
      </c>
      <c r="G3349">
        <v>1996</v>
      </c>
      <c r="H3349">
        <v>7.6</v>
      </c>
    </row>
    <row r="3350" spans="1:8" x14ac:dyDescent="0.25">
      <c r="A3350">
        <v>94</v>
      </c>
      <c r="B3350">
        <v>2800000</v>
      </c>
      <c r="C3350" t="s">
        <v>3330</v>
      </c>
      <c r="D3350" t="s">
        <v>1</v>
      </c>
      <c r="E3350" t="s">
        <v>2</v>
      </c>
      <c r="F3350">
        <v>4000000</v>
      </c>
      <c r="G3350">
        <v>1999</v>
      </c>
      <c r="H3350">
        <v>5.8</v>
      </c>
    </row>
    <row r="3351" spans="1:8" x14ac:dyDescent="0.25">
      <c r="A3351">
        <v>93</v>
      </c>
      <c r="B3351">
        <v>2426851</v>
      </c>
      <c r="C3351" t="s">
        <v>3331</v>
      </c>
      <c r="D3351" t="s">
        <v>1</v>
      </c>
      <c r="E3351" t="s">
        <v>2</v>
      </c>
      <c r="F3351">
        <v>4000000</v>
      </c>
      <c r="G3351">
        <v>2007</v>
      </c>
      <c r="H3351">
        <v>6.5</v>
      </c>
    </row>
    <row r="3352" spans="1:8" x14ac:dyDescent="0.25">
      <c r="A3352">
        <v>96</v>
      </c>
      <c r="B3352">
        <v>1325073</v>
      </c>
      <c r="C3352" t="s">
        <v>3332</v>
      </c>
      <c r="D3352" t="s">
        <v>1</v>
      </c>
      <c r="E3352" t="s">
        <v>2</v>
      </c>
      <c r="F3352">
        <v>4000000</v>
      </c>
      <c r="G3352">
        <v>2005</v>
      </c>
      <c r="H3352">
        <v>6.6</v>
      </c>
    </row>
    <row r="3353" spans="1:8" x14ac:dyDescent="0.25">
      <c r="A3353">
        <v>101</v>
      </c>
      <c r="B3353">
        <v>864959</v>
      </c>
      <c r="C3353" t="s">
        <v>3333</v>
      </c>
      <c r="D3353" t="s">
        <v>1</v>
      </c>
      <c r="E3353" t="s">
        <v>5</v>
      </c>
      <c r="F3353">
        <v>4000000</v>
      </c>
      <c r="G3353">
        <v>2005</v>
      </c>
      <c r="H3353">
        <v>6.9</v>
      </c>
    </row>
    <row r="3354" spans="1:8" x14ac:dyDescent="0.25">
      <c r="A3354">
        <v>102</v>
      </c>
      <c r="B3354">
        <v>2601847</v>
      </c>
      <c r="C3354" t="s">
        <v>3334</v>
      </c>
      <c r="D3354" t="s">
        <v>2630</v>
      </c>
      <c r="E3354" t="s">
        <v>2</v>
      </c>
      <c r="F3354">
        <v>4000000</v>
      </c>
      <c r="G3354">
        <v>2011</v>
      </c>
      <c r="H3354">
        <v>8.5</v>
      </c>
    </row>
    <row r="3355" spans="1:8" x14ac:dyDescent="0.25">
      <c r="A3355">
        <v>87</v>
      </c>
      <c r="B3355">
        <v>800000</v>
      </c>
      <c r="C3355" t="s">
        <v>3335</v>
      </c>
      <c r="D3355" t="s">
        <v>1</v>
      </c>
      <c r="E3355" t="s">
        <v>2</v>
      </c>
      <c r="F3355">
        <v>4000000</v>
      </c>
      <c r="G3355">
        <v>1987</v>
      </c>
      <c r="H3355">
        <v>4.8</v>
      </c>
    </row>
    <row r="3356" spans="1:8" x14ac:dyDescent="0.25">
      <c r="A3356">
        <v>99</v>
      </c>
      <c r="B3356">
        <v>562059</v>
      </c>
      <c r="C3356" t="s">
        <v>3336</v>
      </c>
      <c r="D3356" t="s">
        <v>1</v>
      </c>
      <c r="E3356" t="s">
        <v>2</v>
      </c>
      <c r="F3356">
        <v>4000000</v>
      </c>
      <c r="G3356">
        <v>2002</v>
      </c>
      <c r="H3356">
        <v>7</v>
      </c>
    </row>
    <row r="3357" spans="1:8" x14ac:dyDescent="0.25">
      <c r="A3357">
        <v>106</v>
      </c>
      <c r="B3357">
        <v>399793</v>
      </c>
      <c r="C3357" t="s">
        <v>3337</v>
      </c>
      <c r="D3357" t="s">
        <v>1</v>
      </c>
      <c r="E3357" t="s">
        <v>2</v>
      </c>
      <c r="F3357">
        <v>4000000</v>
      </c>
      <c r="G3357">
        <v>1999</v>
      </c>
      <c r="H3357">
        <v>5.4</v>
      </c>
    </row>
    <row r="3358" spans="1:8" x14ac:dyDescent="0.25">
      <c r="A3358">
        <v>117</v>
      </c>
      <c r="B3358">
        <v>371897</v>
      </c>
      <c r="C3358" t="s">
        <v>3338</v>
      </c>
      <c r="D3358" t="s">
        <v>1</v>
      </c>
      <c r="E3358" t="s">
        <v>2</v>
      </c>
      <c r="F3358">
        <v>4000000</v>
      </c>
      <c r="G3358">
        <v>2013</v>
      </c>
      <c r="H3358">
        <v>6.9</v>
      </c>
    </row>
    <row r="3359" spans="1:8" x14ac:dyDescent="0.25">
      <c r="A3359">
        <v>86</v>
      </c>
      <c r="B3359">
        <v>185577</v>
      </c>
      <c r="C3359" t="s">
        <v>3342</v>
      </c>
      <c r="D3359" t="s">
        <v>1</v>
      </c>
      <c r="E3359" t="s">
        <v>5</v>
      </c>
      <c r="F3359">
        <v>4000000</v>
      </c>
      <c r="G3359">
        <v>1999</v>
      </c>
      <c r="H3359">
        <v>6.3</v>
      </c>
    </row>
    <row r="3360" spans="1:8" x14ac:dyDescent="0.25">
      <c r="A3360">
        <v>120</v>
      </c>
      <c r="B3360">
        <v>100412</v>
      </c>
      <c r="C3360" t="s">
        <v>3343</v>
      </c>
      <c r="D3360" t="s">
        <v>1644</v>
      </c>
      <c r="E3360" t="s">
        <v>496</v>
      </c>
      <c r="F3360">
        <v>4000000</v>
      </c>
      <c r="G3360">
        <v>2013</v>
      </c>
      <c r="H3360">
        <v>7.7</v>
      </c>
    </row>
    <row r="3361" spans="1:8" x14ac:dyDescent="0.25">
      <c r="A3361">
        <v>113</v>
      </c>
      <c r="B3361">
        <v>146402</v>
      </c>
      <c r="C3361" t="s">
        <v>3347</v>
      </c>
      <c r="D3361" t="s">
        <v>475</v>
      </c>
      <c r="E3361" t="s">
        <v>620</v>
      </c>
      <c r="F3361">
        <v>4000000</v>
      </c>
      <c r="G3361">
        <v>2002</v>
      </c>
      <c r="H3361">
        <v>7.7</v>
      </c>
    </row>
    <row r="3362" spans="1:8" x14ac:dyDescent="0.25">
      <c r="A3362">
        <v>92</v>
      </c>
      <c r="B3362">
        <v>12836</v>
      </c>
      <c r="C3362" t="s">
        <v>3349</v>
      </c>
      <c r="D3362" t="s">
        <v>1</v>
      </c>
      <c r="E3362" t="s">
        <v>2</v>
      </c>
      <c r="F3362">
        <v>4000000</v>
      </c>
      <c r="G3362">
        <v>1997</v>
      </c>
      <c r="H3362">
        <v>5.8</v>
      </c>
    </row>
    <row r="3363" spans="1:8" x14ac:dyDescent="0.25">
      <c r="A3363">
        <v>106</v>
      </c>
      <c r="B3363">
        <v>20262</v>
      </c>
      <c r="C3363" t="s">
        <v>3350</v>
      </c>
      <c r="D3363" t="s">
        <v>2737</v>
      </c>
      <c r="E3363" t="s">
        <v>3097</v>
      </c>
      <c r="F3363">
        <v>4000000</v>
      </c>
      <c r="G3363">
        <v>2014</v>
      </c>
      <c r="H3363">
        <v>6.1</v>
      </c>
    </row>
    <row r="3364" spans="1:8" x14ac:dyDescent="0.25">
      <c r="A3364">
        <v>93</v>
      </c>
      <c r="B3364">
        <v>4063</v>
      </c>
      <c r="C3364" t="s">
        <v>3351</v>
      </c>
      <c r="D3364" t="s">
        <v>1</v>
      </c>
      <c r="E3364" t="s">
        <v>38</v>
      </c>
      <c r="F3364">
        <v>4000000</v>
      </c>
      <c r="G3364">
        <v>2012</v>
      </c>
      <c r="H3364">
        <v>5.2</v>
      </c>
    </row>
    <row r="3365" spans="1:8" x14ac:dyDescent="0.25">
      <c r="A3365">
        <v>104</v>
      </c>
      <c r="B3365">
        <v>143653</v>
      </c>
      <c r="C3365" t="s">
        <v>3353</v>
      </c>
      <c r="D3365" t="s">
        <v>1</v>
      </c>
      <c r="E3365" t="s">
        <v>5</v>
      </c>
      <c r="F3365">
        <v>4000000</v>
      </c>
      <c r="G3365">
        <v>2014</v>
      </c>
      <c r="H3365">
        <v>6</v>
      </c>
    </row>
    <row r="3366" spans="1:8" x14ac:dyDescent="0.25">
      <c r="A3366">
        <v>120</v>
      </c>
      <c r="B3366">
        <v>21244913</v>
      </c>
      <c r="C3366" t="s">
        <v>3396</v>
      </c>
      <c r="D3366" t="s">
        <v>1</v>
      </c>
      <c r="E3366" t="s">
        <v>119</v>
      </c>
      <c r="F3366">
        <v>4000000</v>
      </c>
      <c r="G3366">
        <v>2002</v>
      </c>
      <c r="H3366">
        <v>8</v>
      </c>
    </row>
    <row r="3367" spans="1:8" x14ac:dyDescent="0.25">
      <c r="A3367">
        <v>91</v>
      </c>
      <c r="B3367">
        <v>36200000</v>
      </c>
      <c r="C3367" t="s">
        <v>3476</v>
      </c>
      <c r="D3367" t="s">
        <v>1</v>
      </c>
      <c r="E3367" t="s">
        <v>2</v>
      </c>
      <c r="F3367">
        <v>4000000</v>
      </c>
      <c r="G3367">
        <v>1982</v>
      </c>
      <c r="H3367">
        <v>5.7</v>
      </c>
    </row>
    <row r="3368" spans="1:8" x14ac:dyDescent="0.25">
      <c r="A3368">
        <v>112</v>
      </c>
      <c r="B3368">
        <v>375723</v>
      </c>
      <c r="C3368" t="s">
        <v>3600</v>
      </c>
      <c r="D3368" t="s">
        <v>2737</v>
      </c>
      <c r="E3368" t="s">
        <v>3097</v>
      </c>
      <c r="F3368">
        <v>4000000</v>
      </c>
      <c r="G3368">
        <v>2015</v>
      </c>
      <c r="H3368">
        <v>7.9</v>
      </c>
    </row>
    <row r="3369" spans="1:8" x14ac:dyDescent="0.25">
      <c r="A3369">
        <v>97</v>
      </c>
      <c r="C3369" t="s">
        <v>3819</v>
      </c>
      <c r="D3369" t="s">
        <v>1</v>
      </c>
      <c r="E3369" t="s">
        <v>2</v>
      </c>
      <c r="F3369">
        <v>4000000</v>
      </c>
      <c r="G3369">
        <v>2014</v>
      </c>
      <c r="H3369">
        <v>6.1</v>
      </c>
    </row>
    <row r="3370" spans="1:8" x14ac:dyDescent="0.25">
      <c r="A3370">
        <v>226</v>
      </c>
      <c r="B3370">
        <v>198655278</v>
      </c>
      <c r="C3370" t="s">
        <v>3352</v>
      </c>
      <c r="D3370" t="s">
        <v>1</v>
      </c>
      <c r="E3370" t="s">
        <v>2</v>
      </c>
      <c r="F3370">
        <v>3977000</v>
      </c>
      <c r="G3370">
        <v>1939</v>
      </c>
      <c r="H3370">
        <v>8.1999999999999993</v>
      </c>
    </row>
    <row r="3371" spans="1:8" x14ac:dyDescent="0.25">
      <c r="A3371">
        <v>93</v>
      </c>
      <c r="B3371">
        <v>611709</v>
      </c>
      <c r="C3371" t="s">
        <v>3189</v>
      </c>
      <c r="D3371" t="s">
        <v>243</v>
      </c>
      <c r="E3371" t="s">
        <v>3190</v>
      </c>
      <c r="F3371">
        <v>3850000</v>
      </c>
      <c r="G3371">
        <v>2011</v>
      </c>
      <c r="H3371">
        <v>7.2</v>
      </c>
    </row>
    <row r="3372" spans="1:8" x14ac:dyDescent="0.25">
      <c r="A3372">
        <v>152</v>
      </c>
      <c r="B3372">
        <v>14873</v>
      </c>
      <c r="C3372" t="s">
        <v>3354</v>
      </c>
      <c r="D3372" t="s">
        <v>1</v>
      </c>
      <c r="E3372" t="s">
        <v>2</v>
      </c>
      <c r="F3372">
        <v>3800000</v>
      </c>
      <c r="G3372">
        <v>1965</v>
      </c>
      <c r="H3372">
        <v>6.8</v>
      </c>
    </row>
    <row r="3373" spans="1:8" x14ac:dyDescent="0.25">
      <c r="A3373">
        <v>99</v>
      </c>
      <c r="B3373">
        <v>19959</v>
      </c>
      <c r="C3373" t="s">
        <v>3358</v>
      </c>
      <c r="D3373" t="s">
        <v>1</v>
      </c>
      <c r="E3373" t="s">
        <v>1630</v>
      </c>
      <c r="F3373">
        <v>3800000</v>
      </c>
      <c r="G3373">
        <v>2009</v>
      </c>
      <c r="H3373">
        <v>6.9</v>
      </c>
    </row>
    <row r="3374" spans="1:8" x14ac:dyDescent="0.25">
      <c r="A3374">
        <v>115</v>
      </c>
      <c r="B3374">
        <v>610968</v>
      </c>
      <c r="C3374" t="s">
        <v>3385</v>
      </c>
      <c r="D3374" t="s">
        <v>2945</v>
      </c>
      <c r="E3374" t="s">
        <v>1438</v>
      </c>
      <c r="F3374">
        <v>3800000</v>
      </c>
      <c r="G3374">
        <v>2012</v>
      </c>
      <c r="H3374">
        <v>8.3000000000000007</v>
      </c>
    </row>
    <row r="3375" spans="1:8" x14ac:dyDescent="0.25">
      <c r="A3375">
        <v>85</v>
      </c>
      <c r="B3375">
        <v>100669</v>
      </c>
      <c r="C3375" t="s">
        <v>3514</v>
      </c>
      <c r="D3375" t="s">
        <v>1</v>
      </c>
      <c r="E3375" t="s">
        <v>2</v>
      </c>
      <c r="F3375">
        <v>3800000</v>
      </c>
      <c r="G3375">
        <v>2009</v>
      </c>
      <c r="H3375">
        <v>5.8</v>
      </c>
    </row>
    <row r="3376" spans="1:8" x14ac:dyDescent="0.25">
      <c r="A3376">
        <v>107</v>
      </c>
      <c r="B3376">
        <v>8000000</v>
      </c>
      <c r="C3376" t="s">
        <v>3355</v>
      </c>
      <c r="D3376" t="s">
        <v>1</v>
      </c>
      <c r="E3376" t="s">
        <v>2</v>
      </c>
      <c r="F3376">
        <v>3768785</v>
      </c>
      <c r="G3376">
        <v>1950</v>
      </c>
      <c r="H3376">
        <v>7</v>
      </c>
    </row>
    <row r="3377" spans="1:8" x14ac:dyDescent="0.25">
      <c r="A3377">
        <v>102</v>
      </c>
      <c r="B3377">
        <v>2956000</v>
      </c>
      <c r="C3377" t="s">
        <v>3357</v>
      </c>
      <c r="D3377" t="s">
        <v>1</v>
      </c>
      <c r="E3377" t="s">
        <v>2</v>
      </c>
      <c r="F3377">
        <v>3700000</v>
      </c>
      <c r="G3377">
        <v>1948</v>
      </c>
      <c r="H3377">
        <v>7.1</v>
      </c>
    </row>
    <row r="3378" spans="1:8" x14ac:dyDescent="0.25">
      <c r="A3378">
        <v>111</v>
      </c>
      <c r="B3378">
        <v>31968347</v>
      </c>
      <c r="C3378" t="s">
        <v>3311</v>
      </c>
      <c r="D3378" t="s">
        <v>1</v>
      </c>
      <c r="E3378" t="s">
        <v>2</v>
      </c>
      <c r="F3378">
        <v>3600000</v>
      </c>
      <c r="G3378">
        <v>1995</v>
      </c>
      <c r="H3378">
        <v>7.6</v>
      </c>
    </row>
    <row r="3379" spans="1:8" x14ac:dyDescent="0.25">
      <c r="A3379">
        <v>37</v>
      </c>
      <c r="B3379">
        <v>5923044</v>
      </c>
      <c r="C3379" t="s">
        <v>3371</v>
      </c>
      <c r="D3379" t="s">
        <v>1</v>
      </c>
      <c r="E3379" t="s">
        <v>2</v>
      </c>
      <c r="F3379">
        <v>3600000</v>
      </c>
      <c r="G3379">
        <v>1987</v>
      </c>
      <c r="H3379">
        <v>7.8</v>
      </c>
    </row>
    <row r="3380" spans="1:8" x14ac:dyDescent="0.25">
      <c r="A3380">
        <v>112</v>
      </c>
      <c r="B3380">
        <v>32541719</v>
      </c>
      <c r="C3380" t="s">
        <v>3173</v>
      </c>
      <c r="D3380" t="s">
        <v>1</v>
      </c>
      <c r="E3380" t="s">
        <v>5</v>
      </c>
      <c r="F3380">
        <v>3500159</v>
      </c>
      <c r="G3380">
        <v>2002</v>
      </c>
      <c r="H3380">
        <v>6.7</v>
      </c>
    </row>
    <row r="3381" spans="1:8" x14ac:dyDescent="0.25">
      <c r="A3381">
        <v>100</v>
      </c>
      <c r="B3381">
        <v>26005908</v>
      </c>
      <c r="C3381" t="s">
        <v>3050</v>
      </c>
      <c r="D3381" t="s">
        <v>1</v>
      </c>
      <c r="E3381" t="s">
        <v>5</v>
      </c>
      <c r="F3381">
        <v>3500000</v>
      </c>
      <c r="G3381">
        <v>2005</v>
      </c>
      <c r="H3381">
        <v>7.2</v>
      </c>
    </row>
    <row r="3382" spans="1:8" x14ac:dyDescent="0.25">
      <c r="A3382">
        <v>103</v>
      </c>
      <c r="B3382">
        <v>236266</v>
      </c>
      <c r="C3382" t="s">
        <v>3082</v>
      </c>
      <c r="D3382" t="s">
        <v>1</v>
      </c>
      <c r="E3382" t="s">
        <v>2</v>
      </c>
      <c r="F3382">
        <v>3500000</v>
      </c>
      <c r="G3382">
        <v>2002</v>
      </c>
      <c r="H3382">
        <v>6.2</v>
      </c>
    </row>
    <row r="3383" spans="1:8" x14ac:dyDescent="0.25">
      <c r="A3383">
        <v>106</v>
      </c>
      <c r="B3383">
        <v>20803237</v>
      </c>
      <c r="C3383" t="s">
        <v>3313</v>
      </c>
      <c r="D3383" t="s">
        <v>1</v>
      </c>
      <c r="E3383" t="s">
        <v>2</v>
      </c>
      <c r="F3383">
        <v>3500000</v>
      </c>
      <c r="G3383">
        <v>2010</v>
      </c>
      <c r="H3383">
        <v>7.1</v>
      </c>
    </row>
    <row r="3384" spans="1:8" x14ac:dyDescent="0.25">
      <c r="A3384">
        <v>95</v>
      </c>
      <c r="B3384">
        <v>37606</v>
      </c>
      <c r="C3384" t="s">
        <v>3356</v>
      </c>
      <c r="D3384" t="s">
        <v>1</v>
      </c>
      <c r="E3384" t="s">
        <v>38</v>
      </c>
      <c r="F3384">
        <v>3500000</v>
      </c>
      <c r="G3384">
        <v>2009</v>
      </c>
      <c r="H3384">
        <v>6.8</v>
      </c>
    </row>
    <row r="3385" spans="1:8" x14ac:dyDescent="0.25">
      <c r="A3385">
        <v>91</v>
      </c>
      <c r="B3385">
        <v>45857453</v>
      </c>
      <c r="C3385" t="s">
        <v>3360</v>
      </c>
      <c r="D3385" t="s">
        <v>1</v>
      </c>
      <c r="E3385" t="s">
        <v>5</v>
      </c>
      <c r="F3385">
        <v>3500000</v>
      </c>
      <c r="G3385">
        <v>1997</v>
      </c>
      <c r="H3385">
        <v>7.2</v>
      </c>
    </row>
    <row r="3386" spans="1:8" x14ac:dyDescent="0.25">
      <c r="A3386">
        <v>88</v>
      </c>
      <c r="B3386">
        <v>83400000</v>
      </c>
      <c r="C3386" t="s">
        <v>3361</v>
      </c>
      <c r="D3386" t="s">
        <v>1</v>
      </c>
      <c r="E3386" t="s">
        <v>2</v>
      </c>
      <c r="F3386">
        <v>3500000</v>
      </c>
      <c r="G3386">
        <v>1980</v>
      </c>
      <c r="H3386">
        <v>7.8</v>
      </c>
    </row>
    <row r="3387" spans="1:8" x14ac:dyDescent="0.25">
      <c r="A3387">
        <v>97</v>
      </c>
      <c r="B3387">
        <v>27900000</v>
      </c>
      <c r="C3387" t="s">
        <v>3362</v>
      </c>
      <c r="D3387" t="s">
        <v>1</v>
      </c>
      <c r="E3387" t="s">
        <v>2</v>
      </c>
      <c r="F3387">
        <v>3500000</v>
      </c>
      <c r="G3387">
        <v>1995</v>
      </c>
      <c r="H3387">
        <v>7.3</v>
      </c>
    </row>
    <row r="3388" spans="1:8" x14ac:dyDescent="0.25">
      <c r="A3388">
        <v>97</v>
      </c>
      <c r="B3388">
        <v>27900000</v>
      </c>
      <c r="C3388" t="s">
        <v>3363</v>
      </c>
      <c r="D3388" t="s">
        <v>1</v>
      </c>
      <c r="E3388" t="s">
        <v>2</v>
      </c>
      <c r="F3388">
        <v>3500000</v>
      </c>
      <c r="G3388">
        <v>1993</v>
      </c>
      <c r="H3388">
        <v>7.5</v>
      </c>
    </row>
    <row r="3389" spans="1:8" x14ac:dyDescent="0.25">
      <c r="A3389">
        <v>85</v>
      </c>
      <c r="B3389">
        <v>14000000</v>
      </c>
      <c r="C3389" t="s">
        <v>3364</v>
      </c>
      <c r="D3389" t="s">
        <v>1</v>
      </c>
      <c r="E3389" t="s">
        <v>2</v>
      </c>
      <c r="F3389">
        <v>3500000</v>
      </c>
      <c r="G3389">
        <v>1987</v>
      </c>
      <c r="H3389">
        <v>6</v>
      </c>
    </row>
    <row r="3390" spans="1:8" x14ac:dyDescent="0.25">
      <c r="A3390">
        <v>92</v>
      </c>
      <c r="B3390">
        <v>25138292</v>
      </c>
      <c r="C3390" t="s">
        <v>3365</v>
      </c>
      <c r="D3390" t="s">
        <v>1</v>
      </c>
      <c r="E3390" t="s">
        <v>2</v>
      </c>
      <c r="F3390">
        <v>3500000</v>
      </c>
      <c r="G3390">
        <v>2015</v>
      </c>
      <c r="H3390">
        <v>6.8</v>
      </c>
    </row>
    <row r="3391" spans="1:8" x14ac:dyDescent="0.25">
      <c r="A3391">
        <v>93</v>
      </c>
      <c r="B3391">
        <v>10305534</v>
      </c>
      <c r="C3391" t="s">
        <v>3366</v>
      </c>
      <c r="D3391" t="s">
        <v>1</v>
      </c>
      <c r="E3391" t="s">
        <v>2</v>
      </c>
      <c r="F3391">
        <v>3500000</v>
      </c>
      <c r="G3391">
        <v>1998</v>
      </c>
      <c r="H3391">
        <v>3.9</v>
      </c>
    </row>
    <row r="3392" spans="1:8" x14ac:dyDescent="0.25">
      <c r="A3392">
        <v>96</v>
      </c>
      <c r="B3392">
        <v>9449219</v>
      </c>
      <c r="C3392" t="s">
        <v>3367</v>
      </c>
      <c r="D3392" t="s">
        <v>1</v>
      </c>
      <c r="E3392" t="s">
        <v>2</v>
      </c>
      <c r="F3392">
        <v>3500000</v>
      </c>
      <c r="G3392">
        <v>1996</v>
      </c>
      <c r="H3392">
        <v>6.1</v>
      </c>
    </row>
    <row r="3393" spans="1:8" x14ac:dyDescent="0.25">
      <c r="A3393">
        <v>105</v>
      </c>
      <c r="B3393">
        <v>6390032</v>
      </c>
      <c r="C3393" t="s">
        <v>3368</v>
      </c>
      <c r="D3393" t="s">
        <v>1</v>
      </c>
      <c r="E3393" t="s">
        <v>2</v>
      </c>
      <c r="F3393">
        <v>3500000</v>
      </c>
      <c r="G3393">
        <v>1998</v>
      </c>
      <c r="H3393">
        <v>7.5</v>
      </c>
    </row>
    <row r="3394" spans="1:8" x14ac:dyDescent="0.25">
      <c r="A3394">
        <v>106</v>
      </c>
      <c r="B3394">
        <v>886410</v>
      </c>
      <c r="C3394" t="s">
        <v>3373</v>
      </c>
      <c r="D3394" t="s">
        <v>475</v>
      </c>
      <c r="E3394" t="s">
        <v>496</v>
      </c>
      <c r="F3394">
        <v>3500000</v>
      </c>
      <c r="G3394">
        <v>1998</v>
      </c>
      <c r="H3394">
        <v>6.8</v>
      </c>
    </row>
    <row r="3395" spans="1:8" x14ac:dyDescent="0.25">
      <c r="A3395">
        <v>101</v>
      </c>
      <c r="B3395">
        <v>220234</v>
      </c>
      <c r="C3395" t="s">
        <v>3375</v>
      </c>
      <c r="D3395" t="s">
        <v>1</v>
      </c>
      <c r="E3395" t="s">
        <v>2</v>
      </c>
      <c r="F3395">
        <v>3500000</v>
      </c>
      <c r="G3395">
        <v>2006</v>
      </c>
      <c r="H3395">
        <v>6.5</v>
      </c>
    </row>
    <row r="3396" spans="1:8" x14ac:dyDescent="0.25">
      <c r="A3396">
        <v>98</v>
      </c>
      <c r="B3396">
        <v>101228</v>
      </c>
      <c r="C3396" t="s">
        <v>3376</v>
      </c>
      <c r="D3396" t="s">
        <v>1</v>
      </c>
      <c r="E3396" t="s">
        <v>2</v>
      </c>
      <c r="F3396">
        <v>3500000</v>
      </c>
      <c r="G3396">
        <v>2005</v>
      </c>
      <c r="H3396">
        <v>6.4</v>
      </c>
    </row>
    <row r="3397" spans="1:8" x14ac:dyDescent="0.25">
      <c r="A3397">
        <v>91</v>
      </c>
      <c r="B3397">
        <v>96793</v>
      </c>
      <c r="C3397" t="s">
        <v>3377</v>
      </c>
      <c r="D3397" t="s">
        <v>1</v>
      </c>
      <c r="E3397" t="s">
        <v>2</v>
      </c>
      <c r="F3397">
        <v>3500000</v>
      </c>
      <c r="G3397">
        <v>2004</v>
      </c>
      <c r="H3397">
        <v>5.3</v>
      </c>
    </row>
    <row r="3398" spans="1:8" x14ac:dyDescent="0.25">
      <c r="A3398">
        <v>105</v>
      </c>
      <c r="B3398">
        <v>123777</v>
      </c>
      <c r="C3398" t="s">
        <v>3378</v>
      </c>
      <c r="D3398" t="s">
        <v>1</v>
      </c>
      <c r="E3398" t="s">
        <v>38</v>
      </c>
      <c r="F3398">
        <v>3500000</v>
      </c>
      <c r="G3398">
        <v>2016</v>
      </c>
      <c r="H3398">
        <v>4.7</v>
      </c>
    </row>
    <row r="3399" spans="1:8" x14ac:dyDescent="0.25">
      <c r="A3399">
        <v>107</v>
      </c>
      <c r="B3399">
        <v>5354039</v>
      </c>
      <c r="C3399" t="s">
        <v>3380</v>
      </c>
      <c r="D3399" t="s">
        <v>1</v>
      </c>
      <c r="E3399" t="s">
        <v>2</v>
      </c>
      <c r="F3399">
        <v>3500000</v>
      </c>
      <c r="G3399">
        <v>2011</v>
      </c>
      <c r="H3399">
        <v>7.1</v>
      </c>
    </row>
    <row r="3400" spans="1:8" x14ac:dyDescent="0.25">
      <c r="A3400">
        <v>94</v>
      </c>
      <c r="B3400">
        <v>16501785</v>
      </c>
      <c r="C3400" t="s">
        <v>3392</v>
      </c>
      <c r="D3400" t="s">
        <v>1</v>
      </c>
      <c r="E3400" t="s">
        <v>5</v>
      </c>
      <c r="F3400">
        <v>3500000</v>
      </c>
      <c r="G3400">
        <v>1996</v>
      </c>
      <c r="H3400">
        <v>8.1999999999999993</v>
      </c>
    </row>
    <row r="3401" spans="1:8" x14ac:dyDescent="0.25">
      <c r="A3401">
        <v>87</v>
      </c>
      <c r="B3401">
        <v>3071947</v>
      </c>
      <c r="C3401" t="s">
        <v>3420</v>
      </c>
      <c r="D3401" t="s">
        <v>1</v>
      </c>
      <c r="E3401" t="s">
        <v>2</v>
      </c>
      <c r="F3401">
        <v>3500000</v>
      </c>
      <c r="G3401">
        <v>1999</v>
      </c>
      <c r="H3401">
        <v>5.4</v>
      </c>
    </row>
    <row r="3402" spans="1:8" x14ac:dyDescent="0.25">
      <c r="A3402">
        <v>110</v>
      </c>
      <c r="B3402">
        <v>2848578</v>
      </c>
      <c r="C3402" t="s">
        <v>3428</v>
      </c>
      <c r="D3402" t="s">
        <v>1</v>
      </c>
      <c r="E3402" t="s">
        <v>2</v>
      </c>
      <c r="F3402">
        <v>3500000</v>
      </c>
      <c r="G3402">
        <v>2010</v>
      </c>
      <c r="H3402">
        <v>6.3</v>
      </c>
    </row>
    <row r="3403" spans="1:8" x14ac:dyDescent="0.25">
      <c r="A3403">
        <v>81</v>
      </c>
      <c r="B3403">
        <v>7267324</v>
      </c>
      <c r="C3403" t="s">
        <v>3541</v>
      </c>
      <c r="D3403" t="s">
        <v>1644</v>
      </c>
      <c r="E3403" t="s">
        <v>119</v>
      </c>
      <c r="F3403">
        <v>3500000</v>
      </c>
      <c r="G3403">
        <v>1998</v>
      </c>
      <c r="H3403">
        <v>7.8</v>
      </c>
    </row>
    <row r="3404" spans="1:8" x14ac:dyDescent="0.25">
      <c r="A3404">
        <v>112</v>
      </c>
      <c r="B3404">
        <v>9701559</v>
      </c>
      <c r="C3404" t="s">
        <v>3622</v>
      </c>
      <c r="D3404" t="s">
        <v>1</v>
      </c>
      <c r="E3404" t="s">
        <v>2</v>
      </c>
      <c r="F3404">
        <v>3500000</v>
      </c>
      <c r="G3404">
        <v>2010</v>
      </c>
      <c r="H3404">
        <v>7.4</v>
      </c>
    </row>
    <row r="3405" spans="1:8" x14ac:dyDescent="0.25">
      <c r="A3405">
        <v>91</v>
      </c>
      <c r="B3405">
        <v>45857453</v>
      </c>
      <c r="C3405" t="s">
        <v>3360</v>
      </c>
      <c r="D3405" t="s">
        <v>1</v>
      </c>
      <c r="E3405" t="s">
        <v>5</v>
      </c>
      <c r="F3405">
        <v>3500000</v>
      </c>
      <c r="G3405">
        <v>1997</v>
      </c>
      <c r="H3405">
        <v>7.2</v>
      </c>
    </row>
    <row r="3406" spans="1:8" x14ac:dyDescent="0.25">
      <c r="A3406">
        <v>105</v>
      </c>
      <c r="B3406">
        <v>7159147</v>
      </c>
      <c r="C3406" t="s">
        <v>3322</v>
      </c>
      <c r="D3406" t="s">
        <v>475</v>
      </c>
      <c r="E3406" t="s">
        <v>620</v>
      </c>
      <c r="F3406">
        <v>3400000</v>
      </c>
      <c r="G3406">
        <v>2007</v>
      </c>
      <c r="H3406">
        <v>7.5</v>
      </c>
    </row>
    <row r="3407" spans="1:8" x14ac:dyDescent="0.25">
      <c r="A3407">
        <v>86</v>
      </c>
      <c r="B3407">
        <v>535249</v>
      </c>
      <c r="C3407" t="s">
        <v>3511</v>
      </c>
      <c r="D3407" t="s">
        <v>1</v>
      </c>
      <c r="E3407" t="s">
        <v>2</v>
      </c>
      <c r="F3407">
        <v>3400000</v>
      </c>
      <c r="G3407">
        <v>2010</v>
      </c>
      <c r="H3407">
        <v>4.5999999999999996</v>
      </c>
    </row>
    <row r="3408" spans="1:8" x14ac:dyDescent="0.25">
      <c r="A3408">
        <v>83</v>
      </c>
      <c r="B3408">
        <v>25799043</v>
      </c>
      <c r="C3408" t="s">
        <v>3212</v>
      </c>
      <c r="D3408" t="s">
        <v>1</v>
      </c>
      <c r="E3408" t="s">
        <v>2</v>
      </c>
      <c r="F3408">
        <v>3300000</v>
      </c>
      <c r="G3408">
        <v>2015</v>
      </c>
      <c r="H3408">
        <v>5.2</v>
      </c>
    </row>
    <row r="3409" spans="1:8" x14ac:dyDescent="0.25">
      <c r="A3409">
        <v>107</v>
      </c>
      <c r="B3409">
        <v>13092000</v>
      </c>
      <c r="C3409" t="s">
        <v>3382</v>
      </c>
      <c r="D3409" t="s">
        <v>1</v>
      </c>
      <c r="E3409" t="s">
        <v>2</v>
      </c>
      <c r="F3409">
        <v>3300000</v>
      </c>
      <c r="G3409">
        <v>2014</v>
      </c>
      <c r="H3409">
        <v>8.5</v>
      </c>
    </row>
    <row r="3410" spans="1:8" x14ac:dyDescent="0.25">
      <c r="A3410">
        <v>135</v>
      </c>
      <c r="B3410">
        <v>7563397</v>
      </c>
      <c r="C3410" t="s">
        <v>3383</v>
      </c>
      <c r="D3410" t="s">
        <v>2737</v>
      </c>
      <c r="E3410" t="s">
        <v>3097</v>
      </c>
      <c r="F3410">
        <v>3300000</v>
      </c>
      <c r="G3410">
        <v>2002</v>
      </c>
      <c r="H3410">
        <v>8.6999999999999993</v>
      </c>
    </row>
    <row r="3411" spans="1:8" x14ac:dyDescent="0.25">
      <c r="A3411">
        <v>91</v>
      </c>
      <c r="B3411">
        <v>8108247</v>
      </c>
      <c r="C3411" t="s">
        <v>3386</v>
      </c>
      <c r="D3411" t="s">
        <v>1</v>
      </c>
      <c r="E3411" t="s">
        <v>2</v>
      </c>
      <c r="F3411">
        <v>3300000</v>
      </c>
      <c r="G3411">
        <v>2006</v>
      </c>
      <c r="H3411">
        <v>7.4</v>
      </c>
    </row>
    <row r="3412" spans="1:8" x14ac:dyDescent="0.25">
      <c r="A3412">
        <v>108</v>
      </c>
      <c r="B3412">
        <v>2961991</v>
      </c>
      <c r="C3412" t="s">
        <v>3421</v>
      </c>
      <c r="D3412" t="s">
        <v>1</v>
      </c>
      <c r="E3412" t="s">
        <v>2</v>
      </c>
      <c r="F3412">
        <v>3300000</v>
      </c>
      <c r="G3412">
        <v>1996</v>
      </c>
      <c r="H3412">
        <v>6.9</v>
      </c>
    </row>
    <row r="3413" spans="1:8" x14ac:dyDescent="0.25">
      <c r="A3413">
        <v>101</v>
      </c>
      <c r="B3413">
        <v>8243880</v>
      </c>
      <c r="C3413" t="s">
        <v>3320</v>
      </c>
      <c r="D3413" t="s">
        <v>1</v>
      </c>
      <c r="E3413" t="s">
        <v>2</v>
      </c>
      <c r="F3413">
        <v>3200000</v>
      </c>
      <c r="G3413">
        <v>2003</v>
      </c>
      <c r="H3413">
        <v>7</v>
      </c>
    </row>
    <row r="3414" spans="1:8" x14ac:dyDescent="0.25">
      <c r="A3414">
        <v>105</v>
      </c>
      <c r="B3414">
        <v>5776314</v>
      </c>
      <c r="C3414" t="s">
        <v>3389</v>
      </c>
      <c r="D3414" t="s">
        <v>1</v>
      </c>
      <c r="E3414" t="s">
        <v>2</v>
      </c>
      <c r="F3414">
        <v>3200000</v>
      </c>
      <c r="G3414">
        <v>2010</v>
      </c>
      <c r="H3414">
        <v>7.2</v>
      </c>
    </row>
    <row r="3415" spans="1:8" x14ac:dyDescent="0.25">
      <c r="A3415">
        <v>87</v>
      </c>
      <c r="B3415">
        <v>1200000</v>
      </c>
      <c r="C3415" t="s">
        <v>2620</v>
      </c>
      <c r="D3415" t="s">
        <v>1</v>
      </c>
      <c r="E3415" t="s">
        <v>2</v>
      </c>
      <c r="F3415">
        <v>3000000</v>
      </c>
      <c r="G3415">
        <v>1993</v>
      </c>
      <c r="H3415">
        <v>5.0999999999999996</v>
      </c>
    </row>
    <row r="3416" spans="1:8" x14ac:dyDescent="0.25">
      <c r="A3416">
        <v>76</v>
      </c>
      <c r="B3416">
        <v>13684949</v>
      </c>
      <c r="C3416" t="s">
        <v>2835</v>
      </c>
      <c r="D3416" t="s">
        <v>1</v>
      </c>
      <c r="E3416" t="s">
        <v>2</v>
      </c>
      <c r="F3416">
        <v>3000000</v>
      </c>
      <c r="G3416">
        <v>2002</v>
      </c>
      <c r="H3416">
        <v>5.9</v>
      </c>
    </row>
    <row r="3417" spans="1:8" x14ac:dyDescent="0.25">
      <c r="A3417">
        <v>96</v>
      </c>
      <c r="B3417">
        <v>11642254</v>
      </c>
      <c r="C3417" t="s">
        <v>3143</v>
      </c>
      <c r="D3417" t="s">
        <v>1</v>
      </c>
      <c r="E3417" t="s">
        <v>2</v>
      </c>
      <c r="F3417">
        <v>3000000</v>
      </c>
      <c r="G3417">
        <v>1989</v>
      </c>
      <c r="H3417">
        <v>5.2</v>
      </c>
    </row>
    <row r="3418" spans="1:8" x14ac:dyDescent="0.25">
      <c r="A3418">
        <v>90</v>
      </c>
      <c r="B3418">
        <v>24475193</v>
      </c>
      <c r="C3418" t="s">
        <v>3181</v>
      </c>
      <c r="D3418" t="s">
        <v>1</v>
      </c>
      <c r="E3418" t="s">
        <v>2</v>
      </c>
      <c r="F3418">
        <v>3000000</v>
      </c>
      <c r="G3418">
        <v>2013</v>
      </c>
      <c r="H3418">
        <v>6.6</v>
      </c>
    </row>
    <row r="3419" spans="1:8" x14ac:dyDescent="0.25">
      <c r="A3419">
        <v>112</v>
      </c>
      <c r="B3419">
        <v>26345</v>
      </c>
      <c r="C3419" t="s">
        <v>3299</v>
      </c>
      <c r="D3419" t="s">
        <v>1</v>
      </c>
      <c r="E3419" t="s">
        <v>5</v>
      </c>
      <c r="F3419">
        <v>3000000</v>
      </c>
      <c r="G3419">
        <v>2012</v>
      </c>
      <c r="H3419">
        <v>6.1</v>
      </c>
    </row>
    <row r="3420" spans="1:8" x14ac:dyDescent="0.25">
      <c r="A3420">
        <v>99</v>
      </c>
      <c r="B3420">
        <v>302204</v>
      </c>
      <c r="C3420" t="s">
        <v>3339</v>
      </c>
      <c r="D3420" t="s">
        <v>1</v>
      </c>
      <c r="E3420" t="s">
        <v>5</v>
      </c>
      <c r="F3420">
        <v>3000000</v>
      </c>
      <c r="G3420">
        <v>1997</v>
      </c>
      <c r="H3420">
        <v>6.6</v>
      </c>
    </row>
    <row r="3421" spans="1:8" x14ac:dyDescent="0.25">
      <c r="A3421">
        <v>81</v>
      </c>
      <c r="B3421">
        <v>3293258</v>
      </c>
      <c r="C3421" t="s">
        <v>3372</v>
      </c>
      <c r="D3421" t="s">
        <v>1</v>
      </c>
      <c r="E3421" t="s">
        <v>2</v>
      </c>
      <c r="F3421">
        <v>3000000</v>
      </c>
      <c r="G3421">
        <v>2001</v>
      </c>
      <c r="H3421">
        <v>5.2</v>
      </c>
    </row>
    <row r="3422" spans="1:8" x14ac:dyDescent="0.25">
      <c r="A3422">
        <v>92</v>
      </c>
      <c r="B3422">
        <v>2926565</v>
      </c>
      <c r="C3422" t="s">
        <v>3381</v>
      </c>
      <c r="D3422" t="s">
        <v>1</v>
      </c>
      <c r="E3422" t="s">
        <v>2</v>
      </c>
      <c r="F3422">
        <v>3000000</v>
      </c>
      <c r="G3422">
        <v>2008</v>
      </c>
      <c r="H3422">
        <v>6.5</v>
      </c>
    </row>
    <row r="3423" spans="1:8" x14ac:dyDescent="0.25">
      <c r="A3423">
        <v>101</v>
      </c>
      <c r="B3423">
        <v>6517198</v>
      </c>
      <c r="C3423" t="s">
        <v>3387</v>
      </c>
      <c r="D3423" t="s">
        <v>475</v>
      </c>
      <c r="E3423" t="s">
        <v>3388</v>
      </c>
      <c r="F3423">
        <v>3000000</v>
      </c>
      <c r="G3423">
        <v>2004</v>
      </c>
      <c r="H3423">
        <v>7.5</v>
      </c>
    </row>
    <row r="3424" spans="1:8" x14ac:dyDescent="0.25">
      <c r="A3424">
        <v>109</v>
      </c>
      <c r="B3424">
        <v>141600000</v>
      </c>
      <c r="C3424" t="s">
        <v>3390</v>
      </c>
      <c r="D3424" t="s">
        <v>1</v>
      </c>
      <c r="E3424" t="s">
        <v>2</v>
      </c>
      <c r="F3424">
        <v>3000000</v>
      </c>
      <c r="G3424">
        <v>1978</v>
      </c>
      <c r="H3424">
        <v>7.6</v>
      </c>
    </row>
    <row r="3425" spans="1:8" x14ac:dyDescent="0.25">
      <c r="A3425">
        <v>110</v>
      </c>
      <c r="B3425">
        <v>51100000</v>
      </c>
      <c r="C3425" t="s">
        <v>3391</v>
      </c>
      <c r="D3425" t="s">
        <v>1</v>
      </c>
      <c r="E3425" t="s">
        <v>5</v>
      </c>
      <c r="F3425">
        <v>3000000</v>
      </c>
      <c r="G3425">
        <v>1964</v>
      </c>
      <c r="H3425">
        <v>7.8</v>
      </c>
    </row>
    <row r="3426" spans="1:8" x14ac:dyDescent="0.25">
      <c r="A3426">
        <v>115</v>
      </c>
      <c r="B3426">
        <v>38168022</v>
      </c>
      <c r="C3426" t="s">
        <v>3393</v>
      </c>
      <c r="D3426" t="s">
        <v>1</v>
      </c>
      <c r="E3426" t="s">
        <v>2</v>
      </c>
      <c r="F3426">
        <v>3000000</v>
      </c>
      <c r="G3426">
        <v>2000</v>
      </c>
      <c r="H3426">
        <v>6.6</v>
      </c>
    </row>
    <row r="3427" spans="1:8" x14ac:dyDescent="0.25">
      <c r="A3427">
        <v>98</v>
      </c>
      <c r="B3427">
        <v>84749884</v>
      </c>
      <c r="C3427" t="s">
        <v>3394</v>
      </c>
      <c r="D3427" t="s">
        <v>1</v>
      </c>
      <c r="E3427" t="s">
        <v>2</v>
      </c>
      <c r="F3427">
        <v>3000000</v>
      </c>
      <c r="G3427">
        <v>2010</v>
      </c>
      <c r="H3427">
        <v>5.7</v>
      </c>
    </row>
    <row r="3428" spans="1:8" x14ac:dyDescent="0.25">
      <c r="A3428">
        <v>91</v>
      </c>
      <c r="B3428">
        <v>24788807</v>
      </c>
      <c r="C3428" t="s">
        <v>3395</v>
      </c>
      <c r="D3428" t="s">
        <v>1</v>
      </c>
      <c r="E3428" t="s">
        <v>5</v>
      </c>
      <c r="F3428">
        <v>3000000</v>
      </c>
      <c r="G3428">
        <v>1998</v>
      </c>
      <c r="H3428">
        <v>7.4</v>
      </c>
    </row>
    <row r="3429" spans="1:8" x14ac:dyDescent="0.25">
      <c r="A3429">
        <v>117</v>
      </c>
      <c r="B3429">
        <v>20966644</v>
      </c>
      <c r="C3429" t="s">
        <v>3398</v>
      </c>
      <c r="D3429" t="s">
        <v>1</v>
      </c>
      <c r="E3429" t="s">
        <v>5</v>
      </c>
      <c r="F3429">
        <v>3000000</v>
      </c>
      <c r="G3429">
        <v>1985</v>
      </c>
      <c r="H3429">
        <v>7.4</v>
      </c>
    </row>
    <row r="3430" spans="1:8" x14ac:dyDescent="0.25">
      <c r="A3430">
        <v>85</v>
      </c>
      <c r="B3430">
        <v>64423650</v>
      </c>
      <c r="C3430" t="s">
        <v>3399</v>
      </c>
      <c r="D3430" t="s">
        <v>1</v>
      </c>
      <c r="E3430" t="s">
        <v>2</v>
      </c>
      <c r="F3430">
        <v>3000000</v>
      </c>
      <c r="G3430">
        <v>2013</v>
      </c>
      <c r="H3430">
        <v>5.7</v>
      </c>
    </row>
    <row r="3431" spans="1:8" x14ac:dyDescent="0.25">
      <c r="A3431">
        <v>110</v>
      </c>
      <c r="B3431">
        <v>48056940</v>
      </c>
      <c r="C3431" t="s">
        <v>3400</v>
      </c>
      <c r="D3431" t="s">
        <v>1</v>
      </c>
      <c r="E3431" t="s">
        <v>2</v>
      </c>
      <c r="F3431">
        <v>3000000</v>
      </c>
      <c r="G3431">
        <v>2012</v>
      </c>
      <c r="H3431">
        <v>6.8</v>
      </c>
    </row>
    <row r="3432" spans="1:8" x14ac:dyDescent="0.25">
      <c r="A3432">
        <v>113</v>
      </c>
      <c r="B3432">
        <v>19184015</v>
      </c>
      <c r="C3432" t="s">
        <v>3401</v>
      </c>
      <c r="D3432" t="s">
        <v>1</v>
      </c>
      <c r="E3432" t="s">
        <v>2</v>
      </c>
      <c r="F3432">
        <v>3000000</v>
      </c>
      <c r="G3432">
        <v>2002</v>
      </c>
      <c r="H3432">
        <v>5.4</v>
      </c>
    </row>
    <row r="3433" spans="1:8" x14ac:dyDescent="0.25">
      <c r="A3433">
        <v>98</v>
      </c>
      <c r="B3433">
        <v>24629916</v>
      </c>
      <c r="C3433" t="s">
        <v>3402</v>
      </c>
      <c r="D3433" t="s">
        <v>1</v>
      </c>
      <c r="E3433" t="s">
        <v>2</v>
      </c>
      <c r="F3433">
        <v>3000000</v>
      </c>
      <c r="G3433">
        <v>1997</v>
      </c>
      <c r="H3433">
        <v>5.0999999999999996</v>
      </c>
    </row>
    <row r="3434" spans="1:8" x14ac:dyDescent="0.25">
      <c r="A3434">
        <v>86</v>
      </c>
      <c r="B3434">
        <v>19472057</v>
      </c>
      <c r="C3434" t="s">
        <v>3403</v>
      </c>
      <c r="D3434" t="s">
        <v>1</v>
      </c>
      <c r="E3434" t="s">
        <v>2</v>
      </c>
      <c r="F3434">
        <v>3000000</v>
      </c>
      <c r="G3434">
        <v>1986</v>
      </c>
      <c r="H3434">
        <v>5.9</v>
      </c>
    </row>
    <row r="3435" spans="1:8" x14ac:dyDescent="0.25">
      <c r="A3435">
        <v>161</v>
      </c>
      <c r="B3435">
        <v>27200000</v>
      </c>
      <c r="C3435" t="s">
        <v>3404</v>
      </c>
      <c r="D3435" t="s">
        <v>1</v>
      </c>
      <c r="E3435" t="s">
        <v>5</v>
      </c>
      <c r="F3435">
        <v>3000000</v>
      </c>
      <c r="G3435">
        <v>1957</v>
      </c>
      <c r="H3435">
        <v>8.1999999999999993</v>
      </c>
    </row>
    <row r="3436" spans="1:8" x14ac:dyDescent="0.25">
      <c r="A3436">
        <v>100</v>
      </c>
      <c r="B3436">
        <v>15369573</v>
      </c>
      <c r="C3436" t="s">
        <v>3405</v>
      </c>
      <c r="D3436" t="s">
        <v>1</v>
      </c>
      <c r="E3436" t="s">
        <v>2</v>
      </c>
      <c r="F3436">
        <v>3000000</v>
      </c>
      <c r="G3436">
        <v>1990</v>
      </c>
      <c r="H3436">
        <v>5.3</v>
      </c>
    </row>
    <row r="3437" spans="1:8" x14ac:dyDescent="0.25">
      <c r="A3437">
        <v>100</v>
      </c>
      <c r="B3437">
        <v>11694528</v>
      </c>
      <c r="C3437" t="s">
        <v>3407</v>
      </c>
      <c r="D3437" t="s">
        <v>1</v>
      </c>
      <c r="E3437" t="s">
        <v>2</v>
      </c>
      <c r="F3437">
        <v>3000000</v>
      </c>
      <c r="G3437">
        <v>2005</v>
      </c>
      <c r="H3437">
        <v>7.2</v>
      </c>
    </row>
    <row r="3438" spans="1:8" x14ac:dyDescent="0.25">
      <c r="A3438">
        <v>84</v>
      </c>
      <c r="B3438">
        <v>10017041</v>
      </c>
      <c r="C3438" t="s">
        <v>3408</v>
      </c>
      <c r="D3438" t="s">
        <v>1</v>
      </c>
      <c r="E3438" t="s">
        <v>2</v>
      </c>
      <c r="F3438">
        <v>3000000</v>
      </c>
      <c r="G3438">
        <v>2009</v>
      </c>
      <c r="H3438">
        <v>5.9</v>
      </c>
    </row>
    <row r="3439" spans="1:8" x14ac:dyDescent="0.25">
      <c r="A3439">
        <v>99</v>
      </c>
      <c r="B3439">
        <v>7059537</v>
      </c>
      <c r="C3439" t="s">
        <v>3409</v>
      </c>
      <c r="D3439" t="s">
        <v>1</v>
      </c>
      <c r="E3439" t="s">
        <v>2</v>
      </c>
      <c r="F3439">
        <v>3000000</v>
      </c>
      <c r="G3439">
        <v>2006</v>
      </c>
      <c r="H3439">
        <v>3</v>
      </c>
    </row>
    <row r="3440" spans="1:8" x14ac:dyDescent="0.25">
      <c r="A3440">
        <v>109</v>
      </c>
      <c r="B3440">
        <v>8114507</v>
      </c>
      <c r="C3440" t="s">
        <v>3410</v>
      </c>
      <c r="D3440" t="s">
        <v>1</v>
      </c>
      <c r="E3440" t="s">
        <v>2</v>
      </c>
      <c r="F3440">
        <v>3000000</v>
      </c>
      <c r="G3440">
        <v>2013</v>
      </c>
      <c r="H3440">
        <v>7.9</v>
      </c>
    </row>
    <row r="3441" spans="1:8" x14ac:dyDescent="0.25">
      <c r="A3441">
        <v>95</v>
      </c>
      <c r="B3441">
        <v>7888703</v>
      </c>
      <c r="C3441" t="s">
        <v>3411</v>
      </c>
      <c r="D3441" t="s">
        <v>1</v>
      </c>
      <c r="E3441" t="s">
        <v>2</v>
      </c>
      <c r="F3441">
        <v>3000000</v>
      </c>
      <c r="G3441">
        <v>1987</v>
      </c>
      <c r="H3441">
        <v>3.2</v>
      </c>
    </row>
    <row r="3442" spans="1:8" x14ac:dyDescent="0.25">
      <c r="A3442">
        <v>97</v>
      </c>
      <c r="B3442">
        <v>7282851</v>
      </c>
      <c r="C3442" t="s">
        <v>3412</v>
      </c>
      <c r="D3442" t="s">
        <v>1</v>
      </c>
      <c r="E3442" t="s">
        <v>2</v>
      </c>
      <c r="F3442">
        <v>3000000</v>
      </c>
      <c r="G3442">
        <v>1988</v>
      </c>
      <c r="H3442">
        <v>6.5</v>
      </c>
    </row>
    <row r="3443" spans="1:8" x14ac:dyDescent="0.25">
      <c r="A3443">
        <v>90</v>
      </c>
      <c r="B3443">
        <v>5844929</v>
      </c>
      <c r="C3443" t="s">
        <v>3413</v>
      </c>
      <c r="D3443" t="s">
        <v>1</v>
      </c>
      <c r="E3443" t="s">
        <v>2</v>
      </c>
      <c r="F3443">
        <v>3000000</v>
      </c>
      <c r="G3443">
        <v>2002</v>
      </c>
      <c r="H3443">
        <v>7</v>
      </c>
    </row>
    <row r="3444" spans="1:8" x14ac:dyDescent="0.25">
      <c r="A3444">
        <v>82</v>
      </c>
      <c r="B3444">
        <v>4142507</v>
      </c>
      <c r="C3444" t="s">
        <v>3415</v>
      </c>
      <c r="D3444" t="s">
        <v>1</v>
      </c>
      <c r="E3444" t="s">
        <v>2</v>
      </c>
      <c r="F3444">
        <v>3000000</v>
      </c>
      <c r="G3444">
        <v>2000</v>
      </c>
      <c r="H3444">
        <v>4.4000000000000004</v>
      </c>
    </row>
    <row r="3445" spans="1:8" x14ac:dyDescent="0.25">
      <c r="A3445">
        <v>109</v>
      </c>
      <c r="B3445">
        <v>4109095</v>
      </c>
      <c r="C3445" t="s">
        <v>3416</v>
      </c>
      <c r="D3445" t="s">
        <v>1</v>
      </c>
      <c r="E3445" t="s">
        <v>2</v>
      </c>
      <c r="F3445">
        <v>3000000</v>
      </c>
      <c r="G3445">
        <v>1996</v>
      </c>
      <c r="H3445">
        <v>6</v>
      </c>
    </row>
    <row r="3446" spans="1:8" x14ac:dyDescent="0.25">
      <c r="A3446">
        <v>98</v>
      </c>
      <c r="B3446">
        <v>3902679</v>
      </c>
      <c r="C3446" t="s">
        <v>3417</v>
      </c>
      <c r="D3446" t="s">
        <v>1</v>
      </c>
      <c r="E3446" t="s">
        <v>2</v>
      </c>
      <c r="F3446">
        <v>3000000</v>
      </c>
      <c r="G3446">
        <v>1993</v>
      </c>
      <c r="H3446">
        <v>5.3</v>
      </c>
    </row>
    <row r="3447" spans="1:8" x14ac:dyDescent="0.25">
      <c r="A3447">
        <v>95</v>
      </c>
      <c r="B3447">
        <v>3559990</v>
      </c>
      <c r="C3447" t="s">
        <v>3418</v>
      </c>
      <c r="D3447" t="s">
        <v>1</v>
      </c>
      <c r="E3447" t="s">
        <v>2</v>
      </c>
      <c r="F3447">
        <v>3000000</v>
      </c>
      <c r="G3447">
        <v>1997</v>
      </c>
      <c r="H3447">
        <v>5.3</v>
      </c>
    </row>
    <row r="3448" spans="1:8" x14ac:dyDescent="0.25">
      <c r="A3448">
        <v>94</v>
      </c>
      <c r="B3448">
        <v>2912363</v>
      </c>
      <c r="C3448" t="s">
        <v>3422</v>
      </c>
      <c r="D3448" t="s">
        <v>3423</v>
      </c>
      <c r="E3448" t="s">
        <v>5</v>
      </c>
      <c r="F3448">
        <v>3000000</v>
      </c>
      <c r="G3448">
        <v>2005</v>
      </c>
      <c r="H3448">
        <v>7.3</v>
      </c>
    </row>
    <row r="3449" spans="1:8" x14ac:dyDescent="0.25">
      <c r="A3449">
        <v>134</v>
      </c>
      <c r="B3449">
        <v>3000000</v>
      </c>
      <c r="C3449" t="s">
        <v>3424</v>
      </c>
      <c r="D3449" t="s">
        <v>1</v>
      </c>
      <c r="E3449" t="s">
        <v>2</v>
      </c>
      <c r="F3449">
        <v>3000000</v>
      </c>
      <c r="G3449">
        <v>1998</v>
      </c>
      <c r="H3449">
        <v>7.8</v>
      </c>
    </row>
    <row r="3450" spans="1:8" x14ac:dyDescent="0.25">
      <c r="A3450">
        <v>89</v>
      </c>
      <c r="B3450">
        <v>2223990</v>
      </c>
      <c r="C3450" t="s">
        <v>3425</v>
      </c>
      <c r="D3450" t="s">
        <v>1</v>
      </c>
      <c r="E3450" t="s">
        <v>2</v>
      </c>
      <c r="F3450">
        <v>3000000</v>
      </c>
      <c r="G3450">
        <v>2003</v>
      </c>
      <c r="H3450">
        <v>6.6</v>
      </c>
    </row>
    <row r="3451" spans="1:8" x14ac:dyDescent="0.25">
      <c r="A3451">
        <v>102</v>
      </c>
      <c r="B3451">
        <v>1821983</v>
      </c>
      <c r="C3451" t="s">
        <v>3426</v>
      </c>
      <c r="D3451" t="s">
        <v>1</v>
      </c>
      <c r="E3451" t="s">
        <v>2</v>
      </c>
      <c r="F3451">
        <v>3000000</v>
      </c>
      <c r="G3451">
        <v>2014</v>
      </c>
      <c r="H3451">
        <v>5.4</v>
      </c>
    </row>
    <row r="3452" spans="1:8" x14ac:dyDescent="0.25">
      <c r="A3452">
        <v>120</v>
      </c>
      <c r="B3452">
        <v>2181290</v>
      </c>
      <c r="C3452" t="s">
        <v>3427</v>
      </c>
      <c r="D3452" t="s">
        <v>2396</v>
      </c>
      <c r="E3452" t="s">
        <v>1028</v>
      </c>
      <c r="F3452">
        <v>3000000</v>
      </c>
      <c r="G3452">
        <v>2003</v>
      </c>
      <c r="H3452">
        <v>8.4</v>
      </c>
    </row>
    <row r="3453" spans="1:8" x14ac:dyDescent="0.25">
      <c r="A3453">
        <v>86</v>
      </c>
      <c r="B3453">
        <v>703002</v>
      </c>
      <c r="C3453" t="s">
        <v>3429</v>
      </c>
      <c r="D3453" t="s">
        <v>1</v>
      </c>
      <c r="E3453" t="s">
        <v>38</v>
      </c>
      <c r="F3453">
        <v>3000000</v>
      </c>
      <c r="G3453">
        <v>2011</v>
      </c>
      <c r="H3453">
        <v>6.1</v>
      </c>
    </row>
    <row r="3454" spans="1:8" x14ac:dyDescent="0.25">
      <c r="A3454">
        <v>87</v>
      </c>
      <c r="B3454">
        <v>418268</v>
      </c>
      <c r="C3454" t="s">
        <v>3430</v>
      </c>
      <c r="D3454" t="s">
        <v>1</v>
      </c>
      <c r="E3454" t="s">
        <v>2</v>
      </c>
      <c r="F3454">
        <v>3000000</v>
      </c>
      <c r="G3454">
        <v>2012</v>
      </c>
      <c r="H3454">
        <v>5.3</v>
      </c>
    </row>
    <row r="3455" spans="1:8" x14ac:dyDescent="0.25">
      <c r="A3455">
        <v>93</v>
      </c>
      <c r="B3455">
        <v>200803</v>
      </c>
      <c r="C3455" t="s">
        <v>3431</v>
      </c>
      <c r="D3455" t="s">
        <v>1</v>
      </c>
      <c r="E3455" t="s">
        <v>2</v>
      </c>
      <c r="F3455">
        <v>3000000</v>
      </c>
      <c r="G3455">
        <v>2012</v>
      </c>
      <c r="H3455">
        <v>5.3</v>
      </c>
    </row>
    <row r="3456" spans="1:8" x14ac:dyDescent="0.25">
      <c r="A3456">
        <v>97</v>
      </c>
      <c r="B3456">
        <v>39852</v>
      </c>
      <c r="C3456" t="s">
        <v>3434</v>
      </c>
      <c r="D3456" t="s">
        <v>1</v>
      </c>
      <c r="E3456" t="s">
        <v>2</v>
      </c>
      <c r="F3456">
        <v>3000000</v>
      </c>
      <c r="G3456">
        <v>1999</v>
      </c>
      <c r="H3456">
        <v>6.7</v>
      </c>
    </row>
    <row r="3457" spans="1:8" x14ac:dyDescent="0.25">
      <c r="A3457">
        <v>122</v>
      </c>
      <c r="B3457">
        <v>22000</v>
      </c>
      <c r="C3457" t="s">
        <v>3435</v>
      </c>
      <c r="D3457" t="s">
        <v>1</v>
      </c>
      <c r="E3457" t="s">
        <v>119</v>
      </c>
      <c r="F3457">
        <v>3000000</v>
      </c>
      <c r="G3457">
        <v>2011</v>
      </c>
      <c r="H3457">
        <v>5.8</v>
      </c>
    </row>
    <row r="3458" spans="1:8" x14ac:dyDescent="0.25">
      <c r="A3458">
        <v>95</v>
      </c>
      <c r="B3458">
        <v>1028658</v>
      </c>
      <c r="C3458" t="s">
        <v>3529</v>
      </c>
      <c r="D3458" t="s">
        <v>1</v>
      </c>
      <c r="E3458" t="s">
        <v>620</v>
      </c>
      <c r="F3458">
        <v>3000000</v>
      </c>
      <c r="G3458">
        <v>2010</v>
      </c>
      <c r="H3458">
        <v>7</v>
      </c>
    </row>
    <row r="3459" spans="1:8" x14ac:dyDescent="0.25">
      <c r="A3459">
        <v>94</v>
      </c>
      <c r="B3459">
        <v>16101109</v>
      </c>
      <c r="C3459" t="s">
        <v>3604</v>
      </c>
      <c r="D3459" t="s">
        <v>1</v>
      </c>
      <c r="E3459" t="s">
        <v>2</v>
      </c>
      <c r="F3459">
        <v>3000000</v>
      </c>
      <c r="G3459">
        <v>2005</v>
      </c>
      <c r="H3459">
        <v>6.8</v>
      </c>
    </row>
    <row r="3460" spans="1:8" x14ac:dyDescent="0.25">
      <c r="A3460">
        <v>113</v>
      </c>
      <c r="B3460">
        <v>5595428</v>
      </c>
      <c r="C3460" t="s">
        <v>3436</v>
      </c>
      <c r="D3460" t="s">
        <v>2737</v>
      </c>
      <c r="E3460" t="s">
        <v>3097</v>
      </c>
      <c r="F3460">
        <v>2900000</v>
      </c>
      <c r="G3460">
        <v>1998</v>
      </c>
      <c r="H3460">
        <v>8</v>
      </c>
    </row>
    <row r="3461" spans="1:8" x14ac:dyDescent="0.25">
      <c r="A3461">
        <v>120</v>
      </c>
      <c r="B3461">
        <v>25000000</v>
      </c>
      <c r="C3461" t="s">
        <v>3440</v>
      </c>
      <c r="D3461" t="s">
        <v>1</v>
      </c>
      <c r="E3461" t="s">
        <v>2</v>
      </c>
      <c r="F3461">
        <v>2883848</v>
      </c>
      <c r="G3461">
        <v>1959</v>
      </c>
      <c r="H3461">
        <v>8.3000000000000007</v>
      </c>
    </row>
    <row r="3462" spans="1:8" x14ac:dyDescent="0.25">
      <c r="A3462">
        <v>94</v>
      </c>
      <c r="B3462">
        <v>1247453</v>
      </c>
      <c r="C3462" t="s">
        <v>3277</v>
      </c>
      <c r="D3462" t="s">
        <v>1</v>
      </c>
      <c r="E3462" t="s">
        <v>5</v>
      </c>
      <c r="F3462">
        <v>2800000</v>
      </c>
      <c r="G3462">
        <v>2005</v>
      </c>
      <c r="H3462">
        <v>6.8</v>
      </c>
    </row>
    <row r="3463" spans="1:8" x14ac:dyDescent="0.25">
      <c r="A3463">
        <v>88</v>
      </c>
      <c r="B3463">
        <v>19170001</v>
      </c>
      <c r="C3463" t="s">
        <v>3441</v>
      </c>
      <c r="D3463" t="s">
        <v>1</v>
      </c>
      <c r="E3463" t="s">
        <v>2</v>
      </c>
      <c r="F3463">
        <v>2800000</v>
      </c>
      <c r="G3463">
        <v>1988</v>
      </c>
      <c r="H3463">
        <v>5.3</v>
      </c>
    </row>
    <row r="3464" spans="1:8" x14ac:dyDescent="0.25">
      <c r="A3464">
        <v>102</v>
      </c>
      <c r="B3464">
        <v>22202612</v>
      </c>
      <c r="C3464" t="s">
        <v>3442</v>
      </c>
      <c r="D3464" t="s">
        <v>1</v>
      </c>
      <c r="E3464" t="s">
        <v>2</v>
      </c>
      <c r="F3464">
        <v>2800000</v>
      </c>
      <c r="G3464">
        <v>1939</v>
      </c>
      <c r="H3464">
        <v>8.1</v>
      </c>
    </row>
    <row r="3465" spans="1:8" x14ac:dyDescent="0.25">
      <c r="A3465">
        <v>106</v>
      </c>
      <c r="B3465">
        <v>86300000</v>
      </c>
      <c r="C3465" t="s">
        <v>3443</v>
      </c>
      <c r="D3465" t="s">
        <v>1</v>
      </c>
      <c r="E3465" t="s">
        <v>2</v>
      </c>
      <c r="F3465">
        <v>2800000</v>
      </c>
      <c r="G3465">
        <v>1974</v>
      </c>
      <c r="H3465">
        <v>8</v>
      </c>
    </row>
    <row r="3466" spans="1:8" x14ac:dyDescent="0.25">
      <c r="A3466">
        <v>93</v>
      </c>
      <c r="B3466">
        <v>3500000</v>
      </c>
      <c r="C3466" t="s">
        <v>2278</v>
      </c>
      <c r="D3466" t="s">
        <v>1</v>
      </c>
      <c r="E3466" t="s">
        <v>2</v>
      </c>
      <c r="F3466">
        <v>2700000</v>
      </c>
      <c r="G3466">
        <v>1986</v>
      </c>
      <c r="H3466">
        <v>5.9</v>
      </c>
    </row>
    <row r="3467" spans="1:8" x14ac:dyDescent="0.25">
      <c r="A3467">
        <v>98</v>
      </c>
      <c r="B3467">
        <v>95016</v>
      </c>
      <c r="C3467" t="s">
        <v>3432</v>
      </c>
      <c r="D3467" t="s">
        <v>1644</v>
      </c>
      <c r="E3467" t="s">
        <v>119</v>
      </c>
      <c r="F3467">
        <v>2700000</v>
      </c>
      <c r="G3467">
        <v>2004</v>
      </c>
      <c r="H3467">
        <v>7.4</v>
      </c>
    </row>
    <row r="3468" spans="1:8" x14ac:dyDescent="0.25">
      <c r="A3468">
        <v>113</v>
      </c>
      <c r="B3468">
        <v>9054736</v>
      </c>
      <c r="C3468" t="s">
        <v>3445</v>
      </c>
      <c r="D3468" t="s">
        <v>1</v>
      </c>
      <c r="E3468" t="s">
        <v>2</v>
      </c>
      <c r="F3468">
        <v>2700000</v>
      </c>
      <c r="G3468">
        <v>1997</v>
      </c>
      <c r="H3468">
        <v>7.1</v>
      </c>
    </row>
    <row r="3469" spans="1:8" x14ac:dyDescent="0.25">
      <c r="A3469">
        <v>80</v>
      </c>
      <c r="B3469">
        <v>5792822</v>
      </c>
      <c r="C3469" t="s">
        <v>3493</v>
      </c>
      <c r="D3469" t="s">
        <v>1</v>
      </c>
      <c r="E3469" t="s">
        <v>2</v>
      </c>
      <c r="F3469">
        <v>2700000</v>
      </c>
      <c r="G3469">
        <v>2004</v>
      </c>
      <c r="H3469">
        <v>8</v>
      </c>
    </row>
    <row r="3470" spans="1:8" x14ac:dyDescent="0.25">
      <c r="A3470">
        <v>88</v>
      </c>
      <c r="B3470">
        <v>84300000</v>
      </c>
      <c r="C3470" t="s">
        <v>1096</v>
      </c>
      <c r="D3470" t="s">
        <v>1</v>
      </c>
      <c r="E3470" t="s">
        <v>2</v>
      </c>
      <c r="F3470">
        <v>2600000</v>
      </c>
      <c r="G3470">
        <v>1940</v>
      </c>
      <c r="H3470">
        <v>7.5</v>
      </c>
    </row>
    <row r="3471" spans="1:8" x14ac:dyDescent="0.25">
      <c r="A3471">
        <v>93</v>
      </c>
      <c r="B3471">
        <v>119500000</v>
      </c>
      <c r="C3471" t="s">
        <v>3446</v>
      </c>
      <c r="D3471" t="s">
        <v>1</v>
      </c>
      <c r="E3471" t="s">
        <v>2</v>
      </c>
      <c r="F3471">
        <v>2600000</v>
      </c>
      <c r="G3471">
        <v>1974</v>
      </c>
      <c r="H3471">
        <v>7.8</v>
      </c>
    </row>
    <row r="3472" spans="1:8" x14ac:dyDescent="0.25">
      <c r="A3472">
        <v>140</v>
      </c>
      <c r="B3472">
        <v>3130592</v>
      </c>
      <c r="C3472" t="s">
        <v>3448</v>
      </c>
      <c r="D3472" t="s">
        <v>1</v>
      </c>
      <c r="E3472" t="s">
        <v>5</v>
      </c>
      <c r="F3472">
        <v>2600000</v>
      </c>
      <c r="G3472">
        <v>1987</v>
      </c>
      <c r="H3472">
        <v>7.8</v>
      </c>
    </row>
    <row r="3473" spans="1:8" x14ac:dyDescent="0.25">
      <c r="A3473">
        <v>66</v>
      </c>
      <c r="B3473">
        <v>38108</v>
      </c>
      <c r="C3473" t="s">
        <v>3449</v>
      </c>
      <c r="D3473" t="s">
        <v>475</v>
      </c>
      <c r="E3473" t="s">
        <v>620</v>
      </c>
      <c r="F3473">
        <v>2600000</v>
      </c>
      <c r="G3473">
        <v>2007</v>
      </c>
      <c r="H3473">
        <v>7.2</v>
      </c>
    </row>
    <row r="3474" spans="1:8" x14ac:dyDescent="0.25">
      <c r="A3474">
        <v>91</v>
      </c>
      <c r="B3474">
        <v>2850263</v>
      </c>
      <c r="C3474" t="s">
        <v>3603</v>
      </c>
      <c r="D3474" t="s">
        <v>1</v>
      </c>
      <c r="E3474" t="s">
        <v>2</v>
      </c>
      <c r="F3474">
        <v>2600000</v>
      </c>
      <c r="G3474">
        <v>1993</v>
      </c>
      <c r="H3474">
        <v>6.2</v>
      </c>
    </row>
    <row r="3475" spans="1:8" x14ac:dyDescent="0.25">
      <c r="A3475">
        <v>99</v>
      </c>
      <c r="B3475">
        <v>92191</v>
      </c>
      <c r="C3475" t="s">
        <v>3295</v>
      </c>
      <c r="D3475" t="s">
        <v>1</v>
      </c>
      <c r="E3475" t="s">
        <v>5</v>
      </c>
      <c r="F3475">
        <v>2500000</v>
      </c>
      <c r="G3475">
        <v>2001</v>
      </c>
      <c r="H3475">
        <v>6.5</v>
      </c>
    </row>
    <row r="3476" spans="1:8" x14ac:dyDescent="0.25">
      <c r="A3476">
        <v>91</v>
      </c>
      <c r="B3476">
        <v>15935068</v>
      </c>
      <c r="C3476" t="s">
        <v>3406</v>
      </c>
      <c r="D3476" t="s">
        <v>1</v>
      </c>
      <c r="E3476" t="s">
        <v>2</v>
      </c>
      <c r="F3476">
        <v>2500000</v>
      </c>
      <c r="G3476">
        <v>1993</v>
      </c>
      <c r="H3476">
        <v>4.3</v>
      </c>
    </row>
    <row r="3477" spans="1:8" x14ac:dyDescent="0.25">
      <c r="A3477">
        <v>86</v>
      </c>
      <c r="B3477">
        <v>40041683</v>
      </c>
      <c r="C3477" t="s">
        <v>3450</v>
      </c>
      <c r="D3477" t="s">
        <v>1</v>
      </c>
      <c r="E3477" t="s">
        <v>2</v>
      </c>
      <c r="F3477">
        <v>2500000</v>
      </c>
      <c r="G3477">
        <v>2013</v>
      </c>
      <c r="H3477">
        <v>5.0999999999999996</v>
      </c>
    </row>
    <row r="3478" spans="1:8" x14ac:dyDescent="0.25">
      <c r="A3478">
        <v>87</v>
      </c>
      <c r="B3478">
        <v>33349949</v>
      </c>
      <c r="C3478" t="s">
        <v>3451</v>
      </c>
      <c r="D3478" t="s">
        <v>1</v>
      </c>
      <c r="E3478" t="s">
        <v>2</v>
      </c>
      <c r="F3478">
        <v>2500000</v>
      </c>
      <c r="G3478">
        <v>2012</v>
      </c>
      <c r="H3478">
        <v>5.0999999999999996</v>
      </c>
    </row>
    <row r="3479" spans="1:8" x14ac:dyDescent="0.25">
      <c r="A3479">
        <v>98</v>
      </c>
      <c r="B3479">
        <v>14400000</v>
      </c>
      <c r="C3479" t="s">
        <v>3453</v>
      </c>
      <c r="D3479" t="s">
        <v>1</v>
      </c>
      <c r="E3479" t="s">
        <v>2</v>
      </c>
      <c r="F3479">
        <v>2500000</v>
      </c>
      <c r="G3479">
        <v>1982</v>
      </c>
      <c r="H3479">
        <v>4.5999999999999996</v>
      </c>
    </row>
    <row r="3480" spans="1:8" x14ac:dyDescent="0.25">
      <c r="A3480">
        <v>75</v>
      </c>
      <c r="B3480">
        <v>32230907</v>
      </c>
      <c r="C3480" t="s">
        <v>3454</v>
      </c>
      <c r="D3480" t="s">
        <v>1</v>
      </c>
      <c r="E3480" t="s">
        <v>2</v>
      </c>
      <c r="F3480">
        <v>2500000</v>
      </c>
      <c r="G3480">
        <v>2013</v>
      </c>
      <c r="H3480">
        <v>6.7</v>
      </c>
    </row>
    <row r="3481" spans="1:8" x14ac:dyDescent="0.25">
      <c r="A3481">
        <v>104</v>
      </c>
      <c r="B3481">
        <v>6401336</v>
      </c>
      <c r="C3481" t="s">
        <v>3455</v>
      </c>
      <c r="D3481" t="s">
        <v>1</v>
      </c>
      <c r="E3481" t="s">
        <v>2</v>
      </c>
      <c r="F3481">
        <v>2500000</v>
      </c>
      <c r="G3481">
        <v>1991</v>
      </c>
      <c r="H3481">
        <v>7.1</v>
      </c>
    </row>
    <row r="3482" spans="1:8" x14ac:dyDescent="0.25">
      <c r="A3482">
        <v>102</v>
      </c>
      <c r="B3482">
        <v>26781723</v>
      </c>
      <c r="C3482" t="s">
        <v>3456</v>
      </c>
      <c r="D3482" t="s">
        <v>1</v>
      </c>
      <c r="E3482" t="s">
        <v>2</v>
      </c>
      <c r="F3482">
        <v>2500000</v>
      </c>
      <c r="G3482">
        <v>2004</v>
      </c>
      <c r="H3482">
        <v>7.6</v>
      </c>
    </row>
    <row r="3483" spans="1:8" x14ac:dyDescent="0.25">
      <c r="A3483">
        <v>105</v>
      </c>
      <c r="B3483">
        <v>5400000</v>
      </c>
      <c r="C3483" t="s">
        <v>3457</v>
      </c>
      <c r="D3483" t="s">
        <v>1</v>
      </c>
      <c r="E3483" t="s">
        <v>2</v>
      </c>
      <c r="F3483">
        <v>2500000</v>
      </c>
      <c r="G3483">
        <v>1995</v>
      </c>
      <c r="H3483">
        <v>8.1</v>
      </c>
    </row>
    <row r="3484" spans="1:8" x14ac:dyDescent="0.25">
      <c r="A3484">
        <v>107</v>
      </c>
      <c r="B3484">
        <v>1282084</v>
      </c>
      <c r="C3484" t="s">
        <v>3458</v>
      </c>
      <c r="D3484" t="s">
        <v>1</v>
      </c>
      <c r="E3484" t="s">
        <v>2</v>
      </c>
      <c r="F3484">
        <v>2500000</v>
      </c>
      <c r="G3484">
        <v>1999</v>
      </c>
      <c r="H3484">
        <v>7</v>
      </c>
    </row>
    <row r="3485" spans="1:8" x14ac:dyDescent="0.25">
      <c r="A3485">
        <v>89</v>
      </c>
      <c r="B3485">
        <v>3325638</v>
      </c>
      <c r="C3485" t="s">
        <v>3459</v>
      </c>
      <c r="D3485" t="s">
        <v>1</v>
      </c>
      <c r="E3485" t="s">
        <v>2</v>
      </c>
      <c r="F3485">
        <v>2500000</v>
      </c>
      <c r="G3485">
        <v>2012</v>
      </c>
      <c r="H3485">
        <v>7.1</v>
      </c>
    </row>
    <row r="3486" spans="1:8" x14ac:dyDescent="0.25">
      <c r="A3486">
        <v>95</v>
      </c>
      <c r="B3486">
        <v>6851969</v>
      </c>
      <c r="C3486" t="s">
        <v>3461</v>
      </c>
      <c r="D3486" t="s">
        <v>1</v>
      </c>
      <c r="E3486" t="s">
        <v>2</v>
      </c>
      <c r="F3486">
        <v>2500000</v>
      </c>
      <c r="G3486">
        <v>2013</v>
      </c>
      <c r="H3486">
        <v>7.1</v>
      </c>
    </row>
    <row r="3487" spans="1:8" x14ac:dyDescent="0.25">
      <c r="A3487">
        <v>101</v>
      </c>
      <c r="B3487">
        <v>12995673</v>
      </c>
      <c r="C3487" t="s">
        <v>3462</v>
      </c>
      <c r="D3487" t="s">
        <v>1</v>
      </c>
      <c r="E3487" t="s">
        <v>2</v>
      </c>
      <c r="F3487">
        <v>2500000</v>
      </c>
      <c r="G3487">
        <v>2008</v>
      </c>
      <c r="H3487">
        <v>7.7</v>
      </c>
    </row>
    <row r="3488" spans="1:8" x14ac:dyDescent="0.25">
      <c r="A3488">
        <v>112</v>
      </c>
      <c r="B3488">
        <v>173783</v>
      </c>
      <c r="C3488" t="s">
        <v>3463</v>
      </c>
      <c r="D3488" t="s">
        <v>1</v>
      </c>
      <c r="E3488" t="s">
        <v>2</v>
      </c>
      <c r="F3488">
        <v>2500000</v>
      </c>
      <c r="G3488">
        <v>2008</v>
      </c>
      <c r="H3488">
        <v>7.6</v>
      </c>
    </row>
    <row r="3489" spans="1:8" x14ac:dyDescent="0.25">
      <c r="A3489">
        <v>100</v>
      </c>
      <c r="B3489">
        <v>118666</v>
      </c>
      <c r="C3489" t="s">
        <v>3464</v>
      </c>
      <c r="D3489" t="s">
        <v>1</v>
      </c>
      <c r="E3489" t="s">
        <v>2</v>
      </c>
      <c r="F3489">
        <v>2500000</v>
      </c>
      <c r="G3489">
        <v>2006</v>
      </c>
      <c r="H3489">
        <v>6.6</v>
      </c>
    </row>
    <row r="3490" spans="1:8" x14ac:dyDescent="0.25">
      <c r="A3490">
        <v>100</v>
      </c>
      <c r="B3490">
        <v>71904</v>
      </c>
      <c r="C3490" t="s">
        <v>3465</v>
      </c>
      <c r="D3490" t="s">
        <v>1</v>
      </c>
      <c r="E3490" t="s">
        <v>2</v>
      </c>
      <c r="F3490">
        <v>2500000</v>
      </c>
      <c r="G3490">
        <v>2006</v>
      </c>
      <c r="H3490">
        <v>5.7</v>
      </c>
    </row>
    <row r="3491" spans="1:8" x14ac:dyDescent="0.25">
      <c r="A3491">
        <v>80</v>
      </c>
      <c r="B3491">
        <v>99851</v>
      </c>
      <c r="C3491" t="s">
        <v>3466</v>
      </c>
      <c r="D3491" t="s">
        <v>1</v>
      </c>
      <c r="E3491" t="s">
        <v>2</v>
      </c>
      <c r="F3491">
        <v>2500000</v>
      </c>
      <c r="G3491">
        <v>2010</v>
      </c>
      <c r="H3491">
        <v>7.1</v>
      </c>
    </row>
    <row r="3492" spans="1:8" x14ac:dyDescent="0.25">
      <c r="A3492">
        <v>90</v>
      </c>
      <c r="B3492">
        <v>75727</v>
      </c>
      <c r="C3492" t="s">
        <v>3469</v>
      </c>
      <c r="D3492" t="s">
        <v>475</v>
      </c>
      <c r="E3492" t="s">
        <v>2</v>
      </c>
      <c r="F3492">
        <v>2500000</v>
      </c>
      <c r="G3492">
        <v>2008</v>
      </c>
      <c r="H3492">
        <v>5.9</v>
      </c>
    </row>
    <row r="3493" spans="1:8" x14ac:dyDescent="0.25">
      <c r="A3493">
        <v>96</v>
      </c>
      <c r="B3493">
        <v>322157</v>
      </c>
      <c r="C3493" t="s">
        <v>3470</v>
      </c>
      <c r="D3493" t="s">
        <v>1</v>
      </c>
      <c r="E3493" t="s">
        <v>2</v>
      </c>
      <c r="F3493">
        <v>2500000</v>
      </c>
      <c r="G3493">
        <v>2010</v>
      </c>
      <c r="H3493">
        <v>6.8</v>
      </c>
    </row>
    <row r="3494" spans="1:8" x14ac:dyDescent="0.25">
      <c r="A3494">
        <v>101</v>
      </c>
      <c r="B3494">
        <v>1163508</v>
      </c>
      <c r="C3494" t="s">
        <v>3573</v>
      </c>
      <c r="D3494" t="s">
        <v>1</v>
      </c>
      <c r="E3494" t="s">
        <v>2</v>
      </c>
      <c r="F3494">
        <v>2500000</v>
      </c>
      <c r="G3494">
        <v>2012</v>
      </c>
      <c r="H3494">
        <v>5.0999999999999996</v>
      </c>
    </row>
    <row r="3495" spans="1:8" x14ac:dyDescent="0.25">
      <c r="A3495">
        <v>108</v>
      </c>
      <c r="B3495">
        <v>548712</v>
      </c>
      <c r="C3495" t="s">
        <v>3639</v>
      </c>
      <c r="D3495" t="s">
        <v>1</v>
      </c>
      <c r="E3495" t="s">
        <v>2</v>
      </c>
      <c r="F3495">
        <v>2500000</v>
      </c>
      <c r="G3495">
        <v>2003</v>
      </c>
      <c r="H3495">
        <v>6.9</v>
      </c>
    </row>
    <row r="3496" spans="1:8" x14ac:dyDescent="0.25">
      <c r="A3496">
        <v>105</v>
      </c>
      <c r="B3496">
        <v>178739</v>
      </c>
      <c r="C3496" t="s">
        <v>3474</v>
      </c>
      <c r="D3496" t="s">
        <v>1</v>
      </c>
      <c r="E3496" t="s">
        <v>2</v>
      </c>
      <c r="F3496">
        <v>2450000</v>
      </c>
      <c r="G3496">
        <v>2011</v>
      </c>
      <c r="H3496">
        <v>3.9</v>
      </c>
    </row>
    <row r="3497" spans="1:8" x14ac:dyDescent="0.25">
      <c r="A3497">
        <v>120</v>
      </c>
      <c r="B3497">
        <v>5731103</v>
      </c>
      <c r="C3497" t="s">
        <v>3471</v>
      </c>
      <c r="D3497" t="s">
        <v>1</v>
      </c>
      <c r="E3497" t="s">
        <v>2</v>
      </c>
      <c r="F3497">
        <v>2400000</v>
      </c>
      <c r="G3497">
        <v>1996</v>
      </c>
      <c r="H3497">
        <v>6.8</v>
      </c>
    </row>
    <row r="3498" spans="1:8" x14ac:dyDescent="0.25">
      <c r="A3498">
        <v>101</v>
      </c>
      <c r="B3498">
        <v>978908</v>
      </c>
      <c r="C3498" t="s">
        <v>3472</v>
      </c>
      <c r="D3498" t="s">
        <v>1</v>
      </c>
      <c r="E3498" t="s">
        <v>2566</v>
      </c>
      <c r="F3498">
        <v>2400000</v>
      </c>
      <c r="G3498">
        <v>2006</v>
      </c>
      <c r="H3498">
        <v>5.0999999999999996</v>
      </c>
    </row>
    <row r="3499" spans="1:8" x14ac:dyDescent="0.25">
      <c r="A3499">
        <v>112</v>
      </c>
      <c r="B3499">
        <v>62549000</v>
      </c>
      <c r="C3499" t="s">
        <v>3303</v>
      </c>
      <c r="D3499" t="s">
        <v>1</v>
      </c>
      <c r="E3499" t="s">
        <v>5</v>
      </c>
      <c r="F3499">
        <v>2300000</v>
      </c>
      <c r="G3499">
        <v>1992</v>
      </c>
      <c r="H3499">
        <v>7.3</v>
      </c>
    </row>
    <row r="3500" spans="1:8" x14ac:dyDescent="0.25">
      <c r="A3500">
        <v>96</v>
      </c>
      <c r="B3500">
        <v>792966</v>
      </c>
      <c r="C3500" t="s">
        <v>3483</v>
      </c>
      <c r="D3500" t="s">
        <v>1</v>
      </c>
      <c r="E3500" t="s">
        <v>2</v>
      </c>
      <c r="F3500">
        <v>2300000</v>
      </c>
      <c r="G3500">
        <v>1989</v>
      </c>
      <c r="H3500">
        <v>5.0999999999999996</v>
      </c>
    </row>
    <row r="3501" spans="1:8" x14ac:dyDescent="0.25">
      <c r="A3501">
        <v>92</v>
      </c>
      <c r="B3501">
        <v>7927</v>
      </c>
      <c r="C3501" t="s">
        <v>3520</v>
      </c>
      <c r="D3501" t="s">
        <v>1</v>
      </c>
      <c r="E3501" t="s">
        <v>2</v>
      </c>
      <c r="F3501">
        <v>2300000</v>
      </c>
      <c r="G3501">
        <v>1947</v>
      </c>
      <c r="H3501">
        <v>7.7</v>
      </c>
    </row>
    <row r="3502" spans="1:8" x14ac:dyDescent="0.25">
      <c r="A3502">
        <v>120</v>
      </c>
      <c r="B3502">
        <v>76400000</v>
      </c>
      <c r="C3502" t="s">
        <v>3475</v>
      </c>
      <c r="D3502" t="s">
        <v>1</v>
      </c>
      <c r="E3502" t="s">
        <v>2</v>
      </c>
      <c r="F3502">
        <v>2280000</v>
      </c>
      <c r="G3502">
        <v>1940</v>
      </c>
      <c r="H3502">
        <v>7.8</v>
      </c>
    </row>
    <row r="3503" spans="1:8" x14ac:dyDescent="0.25">
      <c r="A3503">
        <v>99</v>
      </c>
      <c r="B3503">
        <v>104257</v>
      </c>
      <c r="C3503" t="s">
        <v>3384</v>
      </c>
      <c r="D3503" t="s">
        <v>1</v>
      </c>
      <c r="E3503" t="s">
        <v>5</v>
      </c>
      <c r="F3503">
        <v>2200000</v>
      </c>
      <c r="G3503">
        <v>1999</v>
      </c>
      <c r="H3503">
        <v>7.1</v>
      </c>
    </row>
    <row r="3504" spans="1:8" x14ac:dyDescent="0.25">
      <c r="A3504">
        <v>87</v>
      </c>
      <c r="B3504">
        <v>30000000</v>
      </c>
      <c r="C3504" t="s">
        <v>3397</v>
      </c>
      <c r="D3504" t="s">
        <v>1</v>
      </c>
      <c r="E3504" t="s">
        <v>2</v>
      </c>
      <c r="F3504">
        <v>2200000</v>
      </c>
      <c r="G3504">
        <v>1985</v>
      </c>
      <c r="H3504">
        <v>5.4</v>
      </c>
    </row>
    <row r="3505" spans="1:8" x14ac:dyDescent="0.25">
      <c r="A3505">
        <v>89</v>
      </c>
      <c r="B3505">
        <v>3645438</v>
      </c>
      <c r="C3505" t="s">
        <v>3438</v>
      </c>
      <c r="D3505" t="s">
        <v>243</v>
      </c>
      <c r="E3505" t="s">
        <v>244</v>
      </c>
      <c r="F3505">
        <v>2200000</v>
      </c>
      <c r="G3505">
        <v>2003</v>
      </c>
      <c r="H3505">
        <v>6.8</v>
      </c>
    </row>
    <row r="3506" spans="1:8" x14ac:dyDescent="0.25">
      <c r="A3506">
        <v>92</v>
      </c>
      <c r="B3506">
        <v>21300000</v>
      </c>
      <c r="C3506" t="s">
        <v>3477</v>
      </c>
      <c r="D3506" t="s">
        <v>1</v>
      </c>
      <c r="E3506" t="s">
        <v>2</v>
      </c>
      <c r="F3506">
        <v>2200000</v>
      </c>
      <c r="G3506">
        <v>1985</v>
      </c>
      <c r="H3506">
        <v>4.7</v>
      </c>
    </row>
    <row r="3507" spans="1:8" x14ac:dyDescent="0.25">
      <c r="A3507">
        <v>117</v>
      </c>
      <c r="B3507">
        <v>379643</v>
      </c>
      <c r="C3507" t="s">
        <v>3478</v>
      </c>
      <c r="D3507" t="s">
        <v>1</v>
      </c>
      <c r="E3507" t="s">
        <v>2</v>
      </c>
      <c r="F3507">
        <v>2200000</v>
      </c>
      <c r="G3507">
        <v>2007</v>
      </c>
      <c r="H3507">
        <v>5.9</v>
      </c>
    </row>
    <row r="3508" spans="1:8" x14ac:dyDescent="0.25">
      <c r="A3508">
        <v>172</v>
      </c>
      <c r="B3508">
        <v>23650000</v>
      </c>
      <c r="C3508" t="s">
        <v>3479</v>
      </c>
      <c r="D3508" t="s">
        <v>1</v>
      </c>
      <c r="E3508" t="s">
        <v>2</v>
      </c>
      <c r="F3508">
        <v>2100000</v>
      </c>
      <c r="G3508">
        <v>1946</v>
      </c>
      <c r="H3508">
        <v>8.1</v>
      </c>
    </row>
    <row r="3509" spans="1:8" x14ac:dyDescent="0.25">
      <c r="A3509">
        <v>125</v>
      </c>
      <c r="B3509">
        <v>3330</v>
      </c>
      <c r="C3509" t="s">
        <v>3481</v>
      </c>
      <c r="D3509" t="s">
        <v>1</v>
      </c>
      <c r="E3509" t="s">
        <v>2</v>
      </c>
      <c r="F3509">
        <v>2100000</v>
      </c>
      <c r="G3509">
        <v>2015</v>
      </c>
      <c r="H3509">
        <v>7.2</v>
      </c>
    </row>
    <row r="3510" spans="1:8" x14ac:dyDescent="0.25">
      <c r="A3510">
        <v>100</v>
      </c>
      <c r="B3510">
        <v>13746550</v>
      </c>
      <c r="C3510" t="s">
        <v>1987</v>
      </c>
      <c r="D3510" t="s">
        <v>1</v>
      </c>
      <c r="E3510" t="s">
        <v>2</v>
      </c>
      <c r="F3510">
        <v>2000000</v>
      </c>
      <c r="G3510">
        <v>2012</v>
      </c>
      <c r="H3510">
        <v>6.1</v>
      </c>
    </row>
    <row r="3511" spans="1:8" x14ac:dyDescent="0.25">
      <c r="A3511">
        <v>104</v>
      </c>
      <c r="B3511">
        <v>1900725</v>
      </c>
      <c r="C3511" t="s">
        <v>2168</v>
      </c>
      <c r="D3511" t="s">
        <v>1</v>
      </c>
      <c r="E3511" t="s">
        <v>55</v>
      </c>
      <c r="F3511">
        <v>2000000</v>
      </c>
      <c r="G3511">
        <v>2005</v>
      </c>
      <c r="H3511">
        <v>7.4</v>
      </c>
    </row>
    <row r="3512" spans="1:8" x14ac:dyDescent="0.25">
      <c r="A3512">
        <v>106</v>
      </c>
      <c r="B3512">
        <v>13622333</v>
      </c>
      <c r="C3512" t="s">
        <v>3231</v>
      </c>
      <c r="D3512" t="s">
        <v>475</v>
      </c>
      <c r="E3512" t="s">
        <v>496</v>
      </c>
      <c r="F3512">
        <v>2000000</v>
      </c>
      <c r="G3512">
        <v>2001</v>
      </c>
      <c r="H3512">
        <v>7.7</v>
      </c>
    </row>
    <row r="3513" spans="1:8" x14ac:dyDescent="0.25">
      <c r="A3513">
        <v>90</v>
      </c>
      <c r="B3513">
        <v>99147</v>
      </c>
      <c r="C3513" t="s">
        <v>3268</v>
      </c>
      <c r="D3513" t="s">
        <v>1</v>
      </c>
      <c r="E3513" t="s">
        <v>2</v>
      </c>
      <c r="F3513">
        <v>2000000</v>
      </c>
      <c r="G3513">
        <v>1998</v>
      </c>
      <c r="H3513">
        <v>6.2</v>
      </c>
    </row>
    <row r="3514" spans="1:8" x14ac:dyDescent="0.25">
      <c r="A3514">
        <v>106</v>
      </c>
      <c r="B3514">
        <v>410241</v>
      </c>
      <c r="C3514" t="s">
        <v>3293</v>
      </c>
      <c r="D3514" t="s">
        <v>1</v>
      </c>
      <c r="E3514" t="s">
        <v>2</v>
      </c>
      <c r="F3514">
        <v>2000000</v>
      </c>
      <c r="G3514">
        <v>2002</v>
      </c>
      <c r="H3514">
        <v>6.8</v>
      </c>
    </row>
    <row r="3515" spans="1:8" x14ac:dyDescent="0.25">
      <c r="A3515">
        <v>109</v>
      </c>
      <c r="B3515">
        <v>2706659</v>
      </c>
      <c r="C3515" t="s">
        <v>3359</v>
      </c>
      <c r="D3515" t="s">
        <v>1</v>
      </c>
      <c r="E3515" t="s">
        <v>5</v>
      </c>
      <c r="F3515">
        <v>2000000</v>
      </c>
      <c r="G3515">
        <v>2006</v>
      </c>
      <c r="H3515">
        <v>6.9</v>
      </c>
    </row>
    <row r="3516" spans="1:8" x14ac:dyDescent="0.25">
      <c r="A3516">
        <v>129</v>
      </c>
      <c r="B3516">
        <v>20167424</v>
      </c>
      <c r="C3516" t="s">
        <v>3369</v>
      </c>
      <c r="D3516" t="s">
        <v>475</v>
      </c>
      <c r="E3516" t="s">
        <v>3370</v>
      </c>
      <c r="F3516">
        <v>2000000</v>
      </c>
      <c r="G3516">
        <v>2009</v>
      </c>
      <c r="H3516">
        <v>8.1999999999999993</v>
      </c>
    </row>
    <row r="3517" spans="1:8" x14ac:dyDescent="0.25">
      <c r="A3517">
        <v>95</v>
      </c>
      <c r="B3517">
        <v>952620</v>
      </c>
      <c r="C3517" t="s">
        <v>3444</v>
      </c>
      <c r="D3517" t="s">
        <v>1</v>
      </c>
      <c r="E3517" t="s">
        <v>2</v>
      </c>
      <c r="F3517">
        <v>2000000</v>
      </c>
      <c r="G3517">
        <v>2007</v>
      </c>
      <c r="H3517">
        <v>5.7</v>
      </c>
    </row>
    <row r="3518" spans="1:8" x14ac:dyDescent="0.25">
      <c r="A3518">
        <v>106</v>
      </c>
      <c r="B3518">
        <v>395592</v>
      </c>
      <c r="C3518" t="s">
        <v>3460</v>
      </c>
      <c r="D3518" t="s">
        <v>1</v>
      </c>
      <c r="E3518" t="s">
        <v>620</v>
      </c>
      <c r="F3518">
        <v>2000000</v>
      </c>
      <c r="G3518">
        <v>2003</v>
      </c>
      <c r="H3518">
        <v>7.6</v>
      </c>
    </row>
    <row r="3519" spans="1:8" x14ac:dyDescent="0.25">
      <c r="A3519">
        <v>115</v>
      </c>
      <c r="B3519">
        <v>24800000</v>
      </c>
      <c r="C3519" t="s">
        <v>3482</v>
      </c>
      <c r="D3519" t="s">
        <v>1</v>
      </c>
      <c r="E3519" t="s">
        <v>5</v>
      </c>
      <c r="F3519">
        <v>2000000</v>
      </c>
      <c r="G3519">
        <v>1963</v>
      </c>
      <c r="H3519">
        <v>7.5</v>
      </c>
    </row>
    <row r="3520" spans="1:8" x14ac:dyDescent="0.25">
      <c r="A3520">
        <v>100</v>
      </c>
      <c r="B3520">
        <v>14673301</v>
      </c>
      <c r="C3520" t="s">
        <v>3484</v>
      </c>
      <c r="D3520" t="s">
        <v>1</v>
      </c>
      <c r="E3520" t="s">
        <v>2</v>
      </c>
      <c r="F3520">
        <v>2000000</v>
      </c>
      <c r="G3520">
        <v>2014</v>
      </c>
      <c r="H3520">
        <v>6.9</v>
      </c>
    </row>
    <row r="3521" spans="1:8" x14ac:dyDescent="0.25">
      <c r="A3521">
        <v>87</v>
      </c>
      <c r="B3521">
        <v>9003011</v>
      </c>
      <c r="C3521" t="s">
        <v>3485</v>
      </c>
      <c r="D3521" t="s">
        <v>1</v>
      </c>
      <c r="E3521" t="s">
        <v>55</v>
      </c>
      <c r="F3521">
        <v>2000000</v>
      </c>
      <c r="G3521">
        <v>1981</v>
      </c>
      <c r="H3521">
        <v>7.6</v>
      </c>
    </row>
    <row r="3522" spans="1:8" x14ac:dyDescent="0.25">
      <c r="A3522">
        <v>102</v>
      </c>
      <c r="B3522">
        <v>11546543</v>
      </c>
      <c r="C3522" t="s">
        <v>3486</v>
      </c>
      <c r="D3522" t="s">
        <v>1341</v>
      </c>
      <c r="E3522" t="s">
        <v>675</v>
      </c>
      <c r="F3522">
        <v>2000000</v>
      </c>
      <c r="G3522">
        <v>1994</v>
      </c>
      <c r="H3522">
        <v>7.6</v>
      </c>
    </row>
    <row r="3523" spans="1:8" x14ac:dyDescent="0.25">
      <c r="A3523">
        <v>118</v>
      </c>
      <c r="B3523">
        <v>11533945</v>
      </c>
      <c r="C3523" t="s">
        <v>3487</v>
      </c>
      <c r="D3523" t="s">
        <v>1</v>
      </c>
      <c r="E3523" t="s">
        <v>2</v>
      </c>
      <c r="F3523">
        <v>2000000</v>
      </c>
      <c r="G3523">
        <v>1999</v>
      </c>
      <c r="H3523">
        <v>7.6</v>
      </c>
    </row>
    <row r="3524" spans="1:8" x14ac:dyDescent="0.25">
      <c r="A3524">
        <v>86</v>
      </c>
      <c r="B3524">
        <v>12555230</v>
      </c>
      <c r="C3524" t="s">
        <v>3488</v>
      </c>
      <c r="D3524" t="s">
        <v>1</v>
      </c>
      <c r="E3524" t="s">
        <v>244</v>
      </c>
      <c r="F3524">
        <v>2000000</v>
      </c>
      <c r="G3524">
        <v>2011</v>
      </c>
      <c r="H3524">
        <v>5.3</v>
      </c>
    </row>
    <row r="3525" spans="1:8" x14ac:dyDescent="0.25">
      <c r="A3525">
        <v>137</v>
      </c>
      <c r="B3525">
        <v>11284657</v>
      </c>
      <c r="C3525" t="s">
        <v>3489</v>
      </c>
      <c r="D3525" t="s">
        <v>1644</v>
      </c>
      <c r="E3525" t="s">
        <v>119</v>
      </c>
      <c r="F3525">
        <v>2000000</v>
      </c>
      <c r="G3525">
        <v>2006</v>
      </c>
      <c r="H3525">
        <v>8.5</v>
      </c>
    </row>
    <row r="3526" spans="1:8" x14ac:dyDescent="0.25">
      <c r="A3526">
        <v>129</v>
      </c>
      <c r="B3526">
        <v>34522221</v>
      </c>
      <c r="C3526" t="s">
        <v>3490</v>
      </c>
      <c r="D3526" t="s">
        <v>1</v>
      </c>
      <c r="E3526" t="s">
        <v>2</v>
      </c>
      <c r="F3526">
        <v>2000000</v>
      </c>
      <c r="G3526">
        <v>2011</v>
      </c>
      <c r="H3526">
        <v>7</v>
      </c>
    </row>
    <row r="3527" spans="1:8" x14ac:dyDescent="0.25">
      <c r="A3527">
        <v>89</v>
      </c>
      <c r="B3527">
        <v>6719300</v>
      </c>
      <c r="C3527" t="s">
        <v>3492</v>
      </c>
      <c r="D3527" t="s">
        <v>1</v>
      </c>
      <c r="E3527" t="s">
        <v>38</v>
      </c>
      <c r="F3527">
        <v>2000000</v>
      </c>
      <c r="G3527">
        <v>1998</v>
      </c>
      <c r="H3527">
        <v>7.2</v>
      </c>
    </row>
    <row r="3528" spans="1:8" x14ac:dyDescent="0.25">
      <c r="A3528">
        <v>115</v>
      </c>
      <c r="B3528">
        <v>5383834</v>
      </c>
      <c r="C3528" t="s">
        <v>3494</v>
      </c>
      <c r="D3528" t="s">
        <v>475</v>
      </c>
      <c r="E3528" t="s">
        <v>496</v>
      </c>
      <c r="F3528">
        <v>2000000</v>
      </c>
      <c r="G3528">
        <v>2000</v>
      </c>
      <c r="H3528">
        <v>8.1</v>
      </c>
    </row>
    <row r="3529" spans="1:8" x14ac:dyDescent="0.25">
      <c r="A3529">
        <v>100</v>
      </c>
      <c r="B3529">
        <v>6531491</v>
      </c>
      <c r="C3529" t="s">
        <v>3496</v>
      </c>
      <c r="D3529" t="s">
        <v>1</v>
      </c>
      <c r="E3529" t="s">
        <v>2</v>
      </c>
      <c r="F3529">
        <v>2000000</v>
      </c>
      <c r="G3529">
        <v>2010</v>
      </c>
      <c r="H3529">
        <v>7.2</v>
      </c>
    </row>
    <row r="3530" spans="1:8" x14ac:dyDescent="0.25">
      <c r="A3530">
        <v>91</v>
      </c>
      <c r="B3530">
        <v>3885134</v>
      </c>
      <c r="C3530" t="s">
        <v>3497</v>
      </c>
      <c r="D3530" t="s">
        <v>1</v>
      </c>
      <c r="E3530" t="s">
        <v>2</v>
      </c>
      <c r="F3530">
        <v>2000000</v>
      </c>
      <c r="G3530">
        <v>2005</v>
      </c>
      <c r="H3530">
        <v>7.4</v>
      </c>
    </row>
    <row r="3531" spans="1:8" x14ac:dyDescent="0.25">
      <c r="A3531">
        <v>96</v>
      </c>
      <c r="B3531">
        <v>3590010</v>
      </c>
      <c r="C3531" t="s">
        <v>3498</v>
      </c>
      <c r="D3531" t="s">
        <v>1</v>
      </c>
      <c r="E3531" t="s">
        <v>5</v>
      </c>
      <c r="F3531">
        <v>2000000</v>
      </c>
      <c r="G3531">
        <v>2015</v>
      </c>
      <c r="H3531">
        <v>6.1</v>
      </c>
    </row>
    <row r="3532" spans="1:8" x14ac:dyDescent="0.25">
      <c r="A3532">
        <v>116</v>
      </c>
      <c r="B3532">
        <v>3335839</v>
      </c>
      <c r="C3532" t="s">
        <v>3499</v>
      </c>
      <c r="D3532" t="s">
        <v>1</v>
      </c>
      <c r="E3532" t="s">
        <v>2</v>
      </c>
      <c r="F3532">
        <v>2000000</v>
      </c>
      <c r="G3532">
        <v>2005</v>
      </c>
      <c r="H3532">
        <v>7</v>
      </c>
    </row>
    <row r="3533" spans="1:8" x14ac:dyDescent="0.25">
      <c r="A3533">
        <v>97</v>
      </c>
      <c r="B3533">
        <v>2557668</v>
      </c>
      <c r="C3533" t="s">
        <v>3500</v>
      </c>
      <c r="D3533" t="s">
        <v>1</v>
      </c>
      <c r="E3533" t="s">
        <v>2</v>
      </c>
      <c r="F3533">
        <v>2000000</v>
      </c>
      <c r="G3533">
        <v>2015</v>
      </c>
      <c r="H3533">
        <v>5.3</v>
      </c>
    </row>
    <row r="3534" spans="1:8" x14ac:dyDescent="0.25">
      <c r="A3534">
        <v>101</v>
      </c>
      <c r="B3534">
        <v>2506446</v>
      </c>
      <c r="C3534" t="s">
        <v>3501</v>
      </c>
      <c r="D3534" t="s">
        <v>1</v>
      </c>
      <c r="E3534" t="s">
        <v>2</v>
      </c>
      <c r="F3534">
        <v>2000000</v>
      </c>
      <c r="G3534">
        <v>2002</v>
      </c>
      <c r="H3534">
        <v>4.7</v>
      </c>
    </row>
    <row r="3535" spans="1:8" x14ac:dyDescent="0.25">
      <c r="A3535">
        <v>98</v>
      </c>
      <c r="B3535">
        <v>7369373</v>
      </c>
      <c r="C3535" t="s">
        <v>3502</v>
      </c>
      <c r="D3535" t="s">
        <v>1</v>
      </c>
      <c r="E3535" t="s">
        <v>5</v>
      </c>
      <c r="F3535">
        <v>2000000</v>
      </c>
      <c r="G3535">
        <v>1986</v>
      </c>
      <c r="H3535">
        <v>5.7</v>
      </c>
    </row>
    <row r="3536" spans="1:8" x14ac:dyDescent="0.25">
      <c r="A3536">
        <v>101</v>
      </c>
      <c r="B3536">
        <v>1984378</v>
      </c>
      <c r="C3536" t="s">
        <v>3503</v>
      </c>
      <c r="D3536" t="s">
        <v>1</v>
      </c>
      <c r="E3536" t="s">
        <v>2</v>
      </c>
      <c r="F3536">
        <v>2000000</v>
      </c>
      <c r="G3536">
        <v>2006</v>
      </c>
      <c r="H3536">
        <v>6.5</v>
      </c>
    </row>
    <row r="3537" spans="1:8" x14ac:dyDescent="0.25">
      <c r="A3537">
        <v>120</v>
      </c>
      <c r="B3537">
        <v>1098224</v>
      </c>
      <c r="C3537" t="s">
        <v>3506</v>
      </c>
      <c r="D3537" t="s">
        <v>1</v>
      </c>
      <c r="E3537" t="s">
        <v>2</v>
      </c>
      <c r="F3537">
        <v>2000000</v>
      </c>
      <c r="G3537">
        <v>2003</v>
      </c>
      <c r="H3537">
        <v>3.3</v>
      </c>
    </row>
    <row r="3538" spans="1:8" x14ac:dyDescent="0.25">
      <c r="A3538">
        <v>102</v>
      </c>
      <c r="B3538">
        <v>1430185</v>
      </c>
      <c r="C3538" t="s">
        <v>3507</v>
      </c>
      <c r="D3538" t="s">
        <v>1</v>
      </c>
      <c r="E3538" t="s">
        <v>2</v>
      </c>
      <c r="F3538">
        <v>2000000</v>
      </c>
      <c r="G3538">
        <v>2007</v>
      </c>
      <c r="H3538">
        <v>8.3000000000000007</v>
      </c>
    </row>
    <row r="3539" spans="1:8" x14ac:dyDescent="0.25">
      <c r="A3539">
        <v>102</v>
      </c>
      <c r="B3539">
        <v>1477002</v>
      </c>
      <c r="C3539" t="s">
        <v>3508</v>
      </c>
      <c r="D3539" t="s">
        <v>1</v>
      </c>
      <c r="E3539" t="s">
        <v>2</v>
      </c>
      <c r="F3539">
        <v>2000000</v>
      </c>
      <c r="G3539">
        <v>2015</v>
      </c>
      <c r="H3539">
        <v>6.9</v>
      </c>
    </row>
    <row r="3540" spans="1:8" x14ac:dyDescent="0.25">
      <c r="A3540">
        <v>100</v>
      </c>
      <c r="B3540">
        <v>1134049</v>
      </c>
      <c r="C3540" t="s">
        <v>3509</v>
      </c>
      <c r="D3540" t="s">
        <v>1</v>
      </c>
      <c r="E3540" t="s">
        <v>5</v>
      </c>
      <c r="F3540">
        <v>2000000</v>
      </c>
      <c r="G3540">
        <v>2007</v>
      </c>
      <c r="H3540">
        <v>8.1</v>
      </c>
    </row>
    <row r="3541" spans="1:8" x14ac:dyDescent="0.25">
      <c r="A3541">
        <v>89</v>
      </c>
      <c r="B3541">
        <v>653621</v>
      </c>
      <c r="C3541" t="s">
        <v>3510</v>
      </c>
      <c r="D3541" t="s">
        <v>1</v>
      </c>
      <c r="E3541" t="s">
        <v>2</v>
      </c>
      <c r="F3541">
        <v>2000000</v>
      </c>
      <c r="G3541">
        <v>2005</v>
      </c>
      <c r="H3541">
        <v>6.8</v>
      </c>
    </row>
    <row r="3542" spans="1:8" x14ac:dyDescent="0.25">
      <c r="A3542">
        <v>91</v>
      </c>
      <c r="B3542">
        <v>124494</v>
      </c>
      <c r="C3542" t="s">
        <v>3513</v>
      </c>
      <c r="D3542" t="s">
        <v>1</v>
      </c>
      <c r="E3542" t="s">
        <v>2</v>
      </c>
      <c r="F3542">
        <v>2000000</v>
      </c>
      <c r="G3542">
        <v>1998</v>
      </c>
      <c r="H3542">
        <v>6.7</v>
      </c>
    </row>
    <row r="3543" spans="1:8" x14ac:dyDescent="0.25">
      <c r="A3543">
        <v>96</v>
      </c>
      <c r="B3543">
        <v>198407</v>
      </c>
      <c r="C3543" t="s">
        <v>3518</v>
      </c>
      <c r="D3543" t="s">
        <v>1</v>
      </c>
      <c r="E3543" t="s">
        <v>2</v>
      </c>
      <c r="F3543">
        <v>2000000</v>
      </c>
      <c r="G3543">
        <v>2006</v>
      </c>
      <c r="H3543">
        <v>6.6</v>
      </c>
    </row>
    <row r="3544" spans="1:8" x14ac:dyDescent="0.25">
      <c r="A3544">
        <v>119</v>
      </c>
      <c r="B3544">
        <v>4958</v>
      </c>
      <c r="C3544" t="s">
        <v>3519</v>
      </c>
      <c r="D3544" t="s">
        <v>1</v>
      </c>
      <c r="E3544" t="s">
        <v>1528</v>
      </c>
      <c r="F3544">
        <v>2000000</v>
      </c>
      <c r="G3544">
        <v>2008</v>
      </c>
      <c r="H3544">
        <v>7.8</v>
      </c>
    </row>
    <row r="3545" spans="1:8" x14ac:dyDescent="0.25">
      <c r="A3545">
        <v>106</v>
      </c>
      <c r="B3545">
        <v>2436</v>
      </c>
      <c r="C3545" t="s">
        <v>3521</v>
      </c>
      <c r="D3545" t="s">
        <v>1</v>
      </c>
      <c r="E3545" t="s">
        <v>2</v>
      </c>
      <c r="F3545">
        <v>2000000</v>
      </c>
      <c r="G3545">
        <v>2012</v>
      </c>
      <c r="H3545">
        <v>5.7</v>
      </c>
    </row>
    <row r="3546" spans="1:8" x14ac:dyDescent="0.25">
      <c r="A3546">
        <v>102</v>
      </c>
      <c r="C3546" t="s">
        <v>3522</v>
      </c>
      <c r="D3546" t="s">
        <v>1</v>
      </c>
      <c r="E3546" t="s">
        <v>2</v>
      </c>
      <c r="F3546">
        <v>2000000</v>
      </c>
      <c r="G3546">
        <v>2007</v>
      </c>
      <c r="H3546">
        <v>5.3</v>
      </c>
    </row>
    <row r="3547" spans="1:8" x14ac:dyDescent="0.25">
      <c r="A3547">
        <v>108</v>
      </c>
      <c r="C3547" t="s">
        <v>3523</v>
      </c>
      <c r="D3547" t="s">
        <v>1</v>
      </c>
      <c r="E3547" t="s">
        <v>2</v>
      </c>
      <c r="F3547">
        <v>2000000</v>
      </c>
      <c r="G3547">
        <v>2011</v>
      </c>
      <c r="H3547">
        <v>4.4000000000000004</v>
      </c>
    </row>
    <row r="3548" spans="1:8" x14ac:dyDescent="0.25">
      <c r="A3548">
        <v>89</v>
      </c>
      <c r="C3548" t="s">
        <v>3525</v>
      </c>
      <c r="D3548" t="s">
        <v>1</v>
      </c>
      <c r="E3548" t="s">
        <v>2</v>
      </c>
      <c r="F3548">
        <v>2000000</v>
      </c>
      <c r="G3548">
        <v>2015</v>
      </c>
      <c r="H3548">
        <v>4.5</v>
      </c>
    </row>
    <row r="3549" spans="1:8" x14ac:dyDescent="0.25">
      <c r="A3549">
        <v>92</v>
      </c>
      <c r="C3549" t="s">
        <v>3526</v>
      </c>
      <c r="D3549" t="s">
        <v>1</v>
      </c>
      <c r="E3549" t="s">
        <v>2</v>
      </c>
      <c r="F3549">
        <v>2000000</v>
      </c>
      <c r="G3549">
        <v>2015</v>
      </c>
      <c r="H3549">
        <v>3.4</v>
      </c>
    </row>
    <row r="3550" spans="1:8" x14ac:dyDescent="0.25">
      <c r="A3550">
        <v>105</v>
      </c>
      <c r="B3550">
        <v>92401</v>
      </c>
      <c r="C3550" t="s">
        <v>3544</v>
      </c>
      <c r="D3550" t="s">
        <v>1</v>
      </c>
      <c r="E3550" t="s">
        <v>2</v>
      </c>
      <c r="F3550">
        <v>2000000</v>
      </c>
      <c r="G3550">
        <v>2010</v>
      </c>
      <c r="H3550">
        <v>6.3</v>
      </c>
    </row>
    <row r="3551" spans="1:8" x14ac:dyDescent="0.25">
      <c r="A3551">
        <v>108</v>
      </c>
      <c r="B3551">
        <v>19067631</v>
      </c>
      <c r="C3551" t="s">
        <v>3552</v>
      </c>
      <c r="D3551" t="s">
        <v>1</v>
      </c>
      <c r="E3551" t="s">
        <v>2</v>
      </c>
      <c r="F3551">
        <v>2000000</v>
      </c>
      <c r="G3551">
        <v>2007</v>
      </c>
      <c r="H3551">
        <v>7.1</v>
      </c>
    </row>
    <row r="3552" spans="1:8" x14ac:dyDescent="0.25">
      <c r="A3552">
        <v>103</v>
      </c>
      <c r="B3552">
        <v>5132222</v>
      </c>
      <c r="C3552" t="s">
        <v>3557</v>
      </c>
      <c r="D3552" t="s">
        <v>1</v>
      </c>
      <c r="E3552" t="s">
        <v>38</v>
      </c>
      <c r="F3552">
        <v>2000000</v>
      </c>
      <c r="G3552">
        <v>1994</v>
      </c>
      <c r="H3552">
        <v>7.2</v>
      </c>
    </row>
    <row r="3553" spans="1:8" x14ac:dyDescent="0.25">
      <c r="A3553">
        <v>90</v>
      </c>
      <c r="B3553">
        <v>52166</v>
      </c>
      <c r="C3553" t="s">
        <v>3572</v>
      </c>
      <c r="D3553" t="s">
        <v>1</v>
      </c>
      <c r="E3553" t="s">
        <v>2</v>
      </c>
      <c r="F3553">
        <v>2000000</v>
      </c>
      <c r="G3553">
        <v>2008</v>
      </c>
      <c r="H3553">
        <v>6.7</v>
      </c>
    </row>
    <row r="3554" spans="1:8" x14ac:dyDescent="0.25">
      <c r="A3554">
        <v>83</v>
      </c>
      <c r="B3554">
        <v>184925485</v>
      </c>
      <c r="C3554" t="s">
        <v>3577</v>
      </c>
      <c r="D3554" t="s">
        <v>1</v>
      </c>
      <c r="E3554" t="s">
        <v>2</v>
      </c>
      <c r="F3554">
        <v>2000000</v>
      </c>
      <c r="G3554">
        <v>1937</v>
      </c>
      <c r="H3554">
        <v>7.7</v>
      </c>
    </row>
    <row r="3555" spans="1:8" x14ac:dyDescent="0.25">
      <c r="A3555">
        <v>202</v>
      </c>
      <c r="B3555">
        <v>269061</v>
      </c>
      <c r="C3555" t="s">
        <v>3725</v>
      </c>
      <c r="D3555" t="s">
        <v>102</v>
      </c>
      <c r="E3555" t="s">
        <v>103</v>
      </c>
      <c r="F3555">
        <v>2000000</v>
      </c>
      <c r="G3555">
        <v>1954</v>
      </c>
      <c r="H3555">
        <v>8.6999999999999993</v>
      </c>
    </row>
    <row r="3556" spans="1:8" x14ac:dyDescent="0.25">
      <c r="A3556">
        <v>107</v>
      </c>
      <c r="B3556">
        <v>768045</v>
      </c>
      <c r="C3556" t="s">
        <v>3736</v>
      </c>
      <c r="D3556" t="s">
        <v>1</v>
      </c>
      <c r="E3556" t="s">
        <v>5</v>
      </c>
      <c r="F3556">
        <v>2000000</v>
      </c>
      <c r="G3556">
        <v>2002</v>
      </c>
      <c r="H3556">
        <v>7.7</v>
      </c>
    </row>
    <row r="3557" spans="1:8" x14ac:dyDescent="0.25">
      <c r="A3557">
        <v>96</v>
      </c>
      <c r="B3557">
        <v>4170647</v>
      </c>
      <c r="C3557" t="s">
        <v>3414</v>
      </c>
      <c r="D3557" t="s">
        <v>1</v>
      </c>
      <c r="E3557" t="s">
        <v>5</v>
      </c>
      <c r="F3557">
        <v>1900000</v>
      </c>
      <c r="G3557">
        <v>1999</v>
      </c>
      <c r="H3557">
        <v>6.9</v>
      </c>
    </row>
    <row r="3558" spans="1:8" x14ac:dyDescent="0.25">
      <c r="A3558">
        <v>99</v>
      </c>
      <c r="B3558">
        <v>4600000</v>
      </c>
      <c r="C3558" t="s">
        <v>3527</v>
      </c>
      <c r="D3558" t="s">
        <v>1</v>
      </c>
      <c r="E3558" t="s">
        <v>2</v>
      </c>
      <c r="F3558">
        <v>1900000</v>
      </c>
      <c r="G3558">
        <v>1986</v>
      </c>
      <c r="H3558">
        <v>7.1</v>
      </c>
    </row>
    <row r="3559" spans="1:8" x14ac:dyDescent="0.25">
      <c r="A3559">
        <v>103</v>
      </c>
      <c r="B3559">
        <v>1420578</v>
      </c>
      <c r="C3559" t="s">
        <v>3528</v>
      </c>
      <c r="D3559" t="s">
        <v>1</v>
      </c>
      <c r="E3559" t="s">
        <v>2</v>
      </c>
      <c r="F3559">
        <v>1900000</v>
      </c>
      <c r="G3559">
        <v>2003</v>
      </c>
      <c r="H3559">
        <v>6.4</v>
      </c>
    </row>
    <row r="3560" spans="1:8" x14ac:dyDescent="0.25">
      <c r="A3560">
        <v>89</v>
      </c>
      <c r="B3560">
        <v>444044</v>
      </c>
      <c r="C3560" t="s">
        <v>3532</v>
      </c>
      <c r="D3560" t="s">
        <v>1</v>
      </c>
      <c r="E3560" t="s">
        <v>2</v>
      </c>
      <c r="F3560">
        <v>1900000</v>
      </c>
      <c r="G3560">
        <v>2015</v>
      </c>
      <c r="H3560">
        <v>7.2</v>
      </c>
    </row>
    <row r="3561" spans="1:8" x14ac:dyDescent="0.25">
      <c r="A3561">
        <v>101</v>
      </c>
      <c r="B3561">
        <v>26505000</v>
      </c>
      <c r="C3561" t="s">
        <v>1362</v>
      </c>
      <c r="D3561" t="s">
        <v>1</v>
      </c>
      <c r="E3561" t="s">
        <v>2</v>
      </c>
      <c r="F3561">
        <v>1800000</v>
      </c>
      <c r="G3561">
        <v>1984</v>
      </c>
      <c r="H3561">
        <v>7.5</v>
      </c>
    </row>
    <row r="3562" spans="1:8" x14ac:dyDescent="0.25">
      <c r="A3562">
        <v>97</v>
      </c>
      <c r="B3562">
        <v>32600000</v>
      </c>
      <c r="C3562" t="s">
        <v>3447</v>
      </c>
      <c r="D3562" t="s">
        <v>1</v>
      </c>
      <c r="E3562" t="s">
        <v>2</v>
      </c>
      <c r="F3562">
        <v>1800000</v>
      </c>
      <c r="G3562">
        <v>1984</v>
      </c>
      <c r="H3562">
        <v>5.9</v>
      </c>
    </row>
    <row r="3563" spans="1:8" x14ac:dyDescent="0.25">
      <c r="A3563">
        <v>101</v>
      </c>
      <c r="B3563">
        <v>26505000</v>
      </c>
      <c r="C3563" t="s">
        <v>1362</v>
      </c>
      <c r="D3563" t="s">
        <v>1</v>
      </c>
      <c r="E3563" t="s">
        <v>2</v>
      </c>
      <c r="F3563">
        <v>1800000</v>
      </c>
      <c r="G3563">
        <v>1984</v>
      </c>
      <c r="H3563">
        <v>7.5</v>
      </c>
    </row>
    <row r="3564" spans="1:8" x14ac:dyDescent="0.25">
      <c r="A3564">
        <v>87</v>
      </c>
      <c r="B3564">
        <v>40990055</v>
      </c>
      <c r="C3564" t="s">
        <v>3533</v>
      </c>
      <c r="D3564" t="s">
        <v>1</v>
      </c>
      <c r="E3564" t="s">
        <v>244</v>
      </c>
      <c r="F3564">
        <v>1800000</v>
      </c>
      <c r="G3564">
        <v>2010</v>
      </c>
      <c r="H3564">
        <v>5.6</v>
      </c>
    </row>
    <row r="3565" spans="1:8" x14ac:dyDescent="0.25">
      <c r="A3565">
        <v>118</v>
      </c>
      <c r="B3565">
        <v>5709616</v>
      </c>
      <c r="C3565" t="s">
        <v>3534</v>
      </c>
      <c r="D3565" t="s">
        <v>475</v>
      </c>
      <c r="E3565" t="s">
        <v>496</v>
      </c>
      <c r="F3565">
        <v>1800000</v>
      </c>
      <c r="G3565">
        <v>2002</v>
      </c>
      <c r="H3565">
        <v>6.8</v>
      </c>
    </row>
    <row r="3566" spans="1:8" x14ac:dyDescent="0.25">
      <c r="A3566">
        <v>93</v>
      </c>
      <c r="B3566">
        <v>12784397</v>
      </c>
      <c r="C3566" t="s">
        <v>3535</v>
      </c>
      <c r="D3566" t="s">
        <v>1</v>
      </c>
      <c r="E3566" t="s">
        <v>2</v>
      </c>
      <c r="F3566">
        <v>1800000</v>
      </c>
      <c r="G3566">
        <v>2012</v>
      </c>
      <c r="H3566">
        <v>7.3</v>
      </c>
    </row>
    <row r="3567" spans="1:8" x14ac:dyDescent="0.25">
      <c r="A3567">
        <v>109</v>
      </c>
      <c r="B3567">
        <v>3050934</v>
      </c>
      <c r="C3567" t="s">
        <v>3536</v>
      </c>
      <c r="D3567" t="s">
        <v>1</v>
      </c>
      <c r="E3567" t="s">
        <v>2</v>
      </c>
      <c r="F3567">
        <v>1800000</v>
      </c>
      <c r="G3567">
        <v>2000</v>
      </c>
      <c r="H3567">
        <v>7.3</v>
      </c>
    </row>
    <row r="3568" spans="1:8" x14ac:dyDescent="0.25">
      <c r="A3568">
        <v>108</v>
      </c>
      <c r="B3568">
        <v>505295</v>
      </c>
      <c r="C3568" t="s">
        <v>3537</v>
      </c>
      <c r="D3568" t="s">
        <v>3538</v>
      </c>
      <c r="E3568" t="s">
        <v>55</v>
      </c>
      <c r="F3568">
        <v>1800000</v>
      </c>
      <c r="G3568">
        <v>2003</v>
      </c>
      <c r="H3568">
        <v>7.5</v>
      </c>
    </row>
    <row r="3569" spans="1:8" x14ac:dyDescent="0.25">
      <c r="A3569">
        <v>113</v>
      </c>
      <c r="C3569" t="s">
        <v>3539</v>
      </c>
      <c r="D3569" t="s">
        <v>1</v>
      </c>
      <c r="E3569" t="s">
        <v>2</v>
      </c>
      <c r="F3569">
        <v>1800000</v>
      </c>
      <c r="G3569">
        <v>2007</v>
      </c>
      <c r="H3569">
        <v>5.3</v>
      </c>
    </row>
    <row r="3570" spans="1:8" x14ac:dyDescent="0.25">
      <c r="A3570">
        <v>111</v>
      </c>
      <c r="C3570" t="s">
        <v>3540</v>
      </c>
      <c r="D3570" t="s">
        <v>1</v>
      </c>
      <c r="E3570" t="s">
        <v>2</v>
      </c>
      <c r="F3570">
        <v>1800000</v>
      </c>
      <c r="G3570">
        <v>2012</v>
      </c>
      <c r="H3570">
        <v>5.4</v>
      </c>
    </row>
    <row r="3571" spans="1:8" x14ac:dyDescent="0.25">
      <c r="A3571">
        <v>88</v>
      </c>
      <c r="B3571">
        <v>1523883</v>
      </c>
      <c r="C3571" t="s">
        <v>3755</v>
      </c>
      <c r="D3571" t="s">
        <v>1</v>
      </c>
      <c r="E3571" t="s">
        <v>2</v>
      </c>
      <c r="F3571">
        <v>1750211</v>
      </c>
      <c r="G3571">
        <v>2005</v>
      </c>
      <c r="H3571">
        <v>7.8</v>
      </c>
    </row>
    <row r="3572" spans="1:8" x14ac:dyDescent="0.25">
      <c r="A3572">
        <v>138</v>
      </c>
      <c r="B3572">
        <v>35918429</v>
      </c>
      <c r="C3572" t="s">
        <v>3543</v>
      </c>
      <c r="D3572" t="s">
        <v>1</v>
      </c>
      <c r="E3572" t="s">
        <v>2</v>
      </c>
      <c r="F3572">
        <v>1700000</v>
      </c>
      <c r="G3572">
        <v>2001</v>
      </c>
      <c r="H3572">
        <v>7.5</v>
      </c>
    </row>
    <row r="3573" spans="1:8" x14ac:dyDescent="0.25">
      <c r="A3573">
        <v>98</v>
      </c>
      <c r="B3573">
        <v>1943649</v>
      </c>
      <c r="C3573" t="s">
        <v>3545</v>
      </c>
      <c r="D3573" t="s">
        <v>1</v>
      </c>
      <c r="E3573" t="s">
        <v>2</v>
      </c>
      <c r="F3573">
        <v>1700000</v>
      </c>
      <c r="G3573">
        <v>1999</v>
      </c>
      <c r="H3573">
        <v>6.3</v>
      </c>
    </row>
    <row r="3574" spans="1:8" x14ac:dyDescent="0.25">
      <c r="A3574">
        <v>86</v>
      </c>
      <c r="B3574">
        <v>992238</v>
      </c>
      <c r="C3574" t="s">
        <v>3546</v>
      </c>
      <c r="D3574" t="s">
        <v>1</v>
      </c>
      <c r="E3574" t="s">
        <v>5</v>
      </c>
      <c r="F3574">
        <v>1700000</v>
      </c>
      <c r="G3574">
        <v>2004</v>
      </c>
      <c r="H3574">
        <v>6.8</v>
      </c>
    </row>
    <row r="3575" spans="1:8" x14ac:dyDescent="0.25">
      <c r="A3575">
        <v>111</v>
      </c>
      <c r="B3575">
        <v>2580</v>
      </c>
      <c r="C3575" t="s">
        <v>3551</v>
      </c>
      <c r="D3575" t="s">
        <v>1</v>
      </c>
      <c r="E3575" t="s">
        <v>2</v>
      </c>
      <c r="F3575">
        <v>1650000</v>
      </c>
      <c r="G3575">
        <v>2003</v>
      </c>
      <c r="H3575">
        <v>5.4</v>
      </c>
    </row>
    <row r="3576" spans="1:8" x14ac:dyDescent="0.25">
      <c r="A3576">
        <v>123</v>
      </c>
      <c r="B3576">
        <v>26893</v>
      </c>
      <c r="C3576" t="s">
        <v>3550</v>
      </c>
      <c r="D3576" t="s">
        <v>243</v>
      </c>
      <c r="E3576" t="s">
        <v>244</v>
      </c>
      <c r="F3576">
        <v>1600000</v>
      </c>
      <c r="G3576">
        <v>1969</v>
      </c>
      <c r="H3576">
        <v>7.2</v>
      </c>
    </row>
    <row r="3577" spans="1:8" x14ac:dyDescent="0.25">
      <c r="A3577">
        <v>73</v>
      </c>
      <c r="B3577">
        <v>39659</v>
      </c>
      <c r="C3577" t="s">
        <v>3607</v>
      </c>
      <c r="D3577" t="s">
        <v>1</v>
      </c>
      <c r="E3577" t="s">
        <v>38</v>
      </c>
      <c r="F3577">
        <v>1600000</v>
      </c>
      <c r="G3577">
        <v>2002</v>
      </c>
      <c r="H3577">
        <v>7</v>
      </c>
    </row>
    <row r="3578" spans="1:8" x14ac:dyDescent="0.25">
      <c r="A3578">
        <v>135</v>
      </c>
      <c r="B3578">
        <v>638951</v>
      </c>
      <c r="C3578" t="s">
        <v>3583</v>
      </c>
      <c r="D3578" t="s">
        <v>3584</v>
      </c>
      <c r="E3578" t="s">
        <v>2</v>
      </c>
      <c r="F3578">
        <v>1592000</v>
      </c>
      <c r="G3578">
        <v>2006</v>
      </c>
      <c r="H3578">
        <v>7.4</v>
      </c>
    </row>
    <row r="3579" spans="1:8" x14ac:dyDescent="0.25">
      <c r="A3579">
        <v>85</v>
      </c>
      <c r="B3579">
        <v>265107</v>
      </c>
      <c r="C3579" t="s">
        <v>3341</v>
      </c>
      <c r="D3579" t="s">
        <v>1</v>
      </c>
      <c r="E3579" t="s">
        <v>55</v>
      </c>
      <c r="F3579">
        <v>1500000</v>
      </c>
      <c r="G3579">
        <v>2000</v>
      </c>
      <c r="H3579">
        <v>6.3</v>
      </c>
    </row>
    <row r="3580" spans="1:8" x14ac:dyDescent="0.25">
      <c r="A3580">
        <v>105</v>
      </c>
      <c r="B3580">
        <v>3123749</v>
      </c>
      <c r="C3580" t="s">
        <v>3437</v>
      </c>
      <c r="D3580" t="s">
        <v>1</v>
      </c>
      <c r="E3580" t="s">
        <v>2</v>
      </c>
      <c r="F3580">
        <v>1500000</v>
      </c>
      <c r="G3580">
        <v>2005</v>
      </c>
      <c r="H3580">
        <v>6.5</v>
      </c>
    </row>
    <row r="3581" spans="1:8" x14ac:dyDescent="0.25">
      <c r="A3581">
        <v>101</v>
      </c>
      <c r="B3581">
        <v>327919</v>
      </c>
      <c r="C3581" t="s">
        <v>3473</v>
      </c>
      <c r="D3581" t="s">
        <v>1</v>
      </c>
      <c r="E3581" t="s">
        <v>5</v>
      </c>
      <c r="F3581">
        <v>1500000</v>
      </c>
      <c r="G3581">
        <v>2006</v>
      </c>
      <c r="H3581">
        <v>7.7</v>
      </c>
    </row>
    <row r="3582" spans="1:8" x14ac:dyDescent="0.25">
      <c r="A3582">
        <v>100</v>
      </c>
      <c r="B3582">
        <v>4599680</v>
      </c>
      <c r="C3582" t="s">
        <v>3495</v>
      </c>
      <c r="D3582" t="s">
        <v>1</v>
      </c>
      <c r="E3582" t="s">
        <v>2</v>
      </c>
      <c r="F3582">
        <v>1500000</v>
      </c>
      <c r="G3582">
        <v>2003</v>
      </c>
      <c r="H3582">
        <v>6.8</v>
      </c>
    </row>
    <row r="3583" spans="1:8" x14ac:dyDescent="0.25">
      <c r="A3583">
        <v>90</v>
      </c>
      <c r="B3583">
        <v>2283276</v>
      </c>
      <c r="C3583" t="s">
        <v>3504</v>
      </c>
      <c r="D3583" t="s">
        <v>2206</v>
      </c>
      <c r="E3583" t="s">
        <v>3505</v>
      </c>
      <c r="F3583">
        <v>1500000</v>
      </c>
      <c r="G3583">
        <v>2008</v>
      </c>
      <c r="H3583">
        <v>8</v>
      </c>
    </row>
    <row r="3584" spans="1:8" x14ac:dyDescent="0.25">
      <c r="A3584">
        <v>95</v>
      </c>
      <c r="B3584">
        <v>17580</v>
      </c>
      <c r="C3584" t="s">
        <v>3516</v>
      </c>
      <c r="D3584" t="s">
        <v>1</v>
      </c>
      <c r="E3584" t="s">
        <v>2</v>
      </c>
      <c r="F3584">
        <v>1500000</v>
      </c>
      <c r="G3584">
        <v>2009</v>
      </c>
      <c r="H3584">
        <v>6.2</v>
      </c>
    </row>
    <row r="3585" spans="1:8" x14ac:dyDescent="0.25">
      <c r="A3585">
        <v>91</v>
      </c>
      <c r="B3585">
        <v>7417210</v>
      </c>
      <c r="C3585" t="s">
        <v>3554</v>
      </c>
      <c r="D3585" t="s">
        <v>1</v>
      </c>
      <c r="E3585" t="s">
        <v>2</v>
      </c>
      <c r="F3585">
        <v>1500000</v>
      </c>
      <c r="G3585">
        <v>1995</v>
      </c>
      <c r="H3585">
        <v>7</v>
      </c>
    </row>
    <row r="3586" spans="1:8" x14ac:dyDescent="0.25">
      <c r="A3586">
        <v>88</v>
      </c>
      <c r="B3586">
        <v>7362100</v>
      </c>
      <c r="C3586" t="s">
        <v>3555</v>
      </c>
      <c r="D3586" t="s">
        <v>1</v>
      </c>
      <c r="E3586" t="s">
        <v>2</v>
      </c>
      <c r="F3586">
        <v>1500000</v>
      </c>
      <c r="G3586">
        <v>2005</v>
      </c>
      <c r="H3586">
        <v>7.4</v>
      </c>
    </row>
    <row r="3587" spans="1:8" x14ac:dyDescent="0.25">
      <c r="A3587">
        <v>110</v>
      </c>
      <c r="B3587">
        <v>2365931</v>
      </c>
      <c r="C3587" t="s">
        <v>3558</v>
      </c>
      <c r="D3587" t="s">
        <v>1</v>
      </c>
      <c r="E3587" t="s">
        <v>2</v>
      </c>
      <c r="F3587">
        <v>1500000</v>
      </c>
      <c r="G3587">
        <v>1998</v>
      </c>
      <c r="H3587">
        <v>7.5</v>
      </c>
    </row>
    <row r="3588" spans="1:8" x14ac:dyDescent="0.25">
      <c r="A3588">
        <v>103</v>
      </c>
      <c r="B3588">
        <v>53991137</v>
      </c>
      <c r="C3588" t="s">
        <v>3559</v>
      </c>
      <c r="D3588" t="s">
        <v>1</v>
      </c>
      <c r="E3588" t="s">
        <v>2</v>
      </c>
      <c r="F3588">
        <v>1500000</v>
      </c>
      <c r="G3588">
        <v>2010</v>
      </c>
      <c r="H3588">
        <v>6.8</v>
      </c>
    </row>
    <row r="3589" spans="1:8" x14ac:dyDescent="0.25">
      <c r="A3589">
        <v>114</v>
      </c>
      <c r="B3589">
        <v>1221261</v>
      </c>
      <c r="C3589" t="s">
        <v>3560</v>
      </c>
      <c r="D3589" t="s">
        <v>475</v>
      </c>
      <c r="E3589" t="s">
        <v>3370</v>
      </c>
      <c r="F3589">
        <v>1500000</v>
      </c>
      <c r="G3589">
        <v>2000</v>
      </c>
      <c r="H3589">
        <v>7.9</v>
      </c>
    </row>
    <row r="3590" spans="1:8" x14ac:dyDescent="0.25">
      <c r="A3590">
        <v>112</v>
      </c>
      <c r="B3590">
        <v>712294</v>
      </c>
      <c r="C3590" t="s">
        <v>3561</v>
      </c>
      <c r="D3590" t="s">
        <v>1</v>
      </c>
      <c r="E3590" t="s">
        <v>2</v>
      </c>
      <c r="F3590">
        <v>1500000</v>
      </c>
      <c r="G3590">
        <v>2005</v>
      </c>
      <c r="H3590">
        <v>6.7</v>
      </c>
    </row>
    <row r="3591" spans="1:8" x14ac:dyDescent="0.25">
      <c r="A3591">
        <v>104</v>
      </c>
      <c r="B3591">
        <v>3447339</v>
      </c>
      <c r="C3591" t="s">
        <v>3562</v>
      </c>
      <c r="D3591" t="s">
        <v>1</v>
      </c>
      <c r="E3591" t="s">
        <v>2</v>
      </c>
      <c r="F3591">
        <v>1500000</v>
      </c>
      <c r="G3591">
        <v>2013</v>
      </c>
      <c r="H3591">
        <v>5.8</v>
      </c>
    </row>
    <row r="3592" spans="1:8" x14ac:dyDescent="0.25">
      <c r="A3592">
        <v>99</v>
      </c>
      <c r="B3592">
        <v>418953</v>
      </c>
      <c r="C3592" t="s">
        <v>3563</v>
      </c>
      <c r="D3592" t="s">
        <v>1</v>
      </c>
      <c r="E3592" t="s">
        <v>244</v>
      </c>
      <c r="F3592">
        <v>1500000</v>
      </c>
      <c r="G3592">
        <v>1993</v>
      </c>
      <c r="H3592">
        <v>6.5</v>
      </c>
    </row>
    <row r="3593" spans="1:8" x14ac:dyDescent="0.25">
      <c r="A3593">
        <v>98</v>
      </c>
      <c r="B3593">
        <v>406035</v>
      </c>
      <c r="C3593" t="s">
        <v>3564</v>
      </c>
      <c r="D3593" t="s">
        <v>1</v>
      </c>
      <c r="E3593" t="s">
        <v>2</v>
      </c>
      <c r="F3593">
        <v>1500000</v>
      </c>
      <c r="G3593">
        <v>2001</v>
      </c>
      <c r="H3593">
        <v>7.2</v>
      </c>
    </row>
    <row r="3594" spans="1:8" x14ac:dyDescent="0.25">
      <c r="A3594">
        <v>100</v>
      </c>
      <c r="B3594">
        <v>373967</v>
      </c>
      <c r="C3594" t="s">
        <v>3565</v>
      </c>
      <c r="D3594" t="s">
        <v>1</v>
      </c>
      <c r="E3594" t="s">
        <v>2</v>
      </c>
      <c r="F3594">
        <v>1500000</v>
      </c>
      <c r="G3594">
        <v>2001</v>
      </c>
      <c r="H3594">
        <v>6.5</v>
      </c>
    </row>
    <row r="3595" spans="1:8" x14ac:dyDescent="0.25">
      <c r="A3595">
        <v>80</v>
      </c>
      <c r="B3595">
        <v>194568</v>
      </c>
      <c r="C3595" t="s">
        <v>3566</v>
      </c>
      <c r="D3595" t="s">
        <v>1</v>
      </c>
      <c r="E3595" t="s">
        <v>2</v>
      </c>
      <c r="F3595">
        <v>1500000</v>
      </c>
      <c r="G3595">
        <v>2006</v>
      </c>
      <c r="H3595">
        <v>6.2</v>
      </c>
    </row>
    <row r="3596" spans="1:8" x14ac:dyDescent="0.25">
      <c r="A3596">
        <v>87</v>
      </c>
      <c r="B3596">
        <v>163245</v>
      </c>
      <c r="C3596" t="s">
        <v>3567</v>
      </c>
      <c r="D3596" t="s">
        <v>1</v>
      </c>
      <c r="E3596" t="s">
        <v>2</v>
      </c>
      <c r="F3596">
        <v>1500000</v>
      </c>
      <c r="G3596">
        <v>1936</v>
      </c>
      <c r="H3596">
        <v>8.6</v>
      </c>
    </row>
    <row r="3597" spans="1:8" x14ac:dyDescent="0.25">
      <c r="A3597">
        <v>91</v>
      </c>
      <c r="B3597">
        <v>119841</v>
      </c>
      <c r="C3597" t="s">
        <v>3568</v>
      </c>
      <c r="D3597" t="s">
        <v>1</v>
      </c>
      <c r="E3597" t="s">
        <v>2</v>
      </c>
      <c r="F3597">
        <v>1500000</v>
      </c>
      <c r="G3597">
        <v>2002</v>
      </c>
      <c r="H3597">
        <v>6.5</v>
      </c>
    </row>
    <row r="3598" spans="1:8" x14ac:dyDescent="0.25">
      <c r="A3598">
        <v>84</v>
      </c>
      <c r="B3598">
        <v>173066</v>
      </c>
      <c r="C3598" t="s">
        <v>3569</v>
      </c>
      <c r="D3598" t="s">
        <v>1</v>
      </c>
      <c r="E3598" t="s">
        <v>2</v>
      </c>
      <c r="F3598">
        <v>1500000</v>
      </c>
      <c r="G3598">
        <v>2007</v>
      </c>
      <c r="H3598">
        <v>6.3</v>
      </c>
    </row>
    <row r="3599" spans="1:8" x14ac:dyDescent="0.25">
      <c r="A3599">
        <v>90</v>
      </c>
      <c r="B3599">
        <v>92362</v>
      </c>
      <c r="C3599" t="s">
        <v>3570</v>
      </c>
      <c r="D3599" t="s">
        <v>1</v>
      </c>
      <c r="E3599" t="s">
        <v>2</v>
      </c>
      <c r="F3599">
        <v>1500000</v>
      </c>
      <c r="G3599">
        <v>2005</v>
      </c>
      <c r="H3599">
        <v>4.3</v>
      </c>
    </row>
    <row r="3600" spans="1:8" x14ac:dyDescent="0.25">
      <c r="A3600">
        <v>95</v>
      </c>
      <c r="B3600">
        <v>3478</v>
      </c>
      <c r="C3600" t="s">
        <v>3571</v>
      </c>
      <c r="D3600" t="s">
        <v>1</v>
      </c>
      <c r="E3600" t="s">
        <v>38</v>
      </c>
      <c r="F3600">
        <v>1500000</v>
      </c>
      <c r="G3600">
        <v>2008</v>
      </c>
      <c r="H3600">
        <v>6.7</v>
      </c>
    </row>
    <row r="3601" spans="1:8" x14ac:dyDescent="0.25">
      <c r="A3601">
        <v>98</v>
      </c>
      <c r="C3601" t="s">
        <v>3574</v>
      </c>
      <c r="D3601" t="s">
        <v>1</v>
      </c>
      <c r="E3601" t="s">
        <v>2</v>
      </c>
      <c r="F3601">
        <v>1500000</v>
      </c>
      <c r="G3601">
        <v>2013</v>
      </c>
      <c r="H3601">
        <v>6.3</v>
      </c>
    </row>
    <row r="3602" spans="1:8" x14ac:dyDescent="0.25">
      <c r="A3602">
        <v>97</v>
      </c>
      <c r="C3602" t="s">
        <v>3576</v>
      </c>
      <c r="D3602" t="s">
        <v>1</v>
      </c>
      <c r="E3602" t="s">
        <v>2</v>
      </c>
      <c r="F3602">
        <v>1500000</v>
      </c>
      <c r="G3602">
        <v>2015</v>
      </c>
      <c r="H3602">
        <v>3.1</v>
      </c>
    </row>
    <row r="3603" spans="1:8" x14ac:dyDescent="0.25">
      <c r="A3603">
        <v>97</v>
      </c>
      <c r="B3603">
        <v>100358</v>
      </c>
      <c r="C3603" t="s">
        <v>3587</v>
      </c>
      <c r="D3603" t="s">
        <v>1</v>
      </c>
      <c r="E3603" t="s">
        <v>1013</v>
      </c>
      <c r="F3603">
        <v>1500000</v>
      </c>
      <c r="G3603">
        <v>2005</v>
      </c>
      <c r="H3603">
        <v>3.3</v>
      </c>
    </row>
    <row r="3604" spans="1:8" x14ac:dyDescent="0.25">
      <c r="A3604">
        <v>96</v>
      </c>
      <c r="B3604">
        <v>703</v>
      </c>
      <c r="C3604" t="s">
        <v>3657</v>
      </c>
      <c r="D3604" t="s">
        <v>1</v>
      </c>
      <c r="E3604" t="s">
        <v>2</v>
      </c>
      <c r="F3604">
        <v>1500000</v>
      </c>
      <c r="G3604">
        <v>2001</v>
      </c>
      <c r="H3604">
        <v>5.4</v>
      </c>
    </row>
    <row r="3605" spans="1:8" x14ac:dyDescent="0.25">
      <c r="A3605">
        <v>123</v>
      </c>
      <c r="C3605" t="s">
        <v>3590</v>
      </c>
      <c r="D3605" t="s">
        <v>1</v>
      </c>
      <c r="E3605" t="s">
        <v>2</v>
      </c>
      <c r="F3605">
        <v>1420000</v>
      </c>
      <c r="G3605">
        <v>2014</v>
      </c>
      <c r="H3605">
        <v>4.0999999999999996</v>
      </c>
    </row>
    <row r="3606" spans="1:8" x14ac:dyDescent="0.25">
      <c r="A3606">
        <v>95</v>
      </c>
      <c r="B3606">
        <v>18435</v>
      </c>
      <c r="C3606" t="s">
        <v>3530</v>
      </c>
      <c r="D3606" t="s">
        <v>243</v>
      </c>
      <c r="E3606" t="s">
        <v>244</v>
      </c>
      <c r="F3606">
        <v>1400000</v>
      </c>
      <c r="G3606">
        <v>2006</v>
      </c>
      <c r="H3606">
        <v>5.8</v>
      </c>
    </row>
    <row r="3607" spans="1:8" x14ac:dyDescent="0.25">
      <c r="A3607">
        <v>106</v>
      </c>
      <c r="B3607">
        <v>304124</v>
      </c>
      <c r="C3607" t="s">
        <v>3578</v>
      </c>
      <c r="D3607" t="s">
        <v>475</v>
      </c>
      <c r="E3607" t="s">
        <v>3370</v>
      </c>
      <c r="F3607">
        <v>1400000</v>
      </c>
      <c r="G3607">
        <v>2004</v>
      </c>
      <c r="H3607">
        <v>6.7</v>
      </c>
    </row>
    <row r="3608" spans="1:8" x14ac:dyDescent="0.25">
      <c r="A3608">
        <v>94</v>
      </c>
      <c r="B3608">
        <v>36830</v>
      </c>
      <c r="C3608" t="s">
        <v>3579</v>
      </c>
      <c r="D3608" t="s">
        <v>1</v>
      </c>
      <c r="E3608" t="s">
        <v>5</v>
      </c>
      <c r="F3608">
        <v>1400000</v>
      </c>
      <c r="G3608">
        <v>2004</v>
      </c>
      <c r="H3608">
        <v>6.6</v>
      </c>
    </row>
    <row r="3609" spans="1:8" x14ac:dyDescent="0.25">
      <c r="A3609">
        <v>102</v>
      </c>
      <c r="B3609">
        <v>354704</v>
      </c>
      <c r="C3609" t="s">
        <v>3340</v>
      </c>
      <c r="D3609" t="s">
        <v>1</v>
      </c>
      <c r="E3609" t="s">
        <v>2</v>
      </c>
      <c r="F3609">
        <v>1300000</v>
      </c>
      <c r="G3609">
        <v>1987</v>
      </c>
      <c r="H3609">
        <v>5.9</v>
      </c>
    </row>
    <row r="3610" spans="1:8" x14ac:dyDescent="0.25">
      <c r="A3610">
        <v>95</v>
      </c>
      <c r="B3610">
        <v>1060591</v>
      </c>
      <c r="C3610" t="s">
        <v>3549</v>
      </c>
      <c r="D3610" t="s">
        <v>2961</v>
      </c>
      <c r="E3610" t="s">
        <v>244</v>
      </c>
      <c r="F3610">
        <v>1300000</v>
      </c>
      <c r="G3610">
        <v>2007</v>
      </c>
      <c r="H3610">
        <v>7.2</v>
      </c>
    </row>
    <row r="3611" spans="1:8" x14ac:dyDescent="0.25">
      <c r="A3611">
        <v>105</v>
      </c>
      <c r="B3611">
        <v>1647780</v>
      </c>
      <c r="C3611" t="s">
        <v>3581</v>
      </c>
      <c r="D3611" t="s">
        <v>2945</v>
      </c>
      <c r="E3611" t="s">
        <v>1438</v>
      </c>
      <c r="F3611">
        <v>1300000</v>
      </c>
      <c r="G3611">
        <v>1998</v>
      </c>
      <c r="H3611">
        <v>8.1</v>
      </c>
    </row>
    <row r="3612" spans="1:8" x14ac:dyDescent="0.25">
      <c r="A3612">
        <v>95</v>
      </c>
      <c r="B3612">
        <v>695229</v>
      </c>
      <c r="C3612" t="s">
        <v>3582</v>
      </c>
      <c r="D3612" t="s">
        <v>1</v>
      </c>
      <c r="E3612" t="s">
        <v>2</v>
      </c>
      <c r="F3612">
        <v>1300000</v>
      </c>
      <c r="G3612">
        <v>1996</v>
      </c>
      <c r="H3612">
        <v>7.2</v>
      </c>
    </row>
    <row r="3613" spans="1:8" x14ac:dyDescent="0.25">
      <c r="A3613">
        <v>105</v>
      </c>
      <c r="B3613">
        <v>609042</v>
      </c>
      <c r="C3613" t="s">
        <v>3585</v>
      </c>
      <c r="D3613" t="s">
        <v>1</v>
      </c>
      <c r="E3613" t="s">
        <v>2</v>
      </c>
      <c r="F3613">
        <v>1300000</v>
      </c>
      <c r="G3613">
        <v>1999</v>
      </c>
      <c r="H3613">
        <v>6.5</v>
      </c>
    </row>
    <row r="3614" spans="1:8" x14ac:dyDescent="0.25">
      <c r="A3614">
        <v>88</v>
      </c>
      <c r="C3614" t="s">
        <v>3524</v>
      </c>
      <c r="D3614" t="s">
        <v>1</v>
      </c>
      <c r="E3614" t="s">
        <v>2</v>
      </c>
      <c r="F3614">
        <v>1250000</v>
      </c>
      <c r="G3614">
        <v>2015</v>
      </c>
      <c r="H3614">
        <v>3.4</v>
      </c>
    </row>
    <row r="3615" spans="1:8" x14ac:dyDescent="0.25">
      <c r="A3615">
        <v>87</v>
      </c>
      <c r="B3615">
        <v>19100000</v>
      </c>
      <c r="C3615" t="s">
        <v>3588</v>
      </c>
      <c r="D3615" t="s">
        <v>1</v>
      </c>
      <c r="E3615" t="s">
        <v>2</v>
      </c>
      <c r="F3615">
        <v>1250000</v>
      </c>
      <c r="G3615">
        <v>1981</v>
      </c>
      <c r="H3615">
        <v>6.1</v>
      </c>
    </row>
    <row r="3616" spans="1:8" x14ac:dyDescent="0.25">
      <c r="A3616">
        <v>100</v>
      </c>
      <c r="B3616">
        <v>24741700</v>
      </c>
      <c r="C3616" t="s">
        <v>3591</v>
      </c>
      <c r="D3616" t="s">
        <v>1</v>
      </c>
      <c r="E3616" t="s">
        <v>2</v>
      </c>
      <c r="F3616">
        <v>1200000</v>
      </c>
      <c r="G3616">
        <v>1989</v>
      </c>
      <c r="H3616">
        <v>7.2</v>
      </c>
    </row>
    <row r="3617" spans="1:8" x14ac:dyDescent="0.25">
      <c r="A3617">
        <v>103</v>
      </c>
      <c r="B3617">
        <v>55153403</v>
      </c>
      <c r="C3617" t="s">
        <v>3592</v>
      </c>
      <c r="D3617" t="s">
        <v>1</v>
      </c>
      <c r="E3617" t="s">
        <v>2</v>
      </c>
      <c r="F3617">
        <v>1200000</v>
      </c>
      <c r="G3617">
        <v>2004</v>
      </c>
      <c r="H3617">
        <v>7.7</v>
      </c>
    </row>
    <row r="3618" spans="1:8" x14ac:dyDescent="0.25">
      <c r="A3618">
        <v>100</v>
      </c>
      <c r="B3618">
        <v>18488314</v>
      </c>
      <c r="C3618" t="s">
        <v>3593</v>
      </c>
      <c r="D3618" t="s">
        <v>1</v>
      </c>
      <c r="E3618" t="s">
        <v>2</v>
      </c>
      <c r="F3618">
        <v>1200000</v>
      </c>
      <c r="G3618">
        <v>2001</v>
      </c>
      <c r="H3618">
        <v>7.1</v>
      </c>
    </row>
    <row r="3619" spans="1:8" x14ac:dyDescent="0.25">
      <c r="A3619">
        <v>111</v>
      </c>
      <c r="B3619">
        <v>9180275</v>
      </c>
      <c r="C3619" t="s">
        <v>3595</v>
      </c>
      <c r="D3619" t="s">
        <v>1</v>
      </c>
      <c r="E3619" t="s">
        <v>2</v>
      </c>
      <c r="F3619">
        <v>1200000</v>
      </c>
      <c r="G3619">
        <v>2000</v>
      </c>
      <c r="H3619">
        <v>7.7</v>
      </c>
    </row>
    <row r="3620" spans="1:8" x14ac:dyDescent="0.25">
      <c r="A3620">
        <v>85</v>
      </c>
      <c r="B3620">
        <v>2199853</v>
      </c>
      <c r="C3620" t="s">
        <v>3596</v>
      </c>
      <c r="D3620" t="s">
        <v>1</v>
      </c>
      <c r="E3620" t="s">
        <v>2</v>
      </c>
      <c r="F3620">
        <v>1200000</v>
      </c>
      <c r="G3620">
        <v>1999</v>
      </c>
      <c r="H3620">
        <v>6.6</v>
      </c>
    </row>
    <row r="3621" spans="1:8" x14ac:dyDescent="0.25">
      <c r="A3621">
        <v>113</v>
      </c>
      <c r="B3621">
        <v>2859955</v>
      </c>
      <c r="C3621" t="s">
        <v>3597</v>
      </c>
      <c r="D3621" t="s">
        <v>1</v>
      </c>
      <c r="E3621" t="s">
        <v>2</v>
      </c>
      <c r="F3621">
        <v>1200000</v>
      </c>
      <c r="G3621">
        <v>2013</v>
      </c>
      <c r="H3621">
        <v>6</v>
      </c>
    </row>
    <row r="3622" spans="1:8" x14ac:dyDescent="0.25">
      <c r="A3622">
        <v>99</v>
      </c>
      <c r="B3622">
        <v>2812029</v>
      </c>
      <c r="C3622" t="s">
        <v>3598</v>
      </c>
      <c r="D3622" t="s">
        <v>1</v>
      </c>
      <c r="E3622" t="s">
        <v>2</v>
      </c>
      <c r="F3622">
        <v>1200000</v>
      </c>
      <c r="G3622">
        <v>1992</v>
      </c>
      <c r="H3622">
        <v>8.4</v>
      </c>
    </row>
    <row r="3623" spans="1:8" x14ac:dyDescent="0.25">
      <c r="A3623">
        <v>142</v>
      </c>
      <c r="B3623">
        <v>6100000</v>
      </c>
      <c r="C3623" t="s">
        <v>3599</v>
      </c>
      <c r="D3623" t="s">
        <v>1850</v>
      </c>
      <c r="E3623" t="s">
        <v>1307</v>
      </c>
      <c r="F3623">
        <v>1200000</v>
      </c>
      <c r="G3623">
        <v>1966</v>
      </c>
      <c r="H3623">
        <v>8.9</v>
      </c>
    </row>
    <row r="3624" spans="1:8" x14ac:dyDescent="0.25">
      <c r="A3624">
        <v>108</v>
      </c>
      <c r="B3624">
        <v>594904</v>
      </c>
      <c r="C3624" t="s">
        <v>3601</v>
      </c>
      <c r="D3624" t="s">
        <v>1</v>
      </c>
      <c r="E3624" t="s">
        <v>2</v>
      </c>
      <c r="F3624">
        <v>1200000</v>
      </c>
      <c r="G3624">
        <v>2012</v>
      </c>
      <c r="H3624">
        <v>6</v>
      </c>
    </row>
    <row r="3625" spans="1:8" x14ac:dyDescent="0.25">
      <c r="A3625">
        <v>88</v>
      </c>
      <c r="B3625">
        <v>58936</v>
      </c>
      <c r="C3625" t="s">
        <v>3602</v>
      </c>
      <c r="D3625" t="s">
        <v>1</v>
      </c>
      <c r="E3625" t="s">
        <v>2</v>
      </c>
      <c r="F3625">
        <v>1200000</v>
      </c>
      <c r="G3625">
        <v>2001</v>
      </c>
      <c r="H3625">
        <v>6.1</v>
      </c>
    </row>
    <row r="3626" spans="1:8" x14ac:dyDescent="0.25">
      <c r="A3626">
        <v>92</v>
      </c>
      <c r="B3626">
        <v>11806119</v>
      </c>
      <c r="C3626" t="s">
        <v>3553</v>
      </c>
      <c r="D3626" t="s">
        <v>1</v>
      </c>
      <c r="E3626" t="s">
        <v>2</v>
      </c>
      <c r="F3626">
        <v>1100000</v>
      </c>
      <c r="G3626">
        <v>1988</v>
      </c>
      <c r="H3626">
        <v>6.8</v>
      </c>
    </row>
    <row r="3627" spans="1:8" x14ac:dyDescent="0.25">
      <c r="A3627">
        <v>92</v>
      </c>
      <c r="B3627">
        <v>1400000</v>
      </c>
      <c r="C3627" t="s">
        <v>3606</v>
      </c>
      <c r="D3627" t="s">
        <v>1</v>
      </c>
      <c r="E3627" t="s">
        <v>2</v>
      </c>
      <c r="F3627">
        <v>1100000</v>
      </c>
      <c r="G3627">
        <v>1987</v>
      </c>
      <c r="H3627">
        <v>5.9</v>
      </c>
    </row>
    <row r="3628" spans="1:8" x14ac:dyDescent="0.25">
      <c r="A3628">
        <v>110</v>
      </c>
      <c r="B3628">
        <v>56129</v>
      </c>
      <c r="C3628" t="s">
        <v>3608</v>
      </c>
      <c r="D3628" t="s">
        <v>1</v>
      </c>
      <c r="E3628" t="s">
        <v>38</v>
      </c>
      <c r="F3628">
        <v>1100000</v>
      </c>
      <c r="G3628">
        <v>2010</v>
      </c>
      <c r="H3628">
        <v>6.1</v>
      </c>
    </row>
    <row r="3629" spans="1:8" x14ac:dyDescent="0.25">
      <c r="A3629">
        <v>102</v>
      </c>
      <c r="B3629">
        <v>4105123</v>
      </c>
      <c r="C3629" t="s">
        <v>3609</v>
      </c>
      <c r="D3629" t="s">
        <v>3610</v>
      </c>
      <c r="E3629" t="s">
        <v>3611</v>
      </c>
      <c r="F3629">
        <v>1100000</v>
      </c>
      <c r="G3629">
        <v>2011</v>
      </c>
      <c r="H3629">
        <v>7.6</v>
      </c>
    </row>
    <row r="3630" spans="1:8" x14ac:dyDescent="0.25">
      <c r="A3630">
        <v>110</v>
      </c>
      <c r="B3630">
        <v>16067035</v>
      </c>
      <c r="C3630" t="s">
        <v>3616</v>
      </c>
      <c r="D3630" t="s">
        <v>1</v>
      </c>
      <c r="E3630" t="s">
        <v>5</v>
      </c>
      <c r="F3630">
        <v>1100000</v>
      </c>
      <c r="G3630">
        <v>1962</v>
      </c>
      <c r="H3630">
        <v>7.3</v>
      </c>
    </row>
    <row r="3631" spans="1:8" x14ac:dyDescent="0.25">
      <c r="A3631">
        <v>90</v>
      </c>
      <c r="B3631">
        <v>258113</v>
      </c>
      <c r="C3631" t="s">
        <v>3743</v>
      </c>
      <c r="D3631" t="s">
        <v>1</v>
      </c>
      <c r="E3631" t="s">
        <v>2</v>
      </c>
      <c r="F3631">
        <v>1066167</v>
      </c>
      <c r="G3631">
        <v>2013</v>
      </c>
      <c r="H3631">
        <v>7.1</v>
      </c>
    </row>
    <row r="3632" spans="1:8" x14ac:dyDescent="0.25">
      <c r="A3632">
        <v>89</v>
      </c>
      <c r="B3632">
        <v>21378000</v>
      </c>
      <c r="C3632" t="s">
        <v>2239</v>
      </c>
      <c r="D3632" t="s">
        <v>1</v>
      </c>
      <c r="E3632" t="s">
        <v>2</v>
      </c>
      <c r="F3632">
        <v>1000000</v>
      </c>
      <c r="G3632">
        <v>1980</v>
      </c>
      <c r="H3632">
        <v>6.8</v>
      </c>
    </row>
    <row r="3633" spans="1:8" x14ac:dyDescent="0.25">
      <c r="A3633">
        <v>90</v>
      </c>
      <c r="B3633">
        <v>2957978</v>
      </c>
      <c r="C3633" t="s">
        <v>3531</v>
      </c>
      <c r="D3633" t="s">
        <v>1</v>
      </c>
      <c r="E3633" t="s">
        <v>5</v>
      </c>
      <c r="F3633">
        <v>1000000</v>
      </c>
      <c r="G3633">
        <v>2008</v>
      </c>
      <c r="H3633">
        <v>7.8</v>
      </c>
    </row>
    <row r="3634" spans="1:8" x14ac:dyDescent="0.25">
      <c r="A3634">
        <v>104</v>
      </c>
      <c r="B3634">
        <v>4231500</v>
      </c>
      <c r="C3634" t="s">
        <v>3547</v>
      </c>
      <c r="D3634" t="s">
        <v>1012</v>
      </c>
      <c r="E3634" t="s">
        <v>1013</v>
      </c>
      <c r="F3634">
        <v>1000000</v>
      </c>
      <c r="G3634">
        <v>2013</v>
      </c>
      <c r="H3634">
        <v>7.8</v>
      </c>
    </row>
    <row r="3635" spans="1:8" x14ac:dyDescent="0.25">
      <c r="A3635">
        <v>100</v>
      </c>
      <c r="B3635">
        <v>396035</v>
      </c>
      <c r="C3635" t="s">
        <v>3548</v>
      </c>
      <c r="D3635" t="s">
        <v>1</v>
      </c>
      <c r="E3635" t="s">
        <v>5</v>
      </c>
      <c r="F3635">
        <v>1000000</v>
      </c>
      <c r="G3635">
        <v>2004</v>
      </c>
      <c r="H3635">
        <v>6.9</v>
      </c>
    </row>
    <row r="3636" spans="1:8" x14ac:dyDescent="0.25">
      <c r="A3636">
        <v>97</v>
      </c>
      <c r="B3636">
        <v>7022940</v>
      </c>
      <c r="C3636" t="s">
        <v>3556</v>
      </c>
      <c r="D3636" t="s">
        <v>1</v>
      </c>
      <c r="E3636" t="s">
        <v>2</v>
      </c>
      <c r="F3636">
        <v>1000000</v>
      </c>
      <c r="G3636">
        <v>2001</v>
      </c>
      <c r="H3636">
        <v>6.7</v>
      </c>
    </row>
    <row r="3637" spans="1:8" x14ac:dyDescent="0.25">
      <c r="A3637">
        <v>87</v>
      </c>
      <c r="B3637">
        <v>19539</v>
      </c>
      <c r="C3637" t="s">
        <v>3586</v>
      </c>
      <c r="D3637" t="s">
        <v>1</v>
      </c>
      <c r="E3637" t="s">
        <v>2</v>
      </c>
      <c r="F3637">
        <v>1000000</v>
      </c>
      <c r="G3637">
        <v>2003</v>
      </c>
      <c r="H3637">
        <v>6.2</v>
      </c>
    </row>
    <row r="3638" spans="1:8" x14ac:dyDescent="0.25">
      <c r="A3638">
        <v>89</v>
      </c>
      <c r="C3638" t="s">
        <v>3612</v>
      </c>
      <c r="D3638" t="s">
        <v>1</v>
      </c>
      <c r="E3638" t="s">
        <v>2</v>
      </c>
      <c r="F3638">
        <v>1000000</v>
      </c>
      <c r="G3638">
        <v>1972</v>
      </c>
      <c r="H3638">
        <v>6.7</v>
      </c>
    </row>
    <row r="3639" spans="1:8" x14ac:dyDescent="0.25">
      <c r="A3639">
        <v>89</v>
      </c>
      <c r="B3639">
        <v>21378000</v>
      </c>
      <c r="C3639" t="s">
        <v>2239</v>
      </c>
      <c r="D3639" t="s">
        <v>1</v>
      </c>
      <c r="E3639" t="s">
        <v>2</v>
      </c>
      <c r="F3639">
        <v>1000000</v>
      </c>
      <c r="G3639">
        <v>1980</v>
      </c>
      <c r="H3639">
        <v>6.8</v>
      </c>
    </row>
    <row r="3640" spans="1:8" x14ac:dyDescent="0.25">
      <c r="A3640">
        <v>83</v>
      </c>
      <c r="B3640">
        <v>31537320</v>
      </c>
      <c r="C3640" t="s">
        <v>3614</v>
      </c>
      <c r="D3640" t="s">
        <v>1</v>
      </c>
      <c r="E3640" t="s">
        <v>2</v>
      </c>
      <c r="F3640">
        <v>1000000</v>
      </c>
      <c r="G3640">
        <v>2014</v>
      </c>
      <c r="H3640">
        <v>5.7</v>
      </c>
    </row>
    <row r="3641" spans="1:8" x14ac:dyDescent="0.25">
      <c r="A3641">
        <v>91</v>
      </c>
      <c r="B3641">
        <v>17986000</v>
      </c>
      <c r="C3641" t="s">
        <v>3615</v>
      </c>
      <c r="D3641" t="s">
        <v>1</v>
      </c>
      <c r="E3641" t="s">
        <v>2</v>
      </c>
      <c r="F3641">
        <v>1000000</v>
      </c>
      <c r="G3641">
        <v>1981</v>
      </c>
      <c r="H3641">
        <v>6.6</v>
      </c>
    </row>
    <row r="3642" spans="1:8" x14ac:dyDescent="0.25">
      <c r="A3642">
        <v>86</v>
      </c>
      <c r="B3642">
        <v>18112929</v>
      </c>
      <c r="C3642" t="s">
        <v>3617</v>
      </c>
      <c r="D3642" t="s">
        <v>1</v>
      </c>
      <c r="E3642" t="s">
        <v>2</v>
      </c>
      <c r="F3642">
        <v>1000000</v>
      </c>
      <c r="G3642">
        <v>2012</v>
      </c>
      <c r="H3642">
        <v>5</v>
      </c>
    </row>
    <row r="3643" spans="1:8" x14ac:dyDescent="0.25">
      <c r="A3643">
        <v>86</v>
      </c>
      <c r="B3643">
        <v>14564027</v>
      </c>
      <c r="C3643" t="s">
        <v>3618</v>
      </c>
      <c r="D3643" t="s">
        <v>1</v>
      </c>
      <c r="E3643" t="s">
        <v>5</v>
      </c>
      <c r="F3643">
        <v>1000000</v>
      </c>
      <c r="G3643">
        <v>1987</v>
      </c>
      <c r="H3643">
        <v>7</v>
      </c>
    </row>
    <row r="3644" spans="1:8" x14ac:dyDescent="0.25">
      <c r="A3644">
        <v>90</v>
      </c>
      <c r="B3644">
        <v>10042266</v>
      </c>
      <c r="C3644" t="s">
        <v>3620</v>
      </c>
      <c r="D3644" t="s">
        <v>1</v>
      </c>
      <c r="E3644" t="s">
        <v>2</v>
      </c>
      <c r="F3644">
        <v>1000000</v>
      </c>
      <c r="G3644">
        <v>2005</v>
      </c>
      <c r="H3644">
        <v>5.9</v>
      </c>
    </row>
    <row r="3645" spans="1:8" x14ac:dyDescent="0.25">
      <c r="A3645">
        <v>103</v>
      </c>
      <c r="B3645">
        <v>9013113</v>
      </c>
      <c r="C3645" t="s">
        <v>3623</v>
      </c>
      <c r="D3645" t="s">
        <v>1</v>
      </c>
      <c r="E3645" t="s">
        <v>2</v>
      </c>
      <c r="F3645">
        <v>1000000</v>
      </c>
      <c r="G3645">
        <v>2005</v>
      </c>
      <c r="H3645">
        <v>7.4</v>
      </c>
    </row>
    <row r="3646" spans="1:8" x14ac:dyDescent="0.25">
      <c r="A3646">
        <v>83</v>
      </c>
      <c r="B3646">
        <v>53245055</v>
      </c>
      <c r="C3646" t="s">
        <v>3624</v>
      </c>
      <c r="D3646" t="s">
        <v>1</v>
      </c>
      <c r="E3646" t="s">
        <v>2</v>
      </c>
      <c r="F3646">
        <v>1000000</v>
      </c>
      <c r="G3646">
        <v>2012</v>
      </c>
      <c r="H3646">
        <v>4.2</v>
      </c>
    </row>
    <row r="3647" spans="1:8" x14ac:dyDescent="0.25">
      <c r="A3647">
        <v>95</v>
      </c>
      <c r="B3647">
        <v>5997134</v>
      </c>
      <c r="C3647" t="s">
        <v>3627</v>
      </c>
      <c r="D3647" t="s">
        <v>1</v>
      </c>
      <c r="E3647" t="s">
        <v>2</v>
      </c>
      <c r="F3647">
        <v>1000000</v>
      </c>
      <c r="G3647">
        <v>2012</v>
      </c>
      <c r="H3647">
        <v>7.2</v>
      </c>
    </row>
    <row r="3648" spans="1:8" x14ac:dyDescent="0.25">
      <c r="A3648">
        <v>104</v>
      </c>
      <c r="B3648">
        <v>3386698</v>
      </c>
      <c r="C3648" t="s">
        <v>3628</v>
      </c>
      <c r="D3648" t="s">
        <v>1</v>
      </c>
      <c r="E3648" t="s">
        <v>2</v>
      </c>
      <c r="F3648">
        <v>1000000</v>
      </c>
      <c r="G3648">
        <v>1998</v>
      </c>
      <c r="H3648">
        <v>6.7</v>
      </c>
    </row>
    <row r="3649" spans="1:8" x14ac:dyDescent="0.25">
      <c r="A3649">
        <v>97</v>
      </c>
      <c r="B3649">
        <v>2508841</v>
      </c>
      <c r="C3649" t="s">
        <v>3629</v>
      </c>
      <c r="D3649" t="s">
        <v>1</v>
      </c>
      <c r="E3649" t="s">
        <v>2</v>
      </c>
      <c r="F3649">
        <v>1000000</v>
      </c>
      <c r="G3649">
        <v>2008</v>
      </c>
      <c r="H3649">
        <v>7.2</v>
      </c>
    </row>
    <row r="3650" spans="1:8" x14ac:dyDescent="0.25">
      <c r="A3650">
        <v>91</v>
      </c>
      <c r="B3650">
        <v>4946250</v>
      </c>
      <c r="C3650" t="s">
        <v>3630</v>
      </c>
      <c r="D3650" t="s">
        <v>1</v>
      </c>
      <c r="E3650" t="s">
        <v>2</v>
      </c>
      <c r="F3650">
        <v>1000000</v>
      </c>
      <c r="G3650">
        <v>2013</v>
      </c>
      <c r="H3650">
        <v>7.4</v>
      </c>
    </row>
    <row r="3651" spans="1:8" x14ac:dyDescent="0.25">
      <c r="A3651">
        <v>84</v>
      </c>
      <c r="B3651">
        <v>1950218</v>
      </c>
      <c r="C3651" t="s">
        <v>3631</v>
      </c>
      <c r="D3651" t="s">
        <v>1</v>
      </c>
      <c r="E3651" t="s">
        <v>2</v>
      </c>
      <c r="F3651">
        <v>1000000</v>
      </c>
      <c r="G3651">
        <v>1997</v>
      </c>
      <c r="H3651">
        <v>5.6</v>
      </c>
    </row>
    <row r="3652" spans="1:8" x14ac:dyDescent="0.25">
      <c r="A3652">
        <v>86</v>
      </c>
      <c r="B3652">
        <v>1277257</v>
      </c>
      <c r="C3652" t="s">
        <v>3632</v>
      </c>
      <c r="D3652" t="s">
        <v>1</v>
      </c>
      <c r="E3652" t="s">
        <v>5</v>
      </c>
      <c r="F3652">
        <v>1000000</v>
      </c>
      <c r="G3652">
        <v>1996</v>
      </c>
      <c r="H3652">
        <v>6.8</v>
      </c>
    </row>
    <row r="3653" spans="1:8" x14ac:dyDescent="0.25">
      <c r="A3653">
        <v>92</v>
      </c>
      <c r="B3653">
        <v>1677838</v>
      </c>
      <c r="C3653" t="s">
        <v>3633</v>
      </c>
      <c r="D3653" t="s">
        <v>1</v>
      </c>
      <c r="E3653" t="s">
        <v>2</v>
      </c>
      <c r="F3653">
        <v>1000000</v>
      </c>
      <c r="G3653">
        <v>2006</v>
      </c>
      <c r="H3653">
        <v>7.7</v>
      </c>
    </row>
    <row r="3654" spans="1:8" x14ac:dyDescent="0.25">
      <c r="A3654">
        <v>94</v>
      </c>
      <c r="B3654">
        <v>1744858</v>
      </c>
      <c r="C3654" t="s">
        <v>3634</v>
      </c>
      <c r="D3654" t="s">
        <v>1</v>
      </c>
      <c r="E3654" t="s">
        <v>2</v>
      </c>
      <c r="F3654">
        <v>1000000</v>
      </c>
      <c r="G3654">
        <v>2000</v>
      </c>
      <c r="H3654">
        <v>7</v>
      </c>
    </row>
    <row r="3655" spans="1:8" x14ac:dyDescent="0.25">
      <c r="A3655">
        <v>100</v>
      </c>
      <c r="B3655">
        <v>982214</v>
      </c>
      <c r="C3655" t="s">
        <v>3635</v>
      </c>
      <c r="D3655" t="s">
        <v>1</v>
      </c>
      <c r="E3655" t="s">
        <v>2</v>
      </c>
      <c r="F3655">
        <v>1000000</v>
      </c>
      <c r="G3655">
        <v>1998</v>
      </c>
      <c r="H3655">
        <v>7.2</v>
      </c>
    </row>
    <row r="3656" spans="1:8" x14ac:dyDescent="0.25">
      <c r="A3656">
        <v>119</v>
      </c>
      <c r="B3656">
        <v>798341</v>
      </c>
      <c r="C3656" t="s">
        <v>3636</v>
      </c>
      <c r="D3656" t="s">
        <v>1</v>
      </c>
      <c r="E3656" t="s">
        <v>2</v>
      </c>
      <c r="F3656">
        <v>1000000</v>
      </c>
      <c r="G3656">
        <v>2001</v>
      </c>
      <c r="H3656">
        <v>7.2</v>
      </c>
    </row>
    <row r="3657" spans="1:8" x14ac:dyDescent="0.25">
      <c r="A3657">
        <v>167</v>
      </c>
      <c r="B3657">
        <v>610991</v>
      </c>
      <c r="C3657" t="s">
        <v>3637</v>
      </c>
      <c r="D3657" t="s">
        <v>1012</v>
      </c>
      <c r="E3657" t="s">
        <v>1013</v>
      </c>
      <c r="F3657">
        <v>1000000</v>
      </c>
      <c r="G3657">
        <v>2000</v>
      </c>
      <c r="H3657">
        <v>6.2</v>
      </c>
    </row>
    <row r="3658" spans="1:8" x14ac:dyDescent="0.25">
      <c r="A3658">
        <v>92</v>
      </c>
      <c r="B3658">
        <v>582024</v>
      </c>
      <c r="C3658" t="s">
        <v>3638</v>
      </c>
      <c r="D3658" t="s">
        <v>1</v>
      </c>
      <c r="E3658" t="s">
        <v>2</v>
      </c>
      <c r="F3658">
        <v>1000000</v>
      </c>
      <c r="G3658">
        <v>1997</v>
      </c>
      <c r="H3658">
        <v>6.2</v>
      </c>
    </row>
    <row r="3659" spans="1:8" x14ac:dyDescent="0.25">
      <c r="A3659">
        <v>97</v>
      </c>
      <c r="B3659">
        <v>464655</v>
      </c>
      <c r="C3659" t="s">
        <v>3640</v>
      </c>
      <c r="D3659" t="s">
        <v>1</v>
      </c>
      <c r="E3659" t="s">
        <v>2</v>
      </c>
      <c r="F3659">
        <v>1000000</v>
      </c>
      <c r="G3659">
        <v>1997</v>
      </c>
      <c r="H3659">
        <v>7</v>
      </c>
    </row>
    <row r="3660" spans="1:8" x14ac:dyDescent="0.25">
      <c r="A3660">
        <v>88</v>
      </c>
      <c r="B3660">
        <v>464126</v>
      </c>
      <c r="C3660" t="s">
        <v>3641</v>
      </c>
      <c r="D3660" t="s">
        <v>1</v>
      </c>
      <c r="E3660" t="s">
        <v>2</v>
      </c>
      <c r="F3660">
        <v>1000000</v>
      </c>
      <c r="G3660">
        <v>2002</v>
      </c>
      <c r="H3660">
        <v>6.7</v>
      </c>
    </row>
    <row r="3661" spans="1:8" x14ac:dyDescent="0.25">
      <c r="A3661">
        <v>88</v>
      </c>
      <c r="B3661">
        <v>104077</v>
      </c>
      <c r="C3661" t="s">
        <v>3642</v>
      </c>
      <c r="D3661" t="s">
        <v>1</v>
      </c>
      <c r="E3661" t="s">
        <v>2</v>
      </c>
      <c r="F3661">
        <v>1000000</v>
      </c>
      <c r="G3661">
        <v>2006</v>
      </c>
      <c r="H3661">
        <v>7.4</v>
      </c>
    </row>
    <row r="3662" spans="1:8" x14ac:dyDescent="0.25">
      <c r="A3662">
        <v>79</v>
      </c>
      <c r="B3662">
        <v>279282</v>
      </c>
      <c r="C3662" t="s">
        <v>3643</v>
      </c>
      <c r="D3662" t="s">
        <v>1</v>
      </c>
      <c r="E3662" t="s">
        <v>2</v>
      </c>
      <c r="F3662">
        <v>1000000</v>
      </c>
      <c r="G3662">
        <v>2003</v>
      </c>
      <c r="H3662">
        <v>6.1</v>
      </c>
    </row>
    <row r="3663" spans="1:8" x14ac:dyDescent="0.25">
      <c r="A3663">
        <v>96</v>
      </c>
      <c r="B3663">
        <v>484221</v>
      </c>
      <c r="C3663" t="s">
        <v>3644</v>
      </c>
      <c r="D3663" t="s">
        <v>3610</v>
      </c>
      <c r="E3663" t="s">
        <v>5</v>
      </c>
      <c r="F3663">
        <v>1000000</v>
      </c>
      <c r="G3663">
        <v>2012</v>
      </c>
      <c r="H3663">
        <v>8.1999999999999993</v>
      </c>
    </row>
    <row r="3664" spans="1:8" x14ac:dyDescent="0.25">
      <c r="A3664">
        <v>53</v>
      </c>
      <c r="B3664">
        <v>274661</v>
      </c>
      <c r="C3664" t="s">
        <v>3645</v>
      </c>
      <c r="D3664" t="s">
        <v>1</v>
      </c>
      <c r="E3664" t="s">
        <v>2</v>
      </c>
      <c r="F3664">
        <v>1000000</v>
      </c>
      <c r="G3664">
        <v>2007</v>
      </c>
      <c r="H3664">
        <v>7.7</v>
      </c>
    </row>
    <row r="3665" spans="1:8" x14ac:dyDescent="0.25">
      <c r="A3665">
        <v>97</v>
      </c>
      <c r="B3665">
        <v>144431</v>
      </c>
      <c r="C3665" t="s">
        <v>3646</v>
      </c>
      <c r="D3665" t="s">
        <v>1</v>
      </c>
      <c r="E3665" t="s">
        <v>5</v>
      </c>
      <c r="F3665">
        <v>1000000</v>
      </c>
      <c r="G3665">
        <v>2006</v>
      </c>
      <c r="H3665">
        <v>7.3</v>
      </c>
    </row>
    <row r="3666" spans="1:8" x14ac:dyDescent="0.25">
      <c r="A3666">
        <v>91</v>
      </c>
      <c r="B3666">
        <v>287761</v>
      </c>
      <c r="C3666" t="s">
        <v>3647</v>
      </c>
      <c r="D3666" t="s">
        <v>1</v>
      </c>
      <c r="E3666" t="s">
        <v>23</v>
      </c>
      <c r="F3666">
        <v>1000000</v>
      </c>
      <c r="G3666">
        <v>2013</v>
      </c>
      <c r="H3666">
        <v>7.6</v>
      </c>
    </row>
    <row r="3667" spans="1:8" x14ac:dyDescent="0.25">
      <c r="A3667">
        <v>112</v>
      </c>
      <c r="B3667">
        <v>96734</v>
      </c>
      <c r="C3667" t="s">
        <v>3648</v>
      </c>
      <c r="D3667" t="s">
        <v>1</v>
      </c>
      <c r="E3667" t="s">
        <v>2</v>
      </c>
      <c r="F3667">
        <v>1000000</v>
      </c>
      <c r="G3667">
        <v>2012</v>
      </c>
      <c r="H3667">
        <v>5.6</v>
      </c>
    </row>
    <row r="3668" spans="1:8" x14ac:dyDescent="0.25">
      <c r="A3668">
        <v>88</v>
      </c>
      <c r="B3668">
        <v>21210</v>
      </c>
      <c r="C3668" t="s">
        <v>3651</v>
      </c>
      <c r="D3668" t="s">
        <v>1</v>
      </c>
      <c r="E3668" t="s">
        <v>2</v>
      </c>
      <c r="F3668">
        <v>1000000</v>
      </c>
      <c r="G3668">
        <v>1998</v>
      </c>
      <c r="H3668">
        <v>6.1</v>
      </c>
    </row>
    <row r="3669" spans="1:8" x14ac:dyDescent="0.25">
      <c r="A3669">
        <v>82</v>
      </c>
      <c r="B3669">
        <v>12996</v>
      </c>
      <c r="C3669" t="s">
        <v>3652</v>
      </c>
      <c r="D3669" t="s">
        <v>1</v>
      </c>
      <c r="E3669" t="s">
        <v>2</v>
      </c>
      <c r="F3669">
        <v>1000000</v>
      </c>
      <c r="G3669">
        <v>2000</v>
      </c>
      <c r="H3669">
        <v>6</v>
      </c>
    </row>
    <row r="3670" spans="1:8" x14ac:dyDescent="0.25">
      <c r="A3670">
        <v>78</v>
      </c>
      <c r="B3670">
        <v>10018</v>
      </c>
      <c r="C3670" t="s">
        <v>3653</v>
      </c>
      <c r="D3670" t="s">
        <v>1</v>
      </c>
      <c r="E3670" t="s">
        <v>2</v>
      </c>
      <c r="F3670">
        <v>1000000</v>
      </c>
      <c r="G3670">
        <v>2006</v>
      </c>
      <c r="H3670">
        <v>6.1</v>
      </c>
    </row>
    <row r="3671" spans="1:8" x14ac:dyDescent="0.25">
      <c r="A3671">
        <v>97</v>
      </c>
      <c r="B3671">
        <v>62480</v>
      </c>
      <c r="C3671" t="s">
        <v>3654</v>
      </c>
      <c r="D3671" t="s">
        <v>1</v>
      </c>
      <c r="E3671" t="s">
        <v>2</v>
      </c>
      <c r="F3671">
        <v>1000000</v>
      </c>
      <c r="G3671">
        <v>2015</v>
      </c>
      <c r="H3671">
        <v>5.5</v>
      </c>
    </row>
    <row r="3672" spans="1:8" x14ac:dyDescent="0.25">
      <c r="A3672">
        <v>81</v>
      </c>
      <c r="B3672">
        <v>6387</v>
      </c>
      <c r="C3672" t="s">
        <v>3655</v>
      </c>
      <c r="D3672" t="s">
        <v>1</v>
      </c>
      <c r="E3672" t="s">
        <v>2</v>
      </c>
      <c r="F3672">
        <v>1000000</v>
      </c>
      <c r="G3672">
        <v>2006</v>
      </c>
      <c r="H3672">
        <v>6.9</v>
      </c>
    </row>
    <row r="3673" spans="1:8" x14ac:dyDescent="0.25">
      <c r="A3673">
        <v>88</v>
      </c>
      <c r="B3673">
        <v>721</v>
      </c>
      <c r="C3673" t="s">
        <v>3656</v>
      </c>
      <c r="D3673" t="s">
        <v>1</v>
      </c>
      <c r="E3673" t="s">
        <v>119</v>
      </c>
      <c r="F3673">
        <v>1000000</v>
      </c>
      <c r="G3673">
        <v>2006</v>
      </c>
      <c r="H3673">
        <v>4.0999999999999996</v>
      </c>
    </row>
    <row r="3674" spans="1:8" x14ac:dyDescent="0.25">
      <c r="A3674">
        <v>76</v>
      </c>
      <c r="C3674" t="s">
        <v>3658</v>
      </c>
      <c r="D3674" t="s">
        <v>1</v>
      </c>
      <c r="E3674" t="s">
        <v>2</v>
      </c>
      <c r="F3674">
        <v>1000000</v>
      </c>
      <c r="G3674">
        <v>2006</v>
      </c>
      <c r="H3674">
        <v>6.7</v>
      </c>
    </row>
    <row r="3675" spans="1:8" x14ac:dyDescent="0.25">
      <c r="A3675">
        <v>96</v>
      </c>
      <c r="C3675" t="s">
        <v>3659</v>
      </c>
      <c r="D3675" t="s">
        <v>1</v>
      </c>
      <c r="E3675" t="s">
        <v>2</v>
      </c>
      <c r="F3675">
        <v>1000000</v>
      </c>
      <c r="G3675">
        <v>2014</v>
      </c>
      <c r="H3675">
        <v>5.8</v>
      </c>
    </row>
    <row r="3676" spans="1:8" x14ac:dyDescent="0.25">
      <c r="A3676">
        <v>90</v>
      </c>
      <c r="C3676" t="s">
        <v>3660</v>
      </c>
      <c r="D3676" t="s">
        <v>1</v>
      </c>
      <c r="E3676" t="s">
        <v>2</v>
      </c>
      <c r="F3676">
        <v>1000000</v>
      </c>
      <c r="G3676">
        <v>2009</v>
      </c>
      <c r="H3676">
        <v>2.8</v>
      </c>
    </row>
    <row r="3677" spans="1:8" x14ac:dyDescent="0.25">
      <c r="A3677">
        <v>83</v>
      </c>
      <c r="C3677" t="s">
        <v>3662</v>
      </c>
      <c r="D3677" t="s">
        <v>1</v>
      </c>
      <c r="E3677" t="s">
        <v>2</v>
      </c>
      <c r="F3677">
        <v>1000000</v>
      </c>
      <c r="G3677">
        <v>2012</v>
      </c>
      <c r="H3677">
        <v>2.2000000000000002</v>
      </c>
    </row>
    <row r="3678" spans="1:8" x14ac:dyDescent="0.25">
      <c r="A3678">
        <v>90</v>
      </c>
      <c r="C3678" t="s">
        <v>3663</v>
      </c>
      <c r="D3678" t="s">
        <v>1</v>
      </c>
      <c r="E3678" t="s">
        <v>2</v>
      </c>
      <c r="F3678">
        <v>1000000</v>
      </c>
      <c r="G3678">
        <v>2011</v>
      </c>
      <c r="H3678">
        <v>5.7</v>
      </c>
    </row>
    <row r="3679" spans="1:8" x14ac:dyDescent="0.25">
      <c r="A3679">
        <v>84</v>
      </c>
      <c r="C3679" t="s">
        <v>3664</v>
      </c>
      <c r="D3679" t="s">
        <v>1</v>
      </c>
      <c r="E3679" t="s">
        <v>2</v>
      </c>
      <c r="F3679">
        <v>1000000</v>
      </c>
      <c r="G3679">
        <v>2014</v>
      </c>
      <c r="H3679">
        <v>3.8</v>
      </c>
    </row>
    <row r="3680" spans="1:8" x14ac:dyDescent="0.25">
      <c r="A3680">
        <v>96</v>
      </c>
      <c r="C3680" t="s">
        <v>3665</v>
      </c>
      <c r="D3680" t="s">
        <v>1</v>
      </c>
      <c r="E3680" t="s">
        <v>5</v>
      </c>
      <c r="F3680">
        <v>1000000</v>
      </c>
      <c r="G3680">
        <v>2012</v>
      </c>
      <c r="H3680">
        <v>5.6</v>
      </c>
    </row>
    <row r="3681" spans="1:8" x14ac:dyDescent="0.25">
      <c r="A3681">
        <v>95</v>
      </c>
      <c r="C3681" t="s">
        <v>3666</v>
      </c>
      <c r="D3681" t="s">
        <v>1</v>
      </c>
      <c r="E3681" t="s">
        <v>2</v>
      </c>
      <c r="F3681">
        <v>1000000</v>
      </c>
      <c r="G3681">
        <v>2015</v>
      </c>
      <c r="H3681">
        <v>5.2</v>
      </c>
    </row>
    <row r="3682" spans="1:8" x14ac:dyDescent="0.25">
      <c r="A3682">
        <v>93</v>
      </c>
      <c r="C3682" t="s">
        <v>3667</v>
      </c>
      <c r="D3682" t="s">
        <v>1</v>
      </c>
      <c r="E3682" t="s">
        <v>2</v>
      </c>
      <c r="F3682">
        <v>1000000</v>
      </c>
      <c r="G3682">
        <v>2013</v>
      </c>
      <c r="H3682">
        <v>3.5</v>
      </c>
    </row>
    <row r="3683" spans="1:8" x14ac:dyDescent="0.25">
      <c r="A3683">
        <v>111</v>
      </c>
      <c r="C3683" t="s">
        <v>3668</v>
      </c>
      <c r="E3683" t="s">
        <v>2</v>
      </c>
      <c r="F3683">
        <v>1000000</v>
      </c>
      <c r="G3683">
        <v>2014</v>
      </c>
      <c r="H3683">
        <v>5.3</v>
      </c>
    </row>
    <row r="3684" spans="1:8" x14ac:dyDescent="0.25">
      <c r="A3684">
        <v>120</v>
      </c>
      <c r="B3684">
        <v>3773863</v>
      </c>
      <c r="C3684" t="s">
        <v>3713</v>
      </c>
      <c r="D3684" t="s">
        <v>1</v>
      </c>
      <c r="E3684" t="s">
        <v>2</v>
      </c>
      <c r="F3684">
        <v>1000000</v>
      </c>
      <c r="G3684">
        <v>2009</v>
      </c>
      <c r="H3684">
        <v>7.1</v>
      </c>
    </row>
    <row r="3685" spans="1:8" x14ac:dyDescent="0.25">
      <c r="A3685">
        <v>111</v>
      </c>
      <c r="B3685">
        <v>94596</v>
      </c>
      <c r="C3685" t="s">
        <v>3832</v>
      </c>
      <c r="D3685" t="s">
        <v>102</v>
      </c>
      <c r="E3685" t="s">
        <v>103</v>
      </c>
      <c r="F3685">
        <v>1000000</v>
      </c>
      <c r="G3685">
        <v>1997</v>
      </c>
      <c r="H3685">
        <v>7.4</v>
      </c>
    </row>
    <row r="3686" spans="1:8" x14ac:dyDescent="0.25">
      <c r="A3686">
        <v>90</v>
      </c>
      <c r="C3686" t="s">
        <v>3670</v>
      </c>
      <c r="D3686" t="s">
        <v>1</v>
      </c>
      <c r="E3686" t="s">
        <v>2</v>
      </c>
      <c r="F3686">
        <v>989000</v>
      </c>
      <c r="G3686">
        <v>2007</v>
      </c>
      <c r="H3686">
        <v>4.8</v>
      </c>
    </row>
    <row r="3687" spans="1:8" x14ac:dyDescent="0.25">
      <c r="A3687">
        <v>120</v>
      </c>
      <c r="B3687">
        <v>3650677</v>
      </c>
      <c r="C3687" t="s">
        <v>3580</v>
      </c>
      <c r="D3687" t="s">
        <v>1</v>
      </c>
      <c r="E3687" t="s">
        <v>5</v>
      </c>
      <c r="F3687">
        <v>960000</v>
      </c>
      <c r="G3687">
        <v>1998</v>
      </c>
      <c r="H3687">
        <v>8.1999999999999993</v>
      </c>
    </row>
    <row r="3688" spans="1:8" x14ac:dyDescent="0.25">
      <c r="A3688">
        <v>145</v>
      </c>
      <c r="B3688">
        <v>117235247</v>
      </c>
      <c r="C3688" t="s">
        <v>3613</v>
      </c>
      <c r="D3688" t="s">
        <v>1</v>
      </c>
      <c r="E3688" t="s">
        <v>2</v>
      </c>
      <c r="F3688">
        <v>960000</v>
      </c>
      <c r="G3688">
        <v>1976</v>
      </c>
      <c r="H3688">
        <v>8.1</v>
      </c>
    </row>
    <row r="3689" spans="1:8" x14ac:dyDescent="0.25">
      <c r="A3689">
        <v>100</v>
      </c>
      <c r="C3689" t="s">
        <v>3669</v>
      </c>
      <c r="D3689" t="s">
        <v>1</v>
      </c>
      <c r="E3689" t="s">
        <v>2</v>
      </c>
      <c r="F3689">
        <v>950000</v>
      </c>
      <c r="G3689">
        <v>2014</v>
      </c>
      <c r="H3689">
        <v>6</v>
      </c>
    </row>
    <row r="3690" spans="1:8" x14ac:dyDescent="0.25">
      <c r="A3690">
        <v>104</v>
      </c>
      <c r="B3690">
        <v>1007962</v>
      </c>
      <c r="C3690" t="s">
        <v>3676</v>
      </c>
      <c r="D3690" t="s">
        <v>1</v>
      </c>
      <c r="E3690" t="s">
        <v>2</v>
      </c>
      <c r="F3690">
        <v>950000</v>
      </c>
      <c r="G3690">
        <v>2005</v>
      </c>
      <c r="H3690">
        <v>7.1</v>
      </c>
    </row>
    <row r="3691" spans="1:8" x14ac:dyDescent="0.25">
      <c r="A3691">
        <v>100</v>
      </c>
      <c r="B3691">
        <v>20186</v>
      </c>
      <c r="C3691" t="s">
        <v>3673</v>
      </c>
      <c r="D3691" t="s">
        <v>1</v>
      </c>
      <c r="E3691" t="s">
        <v>2</v>
      </c>
      <c r="F3691">
        <v>930000</v>
      </c>
      <c r="G3691">
        <v>2011</v>
      </c>
      <c r="H3691">
        <v>5.7</v>
      </c>
    </row>
    <row r="3692" spans="1:8" x14ac:dyDescent="0.25">
      <c r="A3692">
        <v>83</v>
      </c>
      <c r="C3692" t="s">
        <v>3671</v>
      </c>
      <c r="D3692" t="s">
        <v>1</v>
      </c>
      <c r="E3692" t="s">
        <v>2</v>
      </c>
      <c r="F3692">
        <v>913000</v>
      </c>
      <c r="G3692">
        <v>2014</v>
      </c>
      <c r="H3692">
        <v>7.1</v>
      </c>
    </row>
    <row r="3693" spans="1:8" x14ac:dyDescent="0.25">
      <c r="A3693">
        <v>108</v>
      </c>
      <c r="B3693">
        <v>9600000</v>
      </c>
      <c r="C3693" t="s">
        <v>3672</v>
      </c>
      <c r="D3693" t="s">
        <v>1</v>
      </c>
      <c r="E3693" t="s">
        <v>2</v>
      </c>
      <c r="F3693">
        <v>910000</v>
      </c>
      <c r="G3693">
        <v>1954</v>
      </c>
      <c r="H3693">
        <v>8.1999999999999993</v>
      </c>
    </row>
    <row r="3694" spans="1:8" x14ac:dyDescent="0.25">
      <c r="A3694">
        <v>109</v>
      </c>
      <c r="B3694">
        <v>9000000</v>
      </c>
      <c r="C3694" t="s">
        <v>3625</v>
      </c>
      <c r="D3694" t="s">
        <v>1</v>
      </c>
      <c r="E3694" t="s">
        <v>2</v>
      </c>
      <c r="F3694">
        <v>900000</v>
      </c>
      <c r="G3694">
        <v>1970</v>
      </c>
      <c r="H3694">
        <v>6.2</v>
      </c>
    </row>
    <row r="3695" spans="1:8" x14ac:dyDescent="0.25">
      <c r="A3695">
        <v>95</v>
      </c>
      <c r="B3695">
        <v>100659</v>
      </c>
      <c r="C3695" t="s">
        <v>3649</v>
      </c>
      <c r="D3695" t="s">
        <v>1</v>
      </c>
      <c r="E3695" t="s">
        <v>2</v>
      </c>
      <c r="F3695">
        <v>900000</v>
      </c>
      <c r="G3695">
        <v>2009</v>
      </c>
      <c r="H3695">
        <v>6.4</v>
      </c>
    </row>
    <row r="3696" spans="1:8" x14ac:dyDescent="0.25">
      <c r="A3696">
        <v>91</v>
      </c>
      <c r="B3696">
        <v>381186</v>
      </c>
      <c r="C3696" t="s">
        <v>3677</v>
      </c>
      <c r="D3696" t="s">
        <v>1</v>
      </c>
      <c r="E3696" t="s">
        <v>2</v>
      </c>
      <c r="F3696">
        <v>900000</v>
      </c>
      <c r="G3696">
        <v>2005</v>
      </c>
      <c r="H3696">
        <v>6.4</v>
      </c>
    </row>
    <row r="3697" spans="1:8" x14ac:dyDescent="0.25">
      <c r="A3697">
        <v>85</v>
      </c>
      <c r="B3697">
        <v>16097842</v>
      </c>
      <c r="C3697" t="s">
        <v>3679</v>
      </c>
      <c r="D3697" t="s">
        <v>1</v>
      </c>
      <c r="E3697" t="s">
        <v>2</v>
      </c>
      <c r="F3697">
        <v>900000</v>
      </c>
      <c r="G3697">
        <v>2013</v>
      </c>
      <c r="H3697">
        <v>7.5</v>
      </c>
    </row>
    <row r="3698" spans="1:8" x14ac:dyDescent="0.25">
      <c r="A3698">
        <v>101</v>
      </c>
      <c r="B3698">
        <v>6643</v>
      </c>
      <c r="C3698" t="s">
        <v>3680</v>
      </c>
      <c r="D3698" t="s">
        <v>1</v>
      </c>
      <c r="E3698" t="s">
        <v>2</v>
      </c>
      <c r="F3698">
        <v>900000</v>
      </c>
      <c r="G3698">
        <v>2012</v>
      </c>
      <c r="H3698">
        <v>6.4</v>
      </c>
    </row>
    <row r="3699" spans="1:8" x14ac:dyDescent="0.25">
      <c r="A3699">
        <v>99</v>
      </c>
      <c r="B3699">
        <v>18378</v>
      </c>
      <c r="C3699" t="s">
        <v>3697</v>
      </c>
      <c r="D3699" t="s">
        <v>1</v>
      </c>
      <c r="E3699" t="s">
        <v>5</v>
      </c>
      <c r="F3699">
        <v>900000</v>
      </c>
      <c r="G3699">
        <v>2008</v>
      </c>
      <c r="H3699">
        <v>5.2</v>
      </c>
    </row>
    <row r="3700" spans="1:8" x14ac:dyDescent="0.25">
      <c r="A3700">
        <v>148</v>
      </c>
      <c r="B3700">
        <v>24475416</v>
      </c>
      <c r="C3700" t="s">
        <v>3275</v>
      </c>
      <c r="D3700" t="s">
        <v>1</v>
      </c>
      <c r="E3700" t="s">
        <v>2</v>
      </c>
      <c r="F3700">
        <v>890000</v>
      </c>
      <c r="G3700">
        <v>1996</v>
      </c>
      <c r="H3700">
        <v>8</v>
      </c>
    </row>
    <row r="3701" spans="1:8" x14ac:dyDescent="0.25">
      <c r="A3701">
        <v>107</v>
      </c>
      <c r="B3701">
        <v>819939</v>
      </c>
      <c r="C3701" t="s">
        <v>3681</v>
      </c>
      <c r="D3701" t="s">
        <v>1</v>
      </c>
      <c r="E3701" t="s">
        <v>2</v>
      </c>
      <c r="F3701">
        <v>850000</v>
      </c>
      <c r="G3701">
        <v>2003</v>
      </c>
      <c r="H3701">
        <v>7.2</v>
      </c>
    </row>
    <row r="3702" spans="1:8" x14ac:dyDescent="0.25">
      <c r="A3702">
        <v>88</v>
      </c>
      <c r="B3702">
        <v>1243961</v>
      </c>
      <c r="C3702" t="s">
        <v>3682</v>
      </c>
      <c r="D3702" t="s">
        <v>1</v>
      </c>
      <c r="E3702" t="s">
        <v>2</v>
      </c>
      <c r="F3702">
        <v>850000</v>
      </c>
      <c r="G3702">
        <v>2012</v>
      </c>
      <c r="H3702">
        <v>6</v>
      </c>
    </row>
    <row r="3703" spans="1:8" x14ac:dyDescent="0.25">
      <c r="A3703">
        <v>95</v>
      </c>
      <c r="B3703">
        <v>15278</v>
      </c>
      <c r="C3703" t="s">
        <v>3683</v>
      </c>
      <c r="D3703" t="s">
        <v>1</v>
      </c>
      <c r="E3703" t="s">
        <v>2</v>
      </c>
      <c r="F3703">
        <v>825000</v>
      </c>
      <c r="G3703">
        <v>2002</v>
      </c>
      <c r="H3703">
        <v>5.6</v>
      </c>
    </row>
    <row r="3704" spans="1:8" x14ac:dyDescent="0.25">
      <c r="A3704">
        <v>108</v>
      </c>
      <c r="B3704">
        <v>32000000</v>
      </c>
      <c r="C3704" t="s">
        <v>2092</v>
      </c>
      <c r="D3704" t="s">
        <v>1</v>
      </c>
      <c r="E3704" t="s">
        <v>2</v>
      </c>
      <c r="F3704">
        <v>806947</v>
      </c>
      <c r="G3704">
        <v>1960</v>
      </c>
      <c r="H3704">
        <v>8.5</v>
      </c>
    </row>
    <row r="3705" spans="1:8" x14ac:dyDescent="0.25">
      <c r="A3705">
        <v>88</v>
      </c>
      <c r="B3705">
        <v>4771000</v>
      </c>
      <c r="C3705" t="s">
        <v>3685</v>
      </c>
      <c r="D3705" t="s">
        <v>1</v>
      </c>
      <c r="E3705" t="s">
        <v>2</v>
      </c>
      <c r="F3705">
        <v>800000</v>
      </c>
      <c r="G3705">
        <v>1995</v>
      </c>
      <c r="H3705">
        <v>7.5</v>
      </c>
    </row>
    <row r="3706" spans="1:8" x14ac:dyDescent="0.25">
      <c r="A3706">
        <v>114</v>
      </c>
      <c r="B3706">
        <v>1001437</v>
      </c>
      <c r="C3706" t="s">
        <v>3686</v>
      </c>
      <c r="D3706" t="s">
        <v>1</v>
      </c>
      <c r="E3706" t="s">
        <v>2</v>
      </c>
      <c r="F3706">
        <v>800000</v>
      </c>
      <c r="G3706">
        <v>1993</v>
      </c>
      <c r="H3706">
        <v>7.2</v>
      </c>
    </row>
    <row r="3707" spans="1:8" x14ac:dyDescent="0.25">
      <c r="A3707">
        <v>88</v>
      </c>
      <c r="B3707">
        <v>2073984</v>
      </c>
      <c r="C3707" t="s">
        <v>3687</v>
      </c>
      <c r="D3707" t="s">
        <v>1</v>
      </c>
      <c r="E3707" t="s">
        <v>244</v>
      </c>
      <c r="F3707">
        <v>800000</v>
      </c>
      <c r="G3707">
        <v>2002</v>
      </c>
      <c r="H3707">
        <v>7.2</v>
      </c>
    </row>
    <row r="3708" spans="1:8" x14ac:dyDescent="0.25">
      <c r="A3708">
        <v>104</v>
      </c>
      <c r="B3708">
        <v>144583</v>
      </c>
      <c r="C3708" t="s">
        <v>3688</v>
      </c>
      <c r="D3708" t="s">
        <v>1</v>
      </c>
      <c r="E3708" t="s">
        <v>244</v>
      </c>
      <c r="F3708">
        <v>800000</v>
      </c>
      <c r="G3708">
        <v>1999</v>
      </c>
      <c r="H3708">
        <v>6.5</v>
      </c>
    </row>
    <row r="3709" spans="1:8" x14ac:dyDescent="0.25">
      <c r="A3709">
        <v>91</v>
      </c>
      <c r="B3709">
        <v>41709</v>
      </c>
      <c r="C3709" t="s">
        <v>3690</v>
      </c>
      <c r="D3709" t="s">
        <v>3195</v>
      </c>
      <c r="E3709" t="s">
        <v>2380</v>
      </c>
      <c r="F3709">
        <v>800000</v>
      </c>
      <c r="G3709">
        <v>2009</v>
      </c>
      <c r="H3709">
        <v>6.4</v>
      </c>
    </row>
    <row r="3710" spans="1:8" x14ac:dyDescent="0.25">
      <c r="A3710">
        <v>112</v>
      </c>
      <c r="B3710">
        <v>115000000</v>
      </c>
      <c r="C3710" t="s">
        <v>3691</v>
      </c>
      <c r="D3710" t="s">
        <v>1</v>
      </c>
      <c r="E3710" t="s">
        <v>2</v>
      </c>
      <c r="F3710">
        <v>777000</v>
      </c>
      <c r="G3710">
        <v>1973</v>
      </c>
      <c r="H3710">
        <v>7.5</v>
      </c>
    </row>
    <row r="3711" spans="1:8" x14ac:dyDescent="0.25">
      <c r="A3711">
        <v>86</v>
      </c>
      <c r="B3711">
        <v>5518918</v>
      </c>
      <c r="C3711" t="s">
        <v>3692</v>
      </c>
      <c r="D3711" t="s">
        <v>1</v>
      </c>
      <c r="E3711" t="s">
        <v>2</v>
      </c>
      <c r="F3711">
        <v>750000</v>
      </c>
      <c r="G3711">
        <v>2007</v>
      </c>
      <c r="H3711">
        <v>6.9</v>
      </c>
    </row>
    <row r="3712" spans="1:8" x14ac:dyDescent="0.25">
      <c r="A3712">
        <v>86</v>
      </c>
      <c r="B3712">
        <v>4007792</v>
      </c>
      <c r="C3712" t="s">
        <v>3693</v>
      </c>
      <c r="D3712" t="s">
        <v>1</v>
      </c>
      <c r="E3712" t="s">
        <v>2</v>
      </c>
      <c r="F3712">
        <v>750000</v>
      </c>
      <c r="G3712">
        <v>2012</v>
      </c>
      <c r="H3712">
        <v>7</v>
      </c>
    </row>
    <row r="3713" spans="1:8" x14ac:dyDescent="0.25">
      <c r="A3713">
        <v>101</v>
      </c>
      <c r="B3713">
        <v>77501</v>
      </c>
      <c r="C3713" t="s">
        <v>3695</v>
      </c>
      <c r="D3713" t="s">
        <v>1</v>
      </c>
      <c r="E3713" t="s">
        <v>2</v>
      </c>
      <c r="F3713">
        <v>750000</v>
      </c>
      <c r="G3713">
        <v>2011</v>
      </c>
      <c r="H3713">
        <v>5.5</v>
      </c>
    </row>
    <row r="3714" spans="1:8" x14ac:dyDescent="0.25">
      <c r="A3714">
        <v>88</v>
      </c>
      <c r="B3714">
        <v>47329</v>
      </c>
      <c r="C3714" t="s">
        <v>3696</v>
      </c>
      <c r="D3714" t="s">
        <v>1</v>
      </c>
      <c r="E3714" t="s">
        <v>2</v>
      </c>
      <c r="F3714">
        <v>750000</v>
      </c>
      <c r="G3714">
        <v>2002</v>
      </c>
      <c r="H3714">
        <v>6.6</v>
      </c>
    </row>
    <row r="3715" spans="1:8" x14ac:dyDescent="0.25">
      <c r="A3715">
        <v>170</v>
      </c>
      <c r="B3715">
        <v>7830611</v>
      </c>
      <c r="C3715" t="s">
        <v>3698</v>
      </c>
      <c r="D3715" t="s">
        <v>1</v>
      </c>
      <c r="E3715" t="s">
        <v>2</v>
      </c>
      <c r="F3715">
        <v>700000</v>
      </c>
      <c r="G3715">
        <v>1994</v>
      </c>
      <c r="H3715">
        <v>8.3000000000000007</v>
      </c>
    </row>
    <row r="3716" spans="1:8" x14ac:dyDescent="0.25">
      <c r="A3716">
        <v>97</v>
      </c>
      <c r="B3716">
        <v>1141829</v>
      </c>
      <c r="C3716" t="s">
        <v>3699</v>
      </c>
      <c r="D3716" t="s">
        <v>1</v>
      </c>
      <c r="E3716" t="s">
        <v>2</v>
      </c>
      <c r="F3716">
        <v>700000</v>
      </c>
      <c r="G3716">
        <v>2001</v>
      </c>
      <c r="H3716">
        <v>7.2</v>
      </c>
    </row>
    <row r="3717" spans="1:8" x14ac:dyDescent="0.25">
      <c r="A3717">
        <v>106</v>
      </c>
      <c r="B3717">
        <v>2694973</v>
      </c>
      <c r="C3717" t="s">
        <v>3700</v>
      </c>
      <c r="D3717" t="s">
        <v>1</v>
      </c>
      <c r="E3717" t="s">
        <v>2</v>
      </c>
      <c r="F3717">
        <v>700000</v>
      </c>
      <c r="G3717">
        <v>2006</v>
      </c>
      <c r="H3717">
        <v>7.2</v>
      </c>
    </row>
    <row r="3718" spans="1:8" x14ac:dyDescent="0.25">
      <c r="A3718">
        <v>90</v>
      </c>
      <c r="B3718">
        <v>6013</v>
      </c>
      <c r="C3718" t="s">
        <v>3605</v>
      </c>
      <c r="D3718" t="s">
        <v>1</v>
      </c>
      <c r="E3718" t="s">
        <v>5</v>
      </c>
      <c r="F3718">
        <v>695393</v>
      </c>
      <c r="G3718">
        <v>2004</v>
      </c>
      <c r="H3718">
        <v>7.7</v>
      </c>
    </row>
    <row r="3719" spans="1:8" x14ac:dyDescent="0.25">
      <c r="A3719">
        <v>98</v>
      </c>
      <c r="B3719">
        <v>18469</v>
      </c>
      <c r="C3719" t="s">
        <v>3348</v>
      </c>
      <c r="D3719" t="s">
        <v>1</v>
      </c>
      <c r="E3719" t="s">
        <v>2</v>
      </c>
      <c r="F3719">
        <v>650000</v>
      </c>
      <c r="G3719">
        <v>2010</v>
      </c>
      <c r="H3719">
        <v>6.5</v>
      </c>
    </row>
    <row r="3720" spans="1:8" x14ac:dyDescent="0.25">
      <c r="A3720">
        <v>81</v>
      </c>
      <c r="B3720">
        <v>3000000</v>
      </c>
      <c r="C3720" t="s">
        <v>3701</v>
      </c>
      <c r="D3720" t="s">
        <v>1</v>
      </c>
      <c r="E3720" t="s">
        <v>2</v>
      </c>
      <c r="F3720">
        <v>609000</v>
      </c>
      <c r="G3720">
        <v>1935</v>
      </c>
      <c r="H3720">
        <v>7.8</v>
      </c>
    </row>
    <row r="3721" spans="1:8" x14ac:dyDescent="0.25">
      <c r="A3721">
        <v>93</v>
      </c>
      <c r="B3721">
        <v>35688</v>
      </c>
      <c r="C3721" t="s">
        <v>3689</v>
      </c>
      <c r="D3721" t="s">
        <v>1</v>
      </c>
      <c r="E3721" t="s">
        <v>2</v>
      </c>
      <c r="F3721">
        <v>600000</v>
      </c>
      <c r="G3721">
        <v>2014</v>
      </c>
      <c r="H3721">
        <v>5.0999999999999996</v>
      </c>
    </row>
    <row r="3722" spans="1:8" x14ac:dyDescent="0.25">
      <c r="A3722">
        <v>215</v>
      </c>
      <c r="B3722">
        <v>13300000</v>
      </c>
      <c r="C3722" t="s">
        <v>3703</v>
      </c>
      <c r="D3722" t="s">
        <v>1</v>
      </c>
      <c r="E3722" t="s">
        <v>2</v>
      </c>
      <c r="F3722">
        <v>600000</v>
      </c>
      <c r="G3722">
        <v>1970</v>
      </c>
      <c r="H3722">
        <v>8.1</v>
      </c>
    </row>
    <row r="3723" spans="1:8" x14ac:dyDescent="0.25">
      <c r="A3723">
        <v>106</v>
      </c>
      <c r="B3723">
        <v>171988</v>
      </c>
      <c r="C3723" t="s">
        <v>3704</v>
      </c>
      <c r="D3723" t="s">
        <v>1</v>
      </c>
      <c r="E3723" t="s">
        <v>2</v>
      </c>
      <c r="F3723">
        <v>600000</v>
      </c>
      <c r="G3723">
        <v>2000</v>
      </c>
      <c r="H3723">
        <v>5.6</v>
      </c>
    </row>
    <row r="3724" spans="1:8" x14ac:dyDescent="0.25">
      <c r="A3724">
        <v>90</v>
      </c>
      <c r="B3724">
        <v>13493</v>
      </c>
      <c r="C3724" t="s">
        <v>3705</v>
      </c>
      <c r="D3724" t="s">
        <v>1</v>
      </c>
      <c r="E3724" t="s">
        <v>2</v>
      </c>
      <c r="F3724">
        <v>600000</v>
      </c>
      <c r="G3724">
        <v>1998</v>
      </c>
      <c r="H3724">
        <v>6.6</v>
      </c>
    </row>
    <row r="3725" spans="1:8" x14ac:dyDescent="0.25">
      <c r="A3725">
        <v>98</v>
      </c>
      <c r="C3725" t="s">
        <v>3706</v>
      </c>
      <c r="D3725" t="s">
        <v>1</v>
      </c>
      <c r="E3725" t="s">
        <v>2</v>
      </c>
      <c r="F3725">
        <v>600000</v>
      </c>
      <c r="G3725">
        <v>2013</v>
      </c>
      <c r="H3725">
        <v>4.5</v>
      </c>
    </row>
    <row r="3726" spans="1:8" x14ac:dyDescent="0.25">
      <c r="A3726">
        <v>113</v>
      </c>
      <c r="B3726">
        <v>1185783</v>
      </c>
      <c r="C3726" t="s">
        <v>3674</v>
      </c>
      <c r="D3726" t="s">
        <v>3675</v>
      </c>
      <c r="E3726" t="s">
        <v>1655</v>
      </c>
      <c r="F3726">
        <v>590000</v>
      </c>
      <c r="G3726">
        <v>2007</v>
      </c>
      <c r="H3726">
        <v>7.9</v>
      </c>
    </row>
    <row r="3727" spans="1:8" x14ac:dyDescent="0.25">
      <c r="A3727">
        <v>87</v>
      </c>
      <c r="B3727">
        <v>515005</v>
      </c>
      <c r="C3727" t="s">
        <v>3707</v>
      </c>
      <c r="D3727" t="s">
        <v>1</v>
      </c>
      <c r="E3727" t="s">
        <v>5</v>
      </c>
      <c r="F3727">
        <v>560000</v>
      </c>
      <c r="G3727">
        <v>1964</v>
      </c>
      <c r="H3727">
        <v>7.7</v>
      </c>
    </row>
    <row r="3728" spans="1:8" x14ac:dyDescent="0.25">
      <c r="A3728">
        <v>112</v>
      </c>
      <c r="B3728">
        <v>32645</v>
      </c>
      <c r="C3728" t="s">
        <v>1229</v>
      </c>
      <c r="D3728" t="s">
        <v>1</v>
      </c>
      <c r="E3728" t="s">
        <v>2</v>
      </c>
      <c r="F3728">
        <v>500000</v>
      </c>
      <c r="G3728">
        <v>1973</v>
      </c>
      <c r="H3728">
        <v>7.4</v>
      </c>
    </row>
    <row r="3729" spans="1:8" x14ac:dyDescent="0.25">
      <c r="A3729">
        <v>93</v>
      </c>
      <c r="B3729">
        <v>145540</v>
      </c>
      <c r="C3729" t="s">
        <v>3542</v>
      </c>
      <c r="D3729" t="s">
        <v>1</v>
      </c>
      <c r="E3729" t="s">
        <v>2</v>
      </c>
      <c r="F3729">
        <v>500000</v>
      </c>
      <c r="G3729">
        <v>2002</v>
      </c>
      <c r="H3729">
        <v>6.7</v>
      </c>
    </row>
    <row r="3730" spans="1:8" x14ac:dyDescent="0.25">
      <c r="A3730">
        <v>93</v>
      </c>
      <c r="B3730">
        <v>48430</v>
      </c>
      <c r="C3730" t="s">
        <v>3650</v>
      </c>
      <c r="D3730" t="s">
        <v>1</v>
      </c>
      <c r="E3730" t="s">
        <v>2</v>
      </c>
      <c r="F3730">
        <v>500000</v>
      </c>
      <c r="G3730">
        <v>2010</v>
      </c>
      <c r="H3730">
        <v>6.8</v>
      </c>
    </row>
    <row r="3731" spans="1:8" x14ac:dyDescent="0.25">
      <c r="A3731">
        <v>89</v>
      </c>
      <c r="C3731" t="s">
        <v>3661</v>
      </c>
      <c r="D3731" t="s">
        <v>1</v>
      </c>
      <c r="E3731" t="s">
        <v>2</v>
      </c>
      <c r="F3731">
        <v>500000</v>
      </c>
      <c r="G3731">
        <v>2009</v>
      </c>
      <c r="H3731">
        <v>5.0999999999999996</v>
      </c>
    </row>
    <row r="3732" spans="1:8" x14ac:dyDescent="0.25">
      <c r="A3732">
        <v>123</v>
      </c>
      <c r="B3732">
        <v>7098492</v>
      </c>
      <c r="C3732" t="s">
        <v>3684</v>
      </c>
      <c r="D3732" t="s">
        <v>3678</v>
      </c>
      <c r="E3732" t="s">
        <v>2556</v>
      </c>
      <c r="F3732">
        <v>500000</v>
      </c>
      <c r="G3732">
        <v>2011</v>
      </c>
      <c r="H3732">
        <v>8.4</v>
      </c>
    </row>
    <row r="3733" spans="1:8" x14ac:dyDescent="0.25">
      <c r="A3733">
        <v>95</v>
      </c>
      <c r="B3733">
        <v>26297</v>
      </c>
      <c r="C3733" t="s">
        <v>3694</v>
      </c>
      <c r="D3733" t="s">
        <v>1</v>
      </c>
      <c r="E3733" t="s">
        <v>5</v>
      </c>
      <c r="F3733">
        <v>500000</v>
      </c>
      <c r="G3733">
        <v>2011</v>
      </c>
      <c r="H3733">
        <v>6.3</v>
      </c>
    </row>
    <row r="3734" spans="1:8" x14ac:dyDescent="0.25">
      <c r="A3734">
        <v>122</v>
      </c>
      <c r="B3734">
        <v>33451479</v>
      </c>
      <c r="C3734" t="s">
        <v>3708</v>
      </c>
      <c r="D3734" t="s">
        <v>1</v>
      </c>
      <c r="E3734" t="s">
        <v>2</v>
      </c>
      <c r="F3734">
        <v>500000</v>
      </c>
      <c r="G3734">
        <v>2008</v>
      </c>
      <c r="H3734">
        <v>6.5</v>
      </c>
    </row>
    <row r="3735" spans="1:8" x14ac:dyDescent="0.25">
      <c r="A3735">
        <v>86</v>
      </c>
      <c r="B3735">
        <v>39552600</v>
      </c>
      <c r="C3735" t="s">
        <v>3709</v>
      </c>
      <c r="D3735" t="s">
        <v>1</v>
      </c>
      <c r="E3735" t="s">
        <v>2</v>
      </c>
      <c r="F3735">
        <v>500000</v>
      </c>
      <c r="G3735">
        <v>1974</v>
      </c>
      <c r="H3735">
        <v>6.1</v>
      </c>
    </row>
    <row r="3736" spans="1:8" x14ac:dyDescent="0.25">
      <c r="A3736">
        <v>79</v>
      </c>
      <c r="B3736">
        <v>30500882</v>
      </c>
      <c r="C3736" t="s">
        <v>3710</v>
      </c>
      <c r="D3736" t="s">
        <v>1</v>
      </c>
      <c r="E3736" t="s">
        <v>2</v>
      </c>
      <c r="F3736">
        <v>500000</v>
      </c>
      <c r="G3736">
        <v>2003</v>
      </c>
      <c r="H3736">
        <v>5.7</v>
      </c>
    </row>
    <row r="3737" spans="1:8" x14ac:dyDescent="0.25">
      <c r="A3737">
        <v>97</v>
      </c>
      <c r="B3737">
        <v>17000000</v>
      </c>
      <c r="C3737" t="s">
        <v>3711</v>
      </c>
      <c r="D3737" t="s">
        <v>1</v>
      </c>
      <c r="E3737" t="s">
        <v>2</v>
      </c>
      <c r="F3737">
        <v>500000</v>
      </c>
      <c r="G3737">
        <v>1977</v>
      </c>
      <c r="H3737">
        <v>5.9</v>
      </c>
    </row>
    <row r="3738" spans="1:8" x14ac:dyDescent="0.25">
      <c r="A3738">
        <v>89</v>
      </c>
      <c r="B3738">
        <v>5739376</v>
      </c>
      <c r="C3738" t="s">
        <v>3712</v>
      </c>
      <c r="D3738" t="s">
        <v>1</v>
      </c>
      <c r="E3738" t="s">
        <v>2</v>
      </c>
      <c r="F3738">
        <v>500000</v>
      </c>
      <c r="G3738">
        <v>2003</v>
      </c>
      <c r="H3738">
        <v>7.7</v>
      </c>
    </row>
    <row r="3739" spans="1:8" x14ac:dyDescent="0.25">
      <c r="A3739">
        <v>108</v>
      </c>
      <c r="B3739">
        <v>2047570</v>
      </c>
      <c r="C3739" t="s">
        <v>3714</v>
      </c>
      <c r="D3739" t="s">
        <v>1</v>
      </c>
      <c r="E3739" t="s">
        <v>2</v>
      </c>
      <c r="F3739">
        <v>500000</v>
      </c>
      <c r="G3739">
        <v>1999</v>
      </c>
      <c r="H3739">
        <v>7.6</v>
      </c>
    </row>
    <row r="3740" spans="1:8" x14ac:dyDescent="0.25">
      <c r="A3740">
        <v>93</v>
      </c>
      <c r="B3740">
        <v>906666</v>
      </c>
      <c r="C3740" t="s">
        <v>3717</v>
      </c>
      <c r="D3740" t="s">
        <v>1</v>
      </c>
      <c r="E3740" t="s">
        <v>2</v>
      </c>
      <c r="F3740">
        <v>500000</v>
      </c>
      <c r="G3740">
        <v>2011</v>
      </c>
      <c r="H3740">
        <v>6.8</v>
      </c>
    </row>
    <row r="3741" spans="1:8" x14ac:dyDescent="0.25">
      <c r="A3741">
        <v>86</v>
      </c>
      <c r="B3741">
        <v>1114943</v>
      </c>
      <c r="C3741" t="s">
        <v>3718</v>
      </c>
      <c r="D3741" t="s">
        <v>1</v>
      </c>
      <c r="E3741" t="s">
        <v>2</v>
      </c>
      <c r="F3741">
        <v>500000</v>
      </c>
      <c r="G3741">
        <v>2000</v>
      </c>
      <c r="H3741">
        <v>6.5</v>
      </c>
    </row>
    <row r="3742" spans="1:8" x14ac:dyDescent="0.25">
      <c r="A3742">
        <v>111</v>
      </c>
      <c r="B3742">
        <v>985341</v>
      </c>
      <c r="C3742" t="s">
        <v>3719</v>
      </c>
      <c r="D3742" t="s">
        <v>1</v>
      </c>
      <c r="E3742" t="s">
        <v>2</v>
      </c>
      <c r="F3742">
        <v>500000</v>
      </c>
      <c r="G3742">
        <v>1999</v>
      </c>
      <c r="H3742">
        <v>7.3</v>
      </c>
    </row>
    <row r="3743" spans="1:8" x14ac:dyDescent="0.25">
      <c r="A3743">
        <v>90</v>
      </c>
      <c r="B3743">
        <v>603943</v>
      </c>
      <c r="C3743" t="s">
        <v>3720</v>
      </c>
      <c r="D3743" t="s">
        <v>1</v>
      </c>
      <c r="E3743" t="s">
        <v>2</v>
      </c>
      <c r="F3743">
        <v>500000</v>
      </c>
      <c r="G3743">
        <v>2004</v>
      </c>
      <c r="H3743">
        <v>7.3</v>
      </c>
    </row>
    <row r="3744" spans="1:8" x14ac:dyDescent="0.25">
      <c r="A3744">
        <v>86</v>
      </c>
      <c r="B3744">
        <v>334041</v>
      </c>
      <c r="C3744" t="s">
        <v>3721</v>
      </c>
      <c r="D3744" t="s">
        <v>1</v>
      </c>
      <c r="E3744" t="s">
        <v>2</v>
      </c>
      <c r="F3744">
        <v>500000</v>
      </c>
      <c r="G3744">
        <v>1997</v>
      </c>
      <c r="H3744">
        <v>6.5</v>
      </c>
    </row>
    <row r="3745" spans="1:8" x14ac:dyDescent="0.25">
      <c r="A3745">
        <v>98</v>
      </c>
      <c r="B3745">
        <v>295468</v>
      </c>
      <c r="C3745" t="s">
        <v>3722</v>
      </c>
      <c r="D3745" t="s">
        <v>1</v>
      </c>
      <c r="E3745" t="s">
        <v>2</v>
      </c>
      <c r="F3745">
        <v>500000</v>
      </c>
      <c r="G3745">
        <v>2001</v>
      </c>
      <c r="H3745">
        <v>6</v>
      </c>
    </row>
    <row r="3746" spans="1:8" x14ac:dyDescent="0.25">
      <c r="A3746">
        <v>91</v>
      </c>
      <c r="B3746">
        <v>243347</v>
      </c>
      <c r="C3746" t="s">
        <v>3723</v>
      </c>
      <c r="D3746" t="s">
        <v>1</v>
      </c>
      <c r="E3746" t="s">
        <v>2</v>
      </c>
      <c r="F3746">
        <v>500000</v>
      </c>
      <c r="G3746">
        <v>2002</v>
      </c>
      <c r="H3746">
        <v>5.3</v>
      </c>
    </row>
    <row r="3747" spans="1:8" x14ac:dyDescent="0.25">
      <c r="A3747">
        <v>91</v>
      </c>
      <c r="B3747">
        <v>154077</v>
      </c>
      <c r="C3747" t="s">
        <v>3724</v>
      </c>
      <c r="D3747" t="s">
        <v>1</v>
      </c>
      <c r="E3747" t="s">
        <v>2</v>
      </c>
      <c r="F3747">
        <v>500000</v>
      </c>
      <c r="G3747">
        <v>2005</v>
      </c>
      <c r="H3747">
        <v>6.6</v>
      </c>
    </row>
    <row r="3748" spans="1:8" x14ac:dyDescent="0.25">
      <c r="A3748">
        <v>84</v>
      </c>
      <c r="B3748">
        <v>52850</v>
      </c>
      <c r="C3748" t="s">
        <v>3726</v>
      </c>
      <c r="D3748" t="s">
        <v>1</v>
      </c>
      <c r="E3748" t="s">
        <v>2</v>
      </c>
      <c r="F3748">
        <v>500000</v>
      </c>
      <c r="G3748">
        <v>2007</v>
      </c>
      <c r="H3748">
        <v>6.2</v>
      </c>
    </row>
    <row r="3749" spans="1:8" x14ac:dyDescent="0.25">
      <c r="A3749">
        <v>82</v>
      </c>
      <c r="B3749">
        <v>98017</v>
      </c>
      <c r="C3749" t="s">
        <v>3727</v>
      </c>
      <c r="D3749" t="s">
        <v>1</v>
      </c>
      <c r="E3749" t="s">
        <v>244</v>
      </c>
      <c r="F3749">
        <v>500000</v>
      </c>
      <c r="G3749">
        <v>2010</v>
      </c>
      <c r="H3749">
        <v>5.8</v>
      </c>
    </row>
    <row r="3750" spans="1:8" x14ac:dyDescent="0.25">
      <c r="A3750">
        <v>100</v>
      </c>
      <c r="B3750">
        <v>31937</v>
      </c>
      <c r="C3750" t="s">
        <v>3728</v>
      </c>
      <c r="D3750" t="s">
        <v>1</v>
      </c>
      <c r="E3750" t="s">
        <v>2</v>
      </c>
      <c r="F3750">
        <v>500000</v>
      </c>
      <c r="G3750">
        <v>2007</v>
      </c>
      <c r="H3750">
        <v>5.7</v>
      </c>
    </row>
    <row r="3751" spans="1:8" x14ac:dyDescent="0.25">
      <c r="A3751">
        <v>112</v>
      </c>
      <c r="B3751">
        <v>13134</v>
      </c>
      <c r="C3751" t="s">
        <v>3729</v>
      </c>
      <c r="D3751" t="s">
        <v>1</v>
      </c>
      <c r="E3751" t="s">
        <v>2</v>
      </c>
      <c r="F3751">
        <v>500000</v>
      </c>
      <c r="G3751">
        <v>2002</v>
      </c>
      <c r="H3751">
        <v>6.1</v>
      </c>
    </row>
    <row r="3752" spans="1:8" x14ac:dyDescent="0.25">
      <c r="A3752">
        <v>94</v>
      </c>
      <c r="B3752">
        <v>237301</v>
      </c>
      <c r="C3752" t="s">
        <v>3730</v>
      </c>
      <c r="D3752" t="s">
        <v>1</v>
      </c>
      <c r="E3752" t="s">
        <v>5</v>
      </c>
      <c r="F3752">
        <v>500000</v>
      </c>
      <c r="G3752">
        <v>2010</v>
      </c>
      <c r="H3752">
        <v>6.4</v>
      </c>
    </row>
    <row r="3753" spans="1:8" x14ac:dyDescent="0.25">
      <c r="A3753">
        <v>87</v>
      </c>
      <c r="B3753">
        <v>1332</v>
      </c>
      <c r="C3753" t="s">
        <v>3731</v>
      </c>
      <c r="D3753" t="s">
        <v>1</v>
      </c>
      <c r="E3753" t="s">
        <v>2</v>
      </c>
      <c r="F3753">
        <v>500000</v>
      </c>
      <c r="G3753">
        <v>2012</v>
      </c>
      <c r="H3753">
        <v>4.5999999999999996</v>
      </c>
    </row>
    <row r="3754" spans="1:8" x14ac:dyDescent="0.25">
      <c r="A3754">
        <v>104</v>
      </c>
      <c r="C3754" t="s">
        <v>3732</v>
      </c>
      <c r="D3754" t="s">
        <v>1</v>
      </c>
      <c r="E3754" t="s">
        <v>2</v>
      </c>
      <c r="F3754">
        <v>500000</v>
      </c>
      <c r="G3754">
        <v>2012</v>
      </c>
      <c r="H3754">
        <v>3.5</v>
      </c>
    </row>
    <row r="3755" spans="1:8" x14ac:dyDescent="0.25">
      <c r="A3755">
        <v>97</v>
      </c>
      <c r="C3755" t="s">
        <v>3734</v>
      </c>
      <c r="D3755" t="s">
        <v>1</v>
      </c>
      <c r="E3755" t="s">
        <v>2</v>
      </c>
      <c r="F3755">
        <v>500000</v>
      </c>
      <c r="G3755">
        <v>2016</v>
      </c>
      <c r="H3755">
        <v>7.4</v>
      </c>
    </row>
    <row r="3756" spans="1:8" x14ac:dyDescent="0.25">
      <c r="A3756">
        <v>103</v>
      </c>
      <c r="B3756">
        <v>23000</v>
      </c>
      <c r="C3756" t="s">
        <v>3738</v>
      </c>
      <c r="D3756" t="s">
        <v>1</v>
      </c>
      <c r="E3756" t="s">
        <v>2</v>
      </c>
      <c r="F3756">
        <v>500000</v>
      </c>
      <c r="G3756">
        <v>2006</v>
      </c>
      <c r="H3756">
        <v>6.2</v>
      </c>
    </row>
    <row r="3757" spans="1:8" x14ac:dyDescent="0.25">
      <c r="A3757">
        <v>97</v>
      </c>
      <c r="B3757">
        <v>15180000</v>
      </c>
      <c r="C3757" t="s">
        <v>3795</v>
      </c>
      <c r="D3757" t="s">
        <v>1</v>
      </c>
      <c r="E3757" t="s">
        <v>2</v>
      </c>
      <c r="F3757">
        <v>500000</v>
      </c>
      <c r="G3757">
        <v>1971</v>
      </c>
      <c r="H3757">
        <v>5.5</v>
      </c>
    </row>
    <row r="3758" spans="1:8" x14ac:dyDescent="0.25">
      <c r="A3758">
        <v>91</v>
      </c>
      <c r="B3758">
        <v>2712293</v>
      </c>
      <c r="C3758" t="s">
        <v>3735</v>
      </c>
      <c r="D3758" t="s">
        <v>1</v>
      </c>
      <c r="E3758" t="s">
        <v>2</v>
      </c>
      <c r="F3758">
        <v>450000</v>
      </c>
      <c r="G3758">
        <v>1991</v>
      </c>
      <c r="H3758">
        <v>5.9</v>
      </c>
    </row>
    <row r="3759" spans="1:8" x14ac:dyDescent="0.25">
      <c r="A3759">
        <v>84</v>
      </c>
      <c r="B3759">
        <v>379122</v>
      </c>
      <c r="C3759" t="s">
        <v>3737</v>
      </c>
      <c r="D3759" t="s">
        <v>1</v>
      </c>
      <c r="E3759" t="s">
        <v>5</v>
      </c>
      <c r="F3759">
        <v>450000</v>
      </c>
      <c r="G3759">
        <v>2005</v>
      </c>
      <c r="H3759">
        <v>7.1</v>
      </c>
    </row>
    <row r="3760" spans="1:8" x14ac:dyDescent="0.25">
      <c r="A3760">
        <v>84</v>
      </c>
      <c r="B3760">
        <v>34151</v>
      </c>
      <c r="C3760" t="s">
        <v>3754</v>
      </c>
      <c r="D3760" t="s">
        <v>2206</v>
      </c>
      <c r="E3760" t="s">
        <v>3505</v>
      </c>
      <c r="F3760">
        <v>450000</v>
      </c>
      <c r="G3760">
        <v>2015</v>
      </c>
      <c r="H3760">
        <v>7.2</v>
      </c>
    </row>
    <row r="3761" spans="1:8" x14ac:dyDescent="0.25">
      <c r="A3761">
        <v>89</v>
      </c>
      <c r="B3761">
        <v>2300000</v>
      </c>
      <c r="C3761" t="s">
        <v>3739</v>
      </c>
      <c r="D3761" t="s">
        <v>1</v>
      </c>
      <c r="E3761" t="s">
        <v>2</v>
      </c>
      <c r="F3761">
        <v>439000</v>
      </c>
      <c r="G3761">
        <v>1933</v>
      </c>
      <c r="H3761">
        <v>7.7</v>
      </c>
    </row>
    <row r="3762" spans="1:8" x14ac:dyDescent="0.25">
      <c r="A3762">
        <v>80</v>
      </c>
      <c r="B3762">
        <v>2833383</v>
      </c>
      <c r="C3762" t="s">
        <v>3589</v>
      </c>
      <c r="D3762" t="s">
        <v>1</v>
      </c>
      <c r="E3762" t="s">
        <v>2</v>
      </c>
      <c r="F3762">
        <v>427000</v>
      </c>
      <c r="G3762">
        <v>2012</v>
      </c>
      <c r="H3762">
        <v>5.7</v>
      </c>
    </row>
    <row r="3763" spans="1:8" x14ac:dyDescent="0.25">
      <c r="A3763">
        <v>92</v>
      </c>
      <c r="B3763">
        <v>44540956</v>
      </c>
      <c r="C3763" t="s">
        <v>3742</v>
      </c>
      <c r="D3763" t="s">
        <v>1</v>
      </c>
      <c r="E3763" t="s">
        <v>2</v>
      </c>
      <c r="F3763">
        <v>400000</v>
      </c>
      <c r="G3763">
        <v>2004</v>
      </c>
      <c r="H3763">
        <v>6.9</v>
      </c>
    </row>
    <row r="3764" spans="1:8" x14ac:dyDescent="0.25">
      <c r="A3764">
        <v>90</v>
      </c>
      <c r="B3764">
        <v>1689999</v>
      </c>
      <c r="C3764" t="s">
        <v>3746</v>
      </c>
      <c r="D3764" t="s">
        <v>475</v>
      </c>
      <c r="E3764" t="s">
        <v>2</v>
      </c>
      <c r="F3764">
        <v>400000</v>
      </c>
      <c r="G3764">
        <v>2006</v>
      </c>
      <c r="H3764">
        <v>7.1</v>
      </c>
    </row>
    <row r="3765" spans="1:8" x14ac:dyDescent="0.25">
      <c r="A3765">
        <v>92</v>
      </c>
      <c r="B3765">
        <v>425899</v>
      </c>
      <c r="C3765" t="s">
        <v>3749</v>
      </c>
      <c r="D3765" t="s">
        <v>1</v>
      </c>
      <c r="E3765" t="s">
        <v>2</v>
      </c>
      <c r="F3765">
        <v>400000</v>
      </c>
      <c r="G3765">
        <v>2010</v>
      </c>
      <c r="H3765">
        <v>5.0999999999999996</v>
      </c>
    </row>
    <row r="3766" spans="1:8" x14ac:dyDescent="0.25">
      <c r="A3766">
        <v>82</v>
      </c>
      <c r="B3766">
        <v>126387</v>
      </c>
      <c r="C3766" t="s">
        <v>3750</v>
      </c>
      <c r="D3766" t="s">
        <v>1850</v>
      </c>
      <c r="E3766" t="s">
        <v>1307</v>
      </c>
      <c r="F3766">
        <v>400000</v>
      </c>
      <c r="G3766">
        <v>1981</v>
      </c>
      <c r="H3766">
        <v>6.9</v>
      </c>
    </row>
    <row r="3767" spans="1:8" x14ac:dyDescent="0.25">
      <c r="A3767">
        <v>100</v>
      </c>
      <c r="B3767">
        <v>2808000</v>
      </c>
      <c r="C3767" t="s">
        <v>3752</v>
      </c>
      <c r="D3767" t="s">
        <v>1</v>
      </c>
      <c r="E3767" t="s">
        <v>2</v>
      </c>
      <c r="F3767">
        <v>379000</v>
      </c>
      <c r="G3767">
        <v>1929</v>
      </c>
      <c r="H3767">
        <v>6.3</v>
      </c>
    </row>
    <row r="3768" spans="1:8" x14ac:dyDescent="0.25">
      <c r="A3768">
        <v>90</v>
      </c>
      <c r="B3768">
        <v>489220</v>
      </c>
      <c r="C3768" t="s">
        <v>3773</v>
      </c>
      <c r="D3768" t="s">
        <v>1</v>
      </c>
      <c r="E3768" t="s">
        <v>38</v>
      </c>
      <c r="F3768">
        <v>365000</v>
      </c>
      <c r="G3768">
        <v>1997</v>
      </c>
      <c r="H3768">
        <v>7.3</v>
      </c>
    </row>
    <row r="3769" spans="1:8" x14ac:dyDescent="0.25">
      <c r="A3769">
        <v>90</v>
      </c>
      <c r="B3769">
        <v>4000000</v>
      </c>
      <c r="C3769" t="s">
        <v>3756</v>
      </c>
      <c r="D3769" t="s">
        <v>1</v>
      </c>
      <c r="E3769" t="s">
        <v>2</v>
      </c>
      <c r="F3769">
        <v>350000</v>
      </c>
      <c r="G3769">
        <v>1987</v>
      </c>
      <c r="H3769">
        <v>4.7</v>
      </c>
    </row>
    <row r="3770" spans="1:8" x14ac:dyDescent="0.25">
      <c r="A3770">
        <v>102</v>
      </c>
      <c r="B3770">
        <v>1281176</v>
      </c>
      <c r="C3770" t="s">
        <v>3757</v>
      </c>
      <c r="D3770" t="s">
        <v>1</v>
      </c>
      <c r="E3770" t="s">
        <v>2</v>
      </c>
      <c r="F3770">
        <v>312000</v>
      </c>
      <c r="G3770">
        <v>1999</v>
      </c>
      <c r="H3770">
        <v>6.7</v>
      </c>
    </row>
    <row r="3771" spans="1:8" x14ac:dyDescent="0.25">
      <c r="A3771">
        <v>101</v>
      </c>
      <c r="B3771">
        <v>47000000</v>
      </c>
      <c r="C3771" t="s">
        <v>2296</v>
      </c>
      <c r="D3771" t="s">
        <v>1</v>
      </c>
      <c r="E3771" t="s">
        <v>2</v>
      </c>
      <c r="F3771">
        <v>300000</v>
      </c>
      <c r="G3771">
        <v>1978</v>
      </c>
      <c r="H3771">
        <v>7.9</v>
      </c>
    </row>
    <row r="3772" spans="1:8" x14ac:dyDescent="0.25">
      <c r="A3772">
        <v>101</v>
      </c>
      <c r="B3772">
        <v>47000000</v>
      </c>
      <c r="C3772" t="s">
        <v>2296</v>
      </c>
      <c r="D3772" t="s">
        <v>1</v>
      </c>
      <c r="E3772" t="s">
        <v>2</v>
      </c>
      <c r="F3772">
        <v>300000</v>
      </c>
      <c r="G3772">
        <v>1978</v>
      </c>
      <c r="H3772">
        <v>7.9</v>
      </c>
    </row>
    <row r="3773" spans="1:8" x14ac:dyDescent="0.25">
      <c r="A3773">
        <v>101</v>
      </c>
      <c r="B3773">
        <v>47000000</v>
      </c>
      <c r="C3773" t="s">
        <v>2296</v>
      </c>
      <c r="D3773" t="s">
        <v>1</v>
      </c>
      <c r="E3773" t="s">
        <v>2</v>
      </c>
      <c r="F3773">
        <v>300000</v>
      </c>
      <c r="G3773">
        <v>1978</v>
      </c>
      <c r="H3773">
        <v>7.9</v>
      </c>
    </row>
    <row r="3774" spans="1:8" x14ac:dyDescent="0.25">
      <c r="A3774">
        <v>91</v>
      </c>
      <c r="B3774">
        <v>1652472</v>
      </c>
      <c r="C3774" t="s">
        <v>3759</v>
      </c>
      <c r="D3774" t="s">
        <v>243</v>
      </c>
      <c r="E3774" t="s">
        <v>244</v>
      </c>
      <c r="F3774">
        <v>300000</v>
      </c>
      <c r="G3774">
        <v>1996</v>
      </c>
      <c r="H3774">
        <v>6.9</v>
      </c>
    </row>
    <row r="3775" spans="1:8" x14ac:dyDescent="0.25">
      <c r="A3775">
        <v>80</v>
      </c>
      <c r="B3775">
        <v>2360184</v>
      </c>
      <c r="C3775" t="s">
        <v>3760</v>
      </c>
      <c r="D3775" t="s">
        <v>1</v>
      </c>
      <c r="E3775" t="s">
        <v>2</v>
      </c>
      <c r="F3775">
        <v>300000</v>
      </c>
      <c r="G3775">
        <v>2003</v>
      </c>
      <c r="H3775">
        <v>7.1</v>
      </c>
    </row>
    <row r="3776" spans="1:8" x14ac:dyDescent="0.25">
      <c r="A3776">
        <v>76</v>
      </c>
      <c r="B3776">
        <v>255352</v>
      </c>
      <c r="C3776" t="s">
        <v>3761</v>
      </c>
      <c r="D3776" t="s">
        <v>1</v>
      </c>
      <c r="E3776" t="s">
        <v>2</v>
      </c>
      <c r="F3776">
        <v>300000</v>
      </c>
      <c r="G3776">
        <v>2006</v>
      </c>
      <c r="H3776">
        <v>6.7</v>
      </c>
    </row>
    <row r="3777" spans="1:8" x14ac:dyDescent="0.25">
      <c r="A3777">
        <v>102</v>
      </c>
      <c r="B3777">
        <v>16892</v>
      </c>
      <c r="C3777" t="s">
        <v>3763</v>
      </c>
      <c r="D3777" t="s">
        <v>1</v>
      </c>
      <c r="E3777" t="s">
        <v>1013</v>
      </c>
      <c r="F3777">
        <v>300000</v>
      </c>
      <c r="G3777">
        <v>2001</v>
      </c>
      <c r="H3777">
        <v>7.6</v>
      </c>
    </row>
    <row r="3778" spans="1:8" x14ac:dyDescent="0.25">
      <c r="A3778">
        <v>95</v>
      </c>
      <c r="B3778">
        <v>2468</v>
      </c>
      <c r="C3778" t="s">
        <v>3765</v>
      </c>
      <c r="D3778" t="s">
        <v>1</v>
      </c>
      <c r="E3778" t="s">
        <v>2</v>
      </c>
      <c r="F3778">
        <v>300000</v>
      </c>
      <c r="G3778">
        <v>2014</v>
      </c>
      <c r="H3778">
        <v>4.8</v>
      </c>
    </row>
    <row r="3779" spans="1:8" x14ac:dyDescent="0.25">
      <c r="A3779">
        <v>90</v>
      </c>
      <c r="B3779">
        <v>318622</v>
      </c>
      <c r="C3779" t="s">
        <v>3766</v>
      </c>
      <c r="D3779" t="s">
        <v>1</v>
      </c>
      <c r="E3779" t="s">
        <v>2</v>
      </c>
      <c r="F3779">
        <v>270000</v>
      </c>
      <c r="G3779">
        <v>2012</v>
      </c>
      <c r="H3779">
        <v>6.4</v>
      </c>
    </row>
    <row r="3780" spans="1:8" x14ac:dyDescent="0.25">
      <c r="A3780">
        <v>113</v>
      </c>
      <c r="B3780">
        <v>12006514</v>
      </c>
      <c r="C3780" t="s">
        <v>3767</v>
      </c>
      <c r="D3780" t="s">
        <v>1</v>
      </c>
      <c r="E3780" t="s">
        <v>2</v>
      </c>
      <c r="F3780">
        <v>250000</v>
      </c>
      <c r="G3780">
        <v>1997</v>
      </c>
      <c r="H3780">
        <v>7.3</v>
      </c>
    </row>
    <row r="3781" spans="1:8" x14ac:dyDescent="0.25">
      <c r="A3781">
        <v>91</v>
      </c>
      <c r="B3781">
        <v>4186931</v>
      </c>
      <c r="C3781" t="s">
        <v>3768</v>
      </c>
      <c r="D3781" t="s">
        <v>1</v>
      </c>
      <c r="E3781" t="s">
        <v>2</v>
      </c>
      <c r="F3781">
        <v>250000</v>
      </c>
      <c r="G3781">
        <v>2001</v>
      </c>
      <c r="H3781">
        <v>6.9</v>
      </c>
    </row>
    <row r="3782" spans="1:8" x14ac:dyDescent="0.25">
      <c r="A3782">
        <v>98</v>
      </c>
      <c r="B3782">
        <v>3799339</v>
      </c>
      <c r="C3782" t="s">
        <v>3769</v>
      </c>
      <c r="D3782" t="s">
        <v>1</v>
      </c>
      <c r="E3782" t="s">
        <v>2</v>
      </c>
      <c r="F3782">
        <v>250000</v>
      </c>
      <c r="G3782">
        <v>2002</v>
      </c>
      <c r="H3782">
        <v>7.2</v>
      </c>
    </row>
    <row r="3783" spans="1:8" x14ac:dyDescent="0.25">
      <c r="A3783">
        <v>94</v>
      </c>
      <c r="B3783">
        <v>1977544</v>
      </c>
      <c r="C3783" t="s">
        <v>3770</v>
      </c>
      <c r="D3783" t="s">
        <v>1</v>
      </c>
      <c r="E3783" t="s">
        <v>2</v>
      </c>
      <c r="F3783">
        <v>250000</v>
      </c>
      <c r="G3783">
        <v>1995</v>
      </c>
      <c r="H3783">
        <v>6.5</v>
      </c>
    </row>
    <row r="3784" spans="1:8" x14ac:dyDescent="0.25">
      <c r="A3784">
        <v>96</v>
      </c>
      <c r="B3784">
        <v>1050600</v>
      </c>
      <c r="C3784" t="s">
        <v>3771</v>
      </c>
      <c r="D3784" t="s">
        <v>1</v>
      </c>
      <c r="E3784" t="s">
        <v>2</v>
      </c>
      <c r="F3784">
        <v>250000</v>
      </c>
      <c r="G3784">
        <v>2000</v>
      </c>
      <c r="H3784">
        <v>6.6</v>
      </c>
    </row>
    <row r="3785" spans="1:8" x14ac:dyDescent="0.25">
      <c r="A3785">
        <v>100</v>
      </c>
      <c r="B3785">
        <v>902835</v>
      </c>
      <c r="C3785" t="s">
        <v>3772</v>
      </c>
      <c r="D3785" t="s">
        <v>1</v>
      </c>
      <c r="E3785" t="s">
        <v>2</v>
      </c>
      <c r="F3785">
        <v>250000</v>
      </c>
      <c r="G3785">
        <v>2001</v>
      </c>
      <c r="H3785">
        <v>6.7</v>
      </c>
    </row>
    <row r="3786" spans="1:8" x14ac:dyDescent="0.25">
      <c r="A3786">
        <v>75</v>
      </c>
      <c r="B3786">
        <v>203134</v>
      </c>
      <c r="C3786" t="s">
        <v>3774</v>
      </c>
      <c r="D3786" t="s">
        <v>1</v>
      </c>
      <c r="E3786" t="s">
        <v>2</v>
      </c>
      <c r="F3786">
        <v>250000</v>
      </c>
      <c r="G3786">
        <v>1997</v>
      </c>
      <c r="H3786">
        <v>7</v>
      </c>
    </row>
    <row r="3787" spans="1:8" x14ac:dyDescent="0.25">
      <c r="A3787">
        <v>90</v>
      </c>
      <c r="B3787">
        <v>3388210</v>
      </c>
      <c r="C3787" t="s">
        <v>3776</v>
      </c>
      <c r="D3787" t="s">
        <v>1</v>
      </c>
      <c r="E3787" t="s">
        <v>2</v>
      </c>
      <c r="F3787">
        <v>250000</v>
      </c>
      <c r="G3787">
        <v>2011</v>
      </c>
      <c r="H3787">
        <v>6.7</v>
      </c>
    </row>
    <row r="3788" spans="1:8" x14ac:dyDescent="0.25">
      <c r="A3788">
        <v>99</v>
      </c>
      <c r="B3788">
        <v>49494</v>
      </c>
      <c r="C3788" t="s">
        <v>3777</v>
      </c>
      <c r="D3788" t="s">
        <v>1</v>
      </c>
      <c r="E3788" t="s">
        <v>2</v>
      </c>
      <c r="F3788">
        <v>250000</v>
      </c>
      <c r="G3788">
        <v>2013</v>
      </c>
      <c r="H3788">
        <v>3.9</v>
      </c>
    </row>
    <row r="3789" spans="1:8" x14ac:dyDescent="0.25">
      <c r="A3789">
        <v>81</v>
      </c>
      <c r="B3789">
        <v>18195</v>
      </c>
      <c r="C3789" t="s">
        <v>3779</v>
      </c>
      <c r="D3789" t="s">
        <v>1</v>
      </c>
      <c r="E3789" t="s">
        <v>2</v>
      </c>
      <c r="F3789">
        <v>250000</v>
      </c>
      <c r="G3789">
        <v>1997</v>
      </c>
      <c r="H3789">
        <v>6.3</v>
      </c>
    </row>
    <row r="3790" spans="1:8" x14ac:dyDescent="0.25">
      <c r="A3790">
        <v>108</v>
      </c>
      <c r="C3790" t="s">
        <v>3780</v>
      </c>
      <c r="D3790" t="s">
        <v>1</v>
      </c>
      <c r="E3790" t="s">
        <v>2</v>
      </c>
      <c r="F3790">
        <v>250000</v>
      </c>
      <c r="G3790">
        <v>2013</v>
      </c>
      <c r="H3790">
        <v>7.1</v>
      </c>
    </row>
    <row r="3791" spans="1:8" x14ac:dyDescent="0.25">
      <c r="A3791">
        <v>102</v>
      </c>
      <c r="B3791">
        <v>3151130</v>
      </c>
      <c r="C3791" t="s">
        <v>3824</v>
      </c>
      <c r="D3791" t="s">
        <v>1</v>
      </c>
      <c r="E3791" t="s">
        <v>2</v>
      </c>
      <c r="F3791">
        <v>230000</v>
      </c>
      <c r="G3791">
        <v>1994</v>
      </c>
      <c r="H3791">
        <v>7.8</v>
      </c>
    </row>
    <row r="3792" spans="1:8" x14ac:dyDescent="0.25">
      <c r="A3792">
        <v>91</v>
      </c>
      <c r="B3792">
        <v>1229197</v>
      </c>
      <c r="C3792" t="s">
        <v>3745</v>
      </c>
      <c r="D3792" t="s">
        <v>1</v>
      </c>
      <c r="E3792" t="s">
        <v>5</v>
      </c>
      <c r="F3792">
        <v>229575</v>
      </c>
      <c r="G3792">
        <v>1975</v>
      </c>
      <c r="H3792">
        <v>8.3000000000000007</v>
      </c>
    </row>
    <row r="3793" spans="1:8" x14ac:dyDescent="0.25">
      <c r="A3793">
        <v>98</v>
      </c>
      <c r="B3793">
        <v>2938208</v>
      </c>
      <c r="C3793" t="s">
        <v>3740</v>
      </c>
      <c r="D3793" t="s">
        <v>1</v>
      </c>
      <c r="E3793" t="s">
        <v>2</v>
      </c>
      <c r="F3793">
        <v>225000</v>
      </c>
      <c r="G3793">
        <v>1990</v>
      </c>
      <c r="H3793">
        <v>7.5</v>
      </c>
    </row>
    <row r="3794" spans="1:8" x14ac:dyDescent="0.25">
      <c r="A3794">
        <v>86</v>
      </c>
      <c r="B3794">
        <v>111300</v>
      </c>
      <c r="C3794" t="s">
        <v>3781</v>
      </c>
      <c r="D3794" t="s">
        <v>1</v>
      </c>
      <c r="E3794" t="s">
        <v>2</v>
      </c>
      <c r="F3794">
        <v>225000</v>
      </c>
      <c r="G3794">
        <v>2012</v>
      </c>
      <c r="H3794">
        <v>7.5</v>
      </c>
    </row>
    <row r="3795" spans="1:8" x14ac:dyDescent="0.25">
      <c r="A3795">
        <v>106</v>
      </c>
      <c r="B3795">
        <v>1027119</v>
      </c>
      <c r="C3795" t="s">
        <v>3782</v>
      </c>
      <c r="D3795" t="s">
        <v>1</v>
      </c>
      <c r="E3795" t="s">
        <v>2</v>
      </c>
      <c r="F3795">
        <v>225000</v>
      </c>
      <c r="G3795">
        <v>2000</v>
      </c>
      <c r="H3795">
        <v>7</v>
      </c>
    </row>
    <row r="3796" spans="1:8" x14ac:dyDescent="0.25">
      <c r="A3796">
        <v>80</v>
      </c>
      <c r="B3796">
        <v>5000000</v>
      </c>
      <c r="C3796" t="s">
        <v>3783</v>
      </c>
      <c r="D3796" t="s">
        <v>1</v>
      </c>
      <c r="E3796" t="s">
        <v>2</v>
      </c>
      <c r="F3796">
        <v>210000</v>
      </c>
      <c r="G3796">
        <v>1953</v>
      </c>
      <c r="H3796">
        <v>6.7</v>
      </c>
    </row>
    <row r="3797" spans="1:8" x14ac:dyDescent="0.25">
      <c r="A3797">
        <v>80</v>
      </c>
      <c r="B3797">
        <v>856942</v>
      </c>
      <c r="C3797" t="s">
        <v>3762</v>
      </c>
      <c r="D3797" t="s">
        <v>1</v>
      </c>
      <c r="E3797" t="s">
        <v>2</v>
      </c>
      <c r="F3797">
        <v>200000</v>
      </c>
      <c r="G3797">
        <v>2008</v>
      </c>
      <c r="H3797">
        <v>7.1</v>
      </c>
    </row>
    <row r="3798" spans="1:8" x14ac:dyDescent="0.25">
      <c r="A3798">
        <v>109</v>
      </c>
      <c r="B3798">
        <v>5199</v>
      </c>
      <c r="C3798" t="s">
        <v>3764</v>
      </c>
      <c r="D3798" t="s">
        <v>1</v>
      </c>
      <c r="E3798" t="s">
        <v>2</v>
      </c>
      <c r="F3798">
        <v>200000</v>
      </c>
      <c r="G3798">
        <v>2004</v>
      </c>
      <c r="H3798">
        <v>6.6</v>
      </c>
    </row>
    <row r="3799" spans="1:8" x14ac:dyDescent="0.25">
      <c r="A3799">
        <v>96</v>
      </c>
      <c r="B3799">
        <v>4505922</v>
      </c>
      <c r="C3799" t="s">
        <v>3784</v>
      </c>
      <c r="D3799" t="s">
        <v>1</v>
      </c>
      <c r="E3799" t="s">
        <v>2</v>
      </c>
      <c r="F3799">
        <v>200000</v>
      </c>
      <c r="G3799">
        <v>1996</v>
      </c>
      <c r="H3799">
        <v>7.4</v>
      </c>
    </row>
    <row r="3800" spans="1:8" x14ac:dyDescent="0.25">
      <c r="A3800">
        <v>99</v>
      </c>
      <c r="B3800">
        <v>3500000</v>
      </c>
      <c r="C3800" t="s">
        <v>3785</v>
      </c>
      <c r="D3800" t="s">
        <v>1850</v>
      </c>
      <c r="E3800" t="s">
        <v>1307</v>
      </c>
      <c r="F3800">
        <v>200000</v>
      </c>
      <c r="G3800">
        <v>1964</v>
      </c>
      <c r="H3800">
        <v>8</v>
      </c>
    </row>
    <row r="3801" spans="1:8" x14ac:dyDescent="0.25">
      <c r="A3801">
        <v>85</v>
      </c>
      <c r="B3801">
        <v>381225</v>
      </c>
      <c r="C3801" t="s">
        <v>3786</v>
      </c>
      <c r="D3801" t="s">
        <v>1</v>
      </c>
      <c r="E3801" t="s">
        <v>2</v>
      </c>
      <c r="F3801">
        <v>200000</v>
      </c>
      <c r="G3801">
        <v>2004</v>
      </c>
      <c r="H3801">
        <v>7.2</v>
      </c>
    </row>
    <row r="3802" spans="1:8" x14ac:dyDescent="0.25">
      <c r="A3802">
        <v>97</v>
      </c>
      <c r="B3802">
        <v>78030</v>
      </c>
      <c r="C3802" t="s">
        <v>3787</v>
      </c>
      <c r="D3802" t="s">
        <v>1</v>
      </c>
      <c r="E3802" t="s">
        <v>2</v>
      </c>
      <c r="F3802">
        <v>200000</v>
      </c>
      <c r="G3802">
        <v>2012</v>
      </c>
      <c r="H3802">
        <v>6.5</v>
      </c>
    </row>
    <row r="3803" spans="1:8" x14ac:dyDescent="0.25">
      <c r="A3803">
        <v>106</v>
      </c>
      <c r="B3803">
        <v>1111</v>
      </c>
      <c r="C3803" t="s">
        <v>3789</v>
      </c>
      <c r="D3803" t="s">
        <v>1</v>
      </c>
      <c r="E3803" t="s">
        <v>2</v>
      </c>
      <c r="F3803">
        <v>200000</v>
      </c>
      <c r="G3803">
        <v>2006</v>
      </c>
      <c r="H3803">
        <v>7.7</v>
      </c>
    </row>
    <row r="3804" spans="1:8" x14ac:dyDescent="0.25">
      <c r="A3804">
        <v>94</v>
      </c>
      <c r="C3804" t="s">
        <v>3790</v>
      </c>
      <c r="D3804" t="s">
        <v>1</v>
      </c>
      <c r="E3804" t="s">
        <v>2</v>
      </c>
      <c r="F3804">
        <v>200000</v>
      </c>
      <c r="G3804">
        <v>2012</v>
      </c>
      <c r="H3804">
        <v>8.1</v>
      </c>
    </row>
    <row r="3805" spans="1:8" x14ac:dyDescent="0.25">
      <c r="A3805">
        <v>88</v>
      </c>
      <c r="B3805">
        <v>59379</v>
      </c>
      <c r="C3805" t="s">
        <v>3805</v>
      </c>
      <c r="D3805" t="s">
        <v>1</v>
      </c>
      <c r="E3805" t="s">
        <v>2</v>
      </c>
      <c r="F3805">
        <v>200000</v>
      </c>
      <c r="G3805">
        <v>2013</v>
      </c>
      <c r="H3805">
        <v>6.8</v>
      </c>
    </row>
    <row r="3806" spans="1:8" x14ac:dyDescent="0.25">
      <c r="A3806">
        <v>89</v>
      </c>
      <c r="B3806">
        <v>925402</v>
      </c>
      <c r="C3806" t="s">
        <v>3791</v>
      </c>
      <c r="D3806" t="s">
        <v>3678</v>
      </c>
      <c r="E3806" t="s">
        <v>2556</v>
      </c>
      <c r="F3806">
        <v>180000</v>
      </c>
      <c r="G3806">
        <v>1997</v>
      </c>
      <c r="H3806">
        <v>8.5</v>
      </c>
    </row>
    <row r="3807" spans="1:8" x14ac:dyDescent="0.25">
      <c r="A3807">
        <v>85</v>
      </c>
      <c r="B3807">
        <v>9437933</v>
      </c>
      <c r="C3807" t="s">
        <v>3797</v>
      </c>
      <c r="D3807" t="s">
        <v>1</v>
      </c>
      <c r="E3807" t="s">
        <v>1489</v>
      </c>
      <c r="F3807">
        <v>180000</v>
      </c>
      <c r="G3807">
        <v>2007</v>
      </c>
      <c r="H3807">
        <v>7.9</v>
      </c>
    </row>
    <row r="3808" spans="1:8" x14ac:dyDescent="0.25">
      <c r="A3808">
        <v>88</v>
      </c>
      <c r="B3808">
        <v>7137502</v>
      </c>
      <c r="C3808" t="s">
        <v>3793</v>
      </c>
      <c r="D3808" t="s">
        <v>1</v>
      </c>
      <c r="E3808" t="s">
        <v>2</v>
      </c>
      <c r="F3808">
        <v>175000</v>
      </c>
      <c r="G3808">
        <v>1986</v>
      </c>
      <c r="H3808">
        <v>6.5</v>
      </c>
    </row>
    <row r="3809" spans="1:8" x14ac:dyDescent="0.25">
      <c r="A3809">
        <v>93</v>
      </c>
      <c r="B3809">
        <v>155984</v>
      </c>
      <c r="C3809" t="s">
        <v>3798</v>
      </c>
      <c r="D3809" t="s">
        <v>1</v>
      </c>
      <c r="E3809" t="s">
        <v>2</v>
      </c>
      <c r="F3809">
        <v>160000</v>
      </c>
      <c r="G3809">
        <v>2009</v>
      </c>
      <c r="H3809">
        <v>7.4</v>
      </c>
    </row>
    <row r="3810" spans="1:8" x14ac:dyDescent="0.25">
      <c r="A3810">
        <v>91</v>
      </c>
      <c r="B3810">
        <v>6706368</v>
      </c>
      <c r="C3810" t="s">
        <v>3800</v>
      </c>
      <c r="D3810" t="s">
        <v>1</v>
      </c>
      <c r="E3810" t="s">
        <v>2</v>
      </c>
      <c r="F3810">
        <v>160000</v>
      </c>
      <c r="G3810">
        <v>1989</v>
      </c>
      <c r="H3810">
        <v>7.5</v>
      </c>
    </row>
    <row r="3811" spans="1:8" x14ac:dyDescent="0.25">
      <c r="A3811">
        <v>78</v>
      </c>
      <c r="B3811">
        <v>191309</v>
      </c>
      <c r="C3811" t="s">
        <v>3775</v>
      </c>
      <c r="D3811" t="s">
        <v>1</v>
      </c>
      <c r="E3811" t="s">
        <v>2</v>
      </c>
      <c r="F3811">
        <v>150000</v>
      </c>
      <c r="G3811">
        <v>2004</v>
      </c>
      <c r="H3811">
        <v>5.5</v>
      </c>
    </row>
    <row r="3812" spans="1:8" x14ac:dyDescent="0.25">
      <c r="A3812">
        <v>78</v>
      </c>
      <c r="B3812">
        <v>2882062</v>
      </c>
      <c r="C3812" t="s">
        <v>3796</v>
      </c>
      <c r="D3812" t="s">
        <v>1</v>
      </c>
      <c r="E3812" t="s">
        <v>2</v>
      </c>
      <c r="F3812">
        <v>150000</v>
      </c>
      <c r="G3812">
        <v>2000</v>
      </c>
      <c r="H3812">
        <v>6.3</v>
      </c>
    </row>
    <row r="3813" spans="1:8" x14ac:dyDescent="0.25">
      <c r="A3813">
        <v>80</v>
      </c>
      <c r="B3813">
        <v>5858</v>
      </c>
      <c r="C3813" t="s">
        <v>3799</v>
      </c>
      <c r="D3813" t="s">
        <v>1</v>
      </c>
      <c r="E3813" t="s">
        <v>2</v>
      </c>
      <c r="F3813">
        <v>150000</v>
      </c>
      <c r="G3813">
        <v>2014</v>
      </c>
      <c r="H3813">
        <v>7.1</v>
      </c>
    </row>
    <row r="3814" spans="1:8" x14ac:dyDescent="0.25">
      <c r="A3814">
        <v>97</v>
      </c>
      <c r="B3814">
        <v>469947</v>
      </c>
      <c r="C3814" t="s">
        <v>3792</v>
      </c>
      <c r="D3814" t="s">
        <v>1</v>
      </c>
      <c r="E3814" t="s">
        <v>5</v>
      </c>
      <c r="F3814">
        <v>120000</v>
      </c>
      <c r="G3814">
        <v>2011</v>
      </c>
      <c r="H3814">
        <v>7.7</v>
      </c>
    </row>
    <row r="3815" spans="1:8" x14ac:dyDescent="0.25">
      <c r="A3815">
        <v>96</v>
      </c>
      <c r="B3815">
        <v>11798</v>
      </c>
      <c r="C3815" t="s">
        <v>3747</v>
      </c>
      <c r="D3815" t="s">
        <v>1</v>
      </c>
      <c r="E3815" t="s">
        <v>2</v>
      </c>
      <c r="F3815">
        <v>100000</v>
      </c>
      <c r="G3815">
        <v>2003</v>
      </c>
      <c r="H3815">
        <v>4.7</v>
      </c>
    </row>
    <row r="3816" spans="1:8" x14ac:dyDescent="0.25">
      <c r="A3816">
        <v>92</v>
      </c>
      <c r="B3816">
        <v>1316074</v>
      </c>
      <c r="C3816" t="s">
        <v>3794</v>
      </c>
      <c r="D3816" t="s">
        <v>1</v>
      </c>
      <c r="E3816" t="s">
        <v>2</v>
      </c>
      <c r="F3816">
        <v>100000</v>
      </c>
      <c r="G3816">
        <v>2011</v>
      </c>
      <c r="H3816">
        <v>7</v>
      </c>
    </row>
    <row r="3817" spans="1:8" x14ac:dyDescent="0.25">
      <c r="A3817">
        <v>111</v>
      </c>
      <c r="B3817">
        <v>10174663</v>
      </c>
      <c r="C3817" t="s">
        <v>3801</v>
      </c>
      <c r="D3817" t="s">
        <v>1</v>
      </c>
      <c r="E3817" t="s">
        <v>2</v>
      </c>
      <c r="F3817">
        <v>100000</v>
      </c>
      <c r="G3817">
        <v>2006</v>
      </c>
      <c r="H3817">
        <v>6.7</v>
      </c>
    </row>
    <row r="3818" spans="1:8" x14ac:dyDescent="0.25">
      <c r="A3818">
        <v>81</v>
      </c>
      <c r="B3818">
        <v>22757819</v>
      </c>
      <c r="C3818" t="s">
        <v>3802</v>
      </c>
      <c r="D3818" t="s">
        <v>1</v>
      </c>
      <c r="E3818" t="s">
        <v>2</v>
      </c>
      <c r="F3818">
        <v>100000</v>
      </c>
      <c r="G3818">
        <v>2015</v>
      </c>
      <c r="H3818">
        <v>4.2</v>
      </c>
    </row>
    <row r="3819" spans="1:8" x14ac:dyDescent="0.25">
      <c r="A3819">
        <v>81</v>
      </c>
      <c r="B3819">
        <v>5228617</v>
      </c>
      <c r="C3819" t="s">
        <v>3803</v>
      </c>
      <c r="D3819" t="s">
        <v>1</v>
      </c>
      <c r="E3819" t="s">
        <v>2</v>
      </c>
      <c r="F3819">
        <v>100000</v>
      </c>
      <c r="G3819">
        <v>1987</v>
      </c>
      <c r="H3819">
        <v>7</v>
      </c>
    </row>
    <row r="3820" spans="1:8" x14ac:dyDescent="0.25">
      <c r="A3820">
        <v>81</v>
      </c>
      <c r="C3820" t="s">
        <v>3806</v>
      </c>
      <c r="D3820" t="s">
        <v>1</v>
      </c>
      <c r="E3820" t="s">
        <v>2</v>
      </c>
      <c r="F3820">
        <v>100000</v>
      </c>
      <c r="G3820">
        <v>2013</v>
      </c>
      <c r="H3820">
        <v>3.6</v>
      </c>
    </row>
    <row r="3821" spans="1:8" x14ac:dyDescent="0.25">
      <c r="A3821">
        <v>77</v>
      </c>
      <c r="C3821" t="s">
        <v>3807</v>
      </c>
      <c r="D3821" t="s">
        <v>1</v>
      </c>
      <c r="E3821" t="s">
        <v>2</v>
      </c>
      <c r="F3821">
        <v>100000</v>
      </c>
      <c r="G3821">
        <v>2014</v>
      </c>
      <c r="H3821">
        <v>7.6</v>
      </c>
    </row>
    <row r="3822" spans="1:8" x14ac:dyDescent="0.25">
      <c r="A3822">
        <v>88</v>
      </c>
      <c r="B3822">
        <v>30859000</v>
      </c>
      <c r="C3822" t="s">
        <v>2917</v>
      </c>
      <c r="D3822" t="s">
        <v>1</v>
      </c>
      <c r="E3822" t="s">
        <v>2</v>
      </c>
      <c r="F3822">
        <v>83532</v>
      </c>
      <c r="G3822">
        <v>1974</v>
      </c>
      <c r="H3822">
        <v>7.5</v>
      </c>
    </row>
    <row r="3823" spans="1:8" x14ac:dyDescent="0.25">
      <c r="A3823">
        <v>88</v>
      </c>
      <c r="B3823">
        <v>30859000</v>
      </c>
      <c r="C3823" t="s">
        <v>2917</v>
      </c>
      <c r="D3823" t="s">
        <v>1</v>
      </c>
      <c r="E3823" t="s">
        <v>2</v>
      </c>
      <c r="F3823">
        <v>83532</v>
      </c>
      <c r="G3823">
        <v>1974</v>
      </c>
      <c r="H3823">
        <v>7.5</v>
      </c>
    </row>
    <row r="3824" spans="1:8" x14ac:dyDescent="0.25">
      <c r="A3824">
        <v>82</v>
      </c>
      <c r="B3824">
        <v>30084</v>
      </c>
      <c r="C3824" t="s">
        <v>3812</v>
      </c>
      <c r="D3824" t="s">
        <v>1</v>
      </c>
      <c r="E3824" t="s">
        <v>2</v>
      </c>
      <c r="F3824">
        <v>70000</v>
      </c>
      <c r="G3824">
        <v>2014</v>
      </c>
      <c r="H3824">
        <v>5.6</v>
      </c>
    </row>
    <row r="3825" spans="1:8" x14ac:dyDescent="0.25">
      <c r="A3825">
        <v>87</v>
      </c>
      <c r="C3825" t="s">
        <v>3813</v>
      </c>
      <c r="D3825" t="s">
        <v>1</v>
      </c>
      <c r="E3825" t="s">
        <v>2</v>
      </c>
      <c r="F3825">
        <v>70000</v>
      </c>
      <c r="G3825">
        <v>2011</v>
      </c>
      <c r="H3825">
        <v>5.8</v>
      </c>
    </row>
    <row r="3826" spans="1:8" x14ac:dyDescent="0.25">
      <c r="A3826">
        <v>100</v>
      </c>
      <c r="B3826">
        <v>11529368</v>
      </c>
      <c r="C3826" t="s">
        <v>3810</v>
      </c>
      <c r="D3826" t="s">
        <v>1</v>
      </c>
      <c r="E3826" t="s">
        <v>2</v>
      </c>
      <c r="F3826">
        <v>65000</v>
      </c>
      <c r="G3826">
        <v>2004</v>
      </c>
      <c r="H3826">
        <v>7.3</v>
      </c>
    </row>
    <row r="3827" spans="1:8" x14ac:dyDescent="0.25">
      <c r="A3827">
        <v>98</v>
      </c>
      <c r="B3827">
        <v>389804</v>
      </c>
      <c r="C3827" t="s">
        <v>3815</v>
      </c>
      <c r="D3827" t="s">
        <v>1</v>
      </c>
      <c r="E3827" t="s">
        <v>2</v>
      </c>
      <c r="F3827">
        <v>65000</v>
      </c>
      <c r="G3827">
        <v>2010</v>
      </c>
      <c r="H3827">
        <v>6.3</v>
      </c>
    </row>
    <row r="3828" spans="1:8" x14ac:dyDescent="0.25">
      <c r="A3828">
        <v>81</v>
      </c>
      <c r="B3828">
        <v>140530114</v>
      </c>
      <c r="C3828" t="s">
        <v>3702</v>
      </c>
      <c r="D3828" t="s">
        <v>1</v>
      </c>
      <c r="E3828" t="s">
        <v>2</v>
      </c>
      <c r="F3828">
        <v>60000</v>
      </c>
      <c r="G3828">
        <v>1999</v>
      </c>
      <c r="H3828">
        <v>6.4</v>
      </c>
    </row>
    <row r="3829" spans="1:8" x14ac:dyDescent="0.25">
      <c r="A3829">
        <v>84</v>
      </c>
      <c r="B3829">
        <v>3216970</v>
      </c>
      <c r="C3829" t="s">
        <v>3808</v>
      </c>
      <c r="D3829" t="s">
        <v>1</v>
      </c>
      <c r="E3829" t="s">
        <v>2</v>
      </c>
      <c r="F3829">
        <v>60000</v>
      </c>
      <c r="G3829">
        <v>1998</v>
      </c>
      <c r="H3829">
        <v>7.5</v>
      </c>
    </row>
    <row r="3830" spans="1:8" x14ac:dyDescent="0.25">
      <c r="A3830">
        <v>87</v>
      </c>
      <c r="B3830">
        <v>536767</v>
      </c>
      <c r="C3830" t="s">
        <v>3809</v>
      </c>
      <c r="D3830" t="s">
        <v>1</v>
      </c>
      <c r="E3830" t="s">
        <v>2</v>
      </c>
      <c r="F3830">
        <v>60000</v>
      </c>
      <c r="G3830">
        <v>1998</v>
      </c>
      <c r="H3830">
        <v>5.3</v>
      </c>
    </row>
    <row r="3831" spans="1:8" x14ac:dyDescent="0.25">
      <c r="A3831">
        <v>82</v>
      </c>
      <c r="B3831">
        <v>40557</v>
      </c>
      <c r="C3831" t="s">
        <v>3811</v>
      </c>
      <c r="D3831" t="s">
        <v>1</v>
      </c>
      <c r="E3831" t="s">
        <v>2</v>
      </c>
      <c r="F3831">
        <v>60000</v>
      </c>
      <c r="G3831">
        <v>2011</v>
      </c>
      <c r="H3831">
        <v>5.6</v>
      </c>
    </row>
    <row r="3832" spans="1:8" x14ac:dyDescent="0.25">
      <c r="A3832">
        <v>111</v>
      </c>
      <c r="C3832" t="s">
        <v>3816</v>
      </c>
      <c r="D3832" t="s">
        <v>1</v>
      </c>
      <c r="E3832" t="s">
        <v>2</v>
      </c>
      <c r="F3832">
        <v>50000</v>
      </c>
      <c r="G3832">
        <v>2015</v>
      </c>
      <c r="H3832">
        <v>6</v>
      </c>
    </row>
    <row r="3833" spans="1:8" x14ac:dyDescent="0.25">
      <c r="A3833">
        <v>47</v>
      </c>
      <c r="C3833" t="s">
        <v>3817</v>
      </c>
      <c r="D3833" t="s">
        <v>1</v>
      </c>
      <c r="E3833" t="s">
        <v>2</v>
      </c>
      <c r="F3833">
        <v>50000</v>
      </c>
      <c r="G3833">
        <v>2005</v>
      </c>
      <c r="H3833">
        <v>7.3</v>
      </c>
    </row>
    <row r="3834" spans="1:8" x14ac:dyDescent="0.25">
      <c r="A3834">
        <v>92</v>
      </c>
      <c r="C3834" t="s">
        <v>3818</v>
      </c>
      <c r="D3834" t="s">
        <v>1</v>
      </c>
      <c r="E3834" t="s">
        <v>2</v>
      </c>
      <c r="F3834">
        <v>50000</v>
      </c>
      <c r="G3834">
        <v>2013</v>
      </c>
      <c r="H3834">
        <v>7.9</v>
      </c>
    </row>
    <row r="3835" spans="1:8" x14ac:dyDescent="0.25">
      <c r="A3835">
        <v>83</v>
      </c>
      <c r="B3835">
        <v>1127331</v>
      </c>
      <c r="C3835" t="s">
        <v>3715</v>
      </c>
      <c r="D3835" t="s">
        <v>2108</v>
      </c>
      <c r="E3835" t="s">
        <v>3716</v>
      </c>
      <c r="F3835">
        <v>46000</v>
      </c>
      <c r="G3835">
        <v>2003</v>
      </c>
      <c r="H3835">
        <v>7.4</v>
      </c>
    </row>
    <row r="3836" spans="1:8" x14ac:dyDescent="0.25">
      <c r="A3836">
        <v>83</v>
      </c>
      <c r="C3836" t="s">
        <v>3820</v>
      </c>
      <c r="D3836" t="s">
        <v>1</v>
      </c>
      <c r="E3836" t="s">
        <v>2</v>
      </c>
      <c r="F3836">
        <v>42000</v>
      </c>
      <c r="G3836">
        <v>2013</v>
      </c>
      <c r="H3836">
        <v>6.6</v>
      </c>
    </row>
    <row r="3837" spans="1:8" x14ac:dyDescent="0.25">
      <c r="A3837">
        <v>90</v>
      </c>
      <c r="B3837">
        <v>241816</v>
      </c>
      <c r="C3837" t="s">
        <v>3821</v>
      </c>
      <c r="D3837" t="s">
        <v>1</v>
      </c>
      <c r="E3837" t="s">
        <v>2</v>
      </c>
      <c r="F3837">
        <v>42000</v>
      </c>
      <c r="G3837">
        <v>2000</v>
      </c>
      <c r="H3837">
        <v>7.5</v>
      </c>
    </row>
    <row r="3838" spans="1:8" x14ac:dyDescent="0.25">
      <c r="A3838">
        <v>90</v>
      </c>
      <c r="B3838">
        <v>110536</v>
      </c>
      <c r="C3838" t="s">
        <v>3804</v>
      </c>
      <c r="D3838" t="s">
        <v>1</v>
      </c>
      <c r="E3838" t="s">
        <v>2</v>
      </c>
      <c r="F3838">
        <v>40000</v>
      </c>
      <c r="G3838">
        <v>2001</v>
      </c>
      <c r="H3838">
        <v>7</v>
      </c>
    </row>
    <row r="3839" spans="1:8" x14ac:dyDescent="0.25">
      <c r="A3839">
        <v>90</v>
      </c>
      <c r="B3839">
        <v>277233</v>
      </c>
      <c r="C3839" t="s">
        <v>3822</v>
      </c>
      <c r="D3839" t="s">
        <v>1</v>
      </c>
      <c r="E3839" t="s">
        <v>2</v>
      </c>
      <c r="F3839">
        <v>40000</v>
      </c>
      <c r="G3839">
        <v>1999</v>
      </c>
      <c r="H3839">
        <v>7.6</v>
      </c>
    </row>
    <row r="3840" spans="1:8" x14ac:dyDescent="0.25">
      <c r="A3840">
        <v>78</v>
      </c>
      <c r="B3840">
        <v>243768</v>
      </c>
      <c r="C3840" t="s">
        <v>3823</v>
      </c>
      <c r="D3840" t="s">
        <v>1</v>
      </c>
      <c r="E3840" t="s">
        <v>2</v>
      </c>
      <c r="F3840">
        <v>30000</v>
      </c>
      <c r="G3840">
        <v>2007</v>
      </c>
      <c r="H3840">
        <v>4.0999999999999996</v>
      </c>
    </row>
    <row r="3841" spans="1:8" x14ac:dyDescent="0.25">
      <c r="A3841">
        <v>65</v>
      </c>
      <c r="B3841">
        <v>8231</v>
      </c>
      <c r="C3841" t="s">
        <v>3825</v>
      </c>
      <c r="D3841" t="s">
        <v>1</v>
      </c>
      <c r="E3841" t="s">
        <v>2</v>
      </c>
      <c r="F3841">
        <v>27000</v>
      </c>
      <c r="G3841">
        <v>1971</v>
      </c>
      <c r="H3841">
        <v>6.7</v>
      </c>
    </row>
    <row r="3842" spans="1:8" x14ac:dyDescent="0.25">
      <c r="A3842">
        <v>98</v>
      </c>
      <c r="B3842">
        <v>10246600</v>
      </c>
      <c r="C3842" t="s">
        <v>3814</v>
      </c>
      <c r="D3842" t="s">
        <v>1</v>
      </c>
      <c r="E3842" t="s">
        <v>2</v>
      </c>
      <c r="F3842">
        <v>25000</v>
      </c>
      <c r="G3842">
        <v>1995</v>
      </c>
      <c r="H3842">
        <v>6.6</v>
      </c>
    </row>
    <row r="3843" spans="1:8" x14ac:dyDescent="0.25">
      <c r="A3843">
        <v>97</v>
      </c>
      <c r="B3843">
        <v>2856622</v>
      </c>
      <c r="C3843" t="s">
        <v>3826</v>
      </c>
      <c r="D3843" t="s">
        <v>1</v>
      </c>
      <c r="E3843" t="s">
        <v>38</v>
      </c>
      <c r="F3843">
        <v>25000</v>
      </c>
      <c r="G3843">
        <v>1997</v>
      </c>
      <c r="H3843">
        <v>7.3</v>
      </c>
    </row>
    <row r="3844" spans="1:8" x14ac:dyDescent="0.25">
      <c r="A3844">
        <v>100</v>
      </c>
      <c r="B3844">
        <v>1227508</v>
      </c>
      <c r="C3844" t="s">
        <v>3827</v>
      </c>
      <c r="D3844" t="s">
        <v>1</v>
      </c>
      <c r="E3844" t="s">
        <v>2</v>
      </c>
      <c r="F3844">
        <v>23000</v>
      </c>
      <c r="G3844">
        <v>1991</v>
      </c>
      <c r="H3844">
        <v>7.1</v>
      </c>
    </row>
    <row r="3845" spans="1:8" x14ac:dyDescent="0.25">
      <c r="A3845">
        <v>84</v>
      </c>
      <c r="B3845">
        <v>107917283</v>
      </c>
      <c r="C3845" t="s">
        <v>3744</v>
      </c>
      <c r="D3845" t="s">
        <v>1</v>
      </c>
      <c r="E3845" t="s">
        <v>2</v>
      </c>
      <c r="F3845">
        <v>15000</v>
      </c>
      <c r="G3845">
        <v>2007</v>
      </c>
      <c r="H3845">
        <v>6.3</v>
      </c>
    </row>
    <row r="3846" spans="1:8" x14ac:dyDescent="0.25">
      <c r="A3846">
        <v>88</v>
      </c>
      <c r="B3846">
        <v>76382</v>
      </c>
      <c r="C3846" t="s">
        <v>3828</v>
      </c>
      <c r="D3846" t="s">
        <v>1</v>
      </c>
      <c r="E3846" t="s">
        <v>2</v>
      </c>
      <c r="F3846">
        <v>15000</v>
      </c>
      <c r="G3846">
        <v>2009</v>
      </c>
      <c r="H3846">
        <v>6.2</v>
      </c>
    </row>
    <row r="3847" spans="1:8" x14ac:dyDescent="0.25">
      <c r="A3847">
        <v>92</v>
      </c>
      <c r="B3847">
        <v>12667</v>
      </c>
      <c r="C3847" t="s">
        <v>3517</v>
      </c>
      <c r="D3847" t="s">
        <v>1</v>
      </c>
      <c r="E3847" t="s">
        <v>5</v>
      </c>
      <c r="F3847">
        <v>14000</v>
      </c>
      <c r="G3847">
        <v>2005</v>
      </c>
      <c r="H3847">
        <v>6.6</v>
      </c>
    </row>
    <row r="3848" spans="1:8" x14ac:dyDescent="0.25">
      <c r="A3848">
        <v>108</v>
      </c>
      <c r="B3848">
        <v>180483</v>
      </c>
      <c r="C3848" t="s">
        <v>3829</v>
      </c>
      <c r="D3848" t="s">
        <v>1</v>
      </c>
      <c r="E3848" t="s">
        <v>2</v>
      </c>
      <c r="F3848">
        <v>10000</v>
      </c>
      <c r="G3848">
        <v>1972</v>
      </c>
      <c r="H3848">
        <v>6.1</v>
      </c>
    </row>
    <row r="3849" spans="1:8" x14ac:dyDescent="0.25">
      <c r="A3849">
        <v>90</v>
      </c>
      <c r="B3849">
        <v>673780</v>
      </c>
      <c r="C3849" t="s">
        <v>3831</v>
      </c>
      <c r="D3849" t="s">
        <v>3678</v>
      </c>
      <c r="E3849" t="s">
        <v>2556</v>
      </c>
      <c r="F3849">
        <v>10000</v>
      </c>
      <c r="G3849">
        <v>2000</v>
      </c>
      <c r="H3849">
        <v>7.5</v>
      </c>
    </row>
    <row r="3850" spans="1:8" x14ac:dyDescent="0.25">
      <c r="A3850">
        <v>77</v>
      </c>
      <c r="B3850">
        <v>424760</v>
      </c>
      <c r="C3850" t="s">
        <v>3833</v>
      </c>
      <c r="D3850" t="s">
        <v>1</v>
      </c>
      <c r="E3850" t="s">
        <v>2</v>
      </c>
      <c r="F3850">
        <v>7000</v>
      </c>
      <c r="G3850">
        <v>2004</v>
      </c>
      <c r="H3850">
        <v>7</v>
      </c>
    </row>
    <row r="3851" spans="1:8" x14ac:dyDescent="0.25">
      <c r="A3851">
        <v>81</v>
      </c>
      <c r="B3851">
        <v>2040920</v>
      </c>
      <c r="C3851" t="s">
        <v>3834</v>
      </c>
      <c r="D3851" t="s">
        <v>475</v>
      </c>
      <c r="E3851" t="s">
        <v>2</v>
      </c>
      <c r="F3851">
        <v>7000</v>
      </c>
      <c r="G3851">
        <v>1992</v>
      </c>
      <c r="H3851">
        <v>6.9</v>
      </c>
    </row>
    <row r="3852" spans="1:8" x14ac:dyDescent="0.25">
      <c r="A3852">
        <v>110</v>
      </c>
      <c r="B3852">
        <v>136007</v>
      </c>
      <c r="C3852" t="s">
        <v>3830</v>
      </c>
      <c r="D3852" t="s">
        <v>243</v>
      </c>
      <c r="E3852" t="s">
        <v>244</v>
      </c>
      <c r="F3852">
        <v>4500</v>
      </c>
      <c r="G3852">
        <v>2004</v>
      </c>
      <c r="H3852">
        <v>6.9</v>
      </c>
    </row>
    <row r="3853" spans="1:8" x14ac:dyDescent="0.25">
      <c r="A3853">
        <v>76</v>
      </c>
      <c r="C3853" t="s">
        <v>3835</v>
      </c>
      <c r="D3853" t="s">
        <v>1</v>
      </c>
      <c r="E3853" t="s">
        <v>2</v>
      </c>
      <c r="F3853">
        <v>1400</v>
      </c>
      <c r="G3853">
        <v>2013</v>
      </c>
      <c r="H3853">
        <v>6.3</v>
      </c>
    </row>
    <row r="3854" spans="1:8" x14ac:dyDescent="0.25">
      <c r="A3854">
        <v>90</v>
      </c>
      <c r="B3854">
        <v>85222</v>
      </c>
      <c r="C3854" t="s">
        <v>3836</v>
      </c>
      <c r="D3854" t="s">
        <v>1</v>
      </c>
      <c r="E3854" t="s">
        <v>2</v>
      </c>
      <c r="F3854">
        <v>1100</v>
      </c>
      <c r="G3854">
        <v>2004</v>
      </c>
      <c r="H3854">
        <v>6.6</v>
      </c>
    </row>
    <row r="3855" spans="1:8" x14ac:dyDescent="0.25">
      <c r="A3855">
        <v>88</v>
      </c>
      <c r="B3855">
        <v>592014</v>
      </c>
      <c r="C3855" t="s">
        <v>3748</v>
      </c>
      <c r="D3855" t="s">
        <v>1</v>
      </c>
      <c r="E3855" t="s">
        <v>2</v>
      </c>
      <c r="F3855">
        <v>218</v>
      </c>
      <c r="G3855">
        <v>2003</v>
      </c>
      <c r="H3855">
        <v>7.2</v>
      </c>
    </row>
    <row r="3856" spans="1:8" x14ac:dyDescent="0.25">
      <c r="A3856">
        <v>122</v>
      </c>
      <c r="C3856" t="s">
        <v>3733</v>
      </c>
      <c r="D3856" t="s">
        <v>1</v>
      </c>
      <c r="E3856" t="s">
        <v>2</v>
      </c>
      <c r="G3856">
        <v>2015</v>
      </c>
      <c r="H3856">
        <v>2.2000000000000002</v>
      </c>
    </row>
    <row r="3857" spans="1:8" x14ac:dyDescent="0.25">
      <c r="A3857">
        <v>92</v>
      </c>
      <c r="B3857">
        <v>45661</v>
      </c>
      <c r="C3857" t="s">
        <v>3778</v>
      </c>
      <c r="D3857" t="s">
        <v>1</v>
      </c>
      <c r="E3857" t="s">
        <v>2</v>
      </c>
      <c r="G3857">
        <v>2007</v>
      </c>
      <c r="H3857">
        <v>7.3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55733-60C4-4AC8-8DEB-AA5239FE2F0A}">
  <dimension ref="A1:K49"/>
  <sheetViews>
    <sheetView topLeftCell="A10" workbookViewId="0">
      <selection activeCell="H24" sqref="H24"/>
    </sheetView>
  </sheetViews>
  <sheetFormatPr defaultRowHeight="15" x14ac:dyDescent="0.25"/>
  <cols>
    <col min="1" max="1" width="14.42578125" bestFit="1" customWidth="1"/>
    <col min="2" max="2" width="13.140625" bestFit="1" customWidth="1"/>
    <col min="6" max="6" width="18" bestFit="1" customWidth="1"/>
    <col min="7" max="7" width="16.28515625" bestFit="1" customWidth="1"/>
    <col min="8" max="8" width="4" bestFit="1" customWidth="1"/>
    <col min="9" max="9" width="6.85546875" bestFit="1" customWidth="1"/>
    <col min="10" max="10" width="7.42578125" bestFit="1" customWidth="1"/>
    <col min="11" max="11" width="11.140625" bestFit="1" customWidth="1"/>
    <col min="12" max="12" width="9" bestFit="1" customWidth="1"/>
    <col min="13" max="13" width="11" bestFit="1" customWidth="1"/>
    <col min="14" max="14" width="9" bestFit="1" customWidth="1"/>
    <col min="15" max="15" width="11" bestFit="1" customWidth="1"/>
    <col min="16" max="16" width="9.42578125" bestFit="1" customWidth="1"/>
    <col min="17" max="17" width="14.42578125" bestFit="1" customWidth="1"/>
    <col min="18" max="18" width="10" bestFit="1" customWidth="1"/>
    <col min="19" max="19" width="8" bestFit="1" customWidth="1"/>
    <col min="20" max="20" width="11" bestFit="1" customWidth="1"/>
    <col min="21" max="21" width="9" bestFit="1" customWidth="1"/>
    <col min="22" max="22" width="11" bestFit="1" customWidth="1"/>
    <col min="23" max="23" width="9" bestFit="1" customWidth="1"/>
    <col min="24" max="24" width="10.42578125" bestFit="1" customWidth="1"/>
    <col min="25" max="25" width="11" bestFit="1" customWidth="1"/>
    <col min="26" max="26" width="9" bestFit="1" customWidth="1"/>
    <col min="27" max="27" width="10" bestFit="1" customWidth="1"/>
    <col min="28" max="28" width="9.7109375" bestFit="1" customWidth="1"/>
    <col min="29" max="30" width="9" bestFit="1" customWidth="1"/>
    <col min="31" max="31" width="8" bestFit="1" customWidth="1"/>
    <col min="32" max="32" width="10" bestFit="1" customWidth="1"/>
    <col min="33" max="33" width="11" bestFit="1" customWidth="1"/>
    <col min="34" max="34" width="9" bestFit="1" customWidth="1"/>
    <col min="35" max="35" width="12" bestFit="1" customWidth="1"/>
    <col min="36" max="36" width="12.5703125" bestFit="1" customWidth="1"/>
    <col min="37" max="38" width="9" bestFit="1" customWidth="1"/>
    <col min="39" max="39" width="8" bestFit="1" customWidth="1"/>
    <col min="40" max="41" width="9" bestFit="1" customWidth="1"/>
    <col min="42" max="42" width="11.7109375" bestFit="1" customWidth="1"/>
    <col min="43" max="43" width="12" bestFit="1" customWidth="1"/>
    <col min="44" max="44" width="10" bestFit="1" customWidth="1"/>
    <col min="45" max="46" width="9" bestFit="1" customWidth="1"/>
    <col min="47" max="47" width="10" bestFit="1" customWidth="1"/>
    <col min="48" max="49" width="12" bestFit="1" customWidth="1"/>
    <col min="50" max="50" width="14.42578125" bestFit="1" customWidth="1"/>
    <col min="51" max="51" width="12" bestFit="1" customWidth="1"/>
  </cols>
  <sheetData>
    <row r="1" spans="1:11" ht="20.25" thickBot="1" x14ac:dyDescent="0.35">
      <c r="A1" s="14" t="s">
        <v>3854</v>
      </c>
      <c r="B1" s="14"/>
      <c r="F1" s="14" t="s">
        <v>3856</v>
      </c>
      <c r="G1" s="14"/>
    </row>
    <row r="2" spans="1:11" ht="15.75" thickTop="1" x14ac:dyDescent="0.25"/>
    <row r="4" spans="1:11" x14ac:dyDescent="0.25">
      <c r="A4" s="3" t="s">
        <v>3837</v>
      </c>
      <c r="B4" t="s">
        <v>3872</v>
      </c>
      <c r="F4" s="3" t="s">
        <v>3865</v>
      </c>
      <c r="G4" s="3" t="s">
        <v>3855</v>
      </c>
    </row>
    <row r="5" spans="1:11" x14ac:dyDescent="0.25">
      <c r="A5" s="4" t="s">
        <v>2</v>
      </c>
      <c r="B5" s="1">
        <v>3056</v>
      </c>
      <c r="F5" s="3" t="s">
        <v>3837</v>
      </c>
      <c r="G5" t="s">
        <v>2</v>
      </c>
      <c r="H5" t="s">
        <v>5</v>
      </c>
      <c r="I5" t="s">
        <v>244</v>
      </c>
      <c r="J5" t="s">
        <v>38</v>
      </c>
      <c r="K5" t="s">
        <v>3838</v>
      </c>
    </row>
    <row r="6" spans="1:11" x14ac:dyDescent="0.25">
      <c r="A6" s="4" t="s">
        <v>5</v>
      </c>
      <c r="B6" s="1">
        <v>324</v>
      </c>
      <c r="F6" s="4">
        <v>1994</v>
      </c>
      <c r="G6" s="1">
        <v>9.3000000000000007</v>
      </c>
      <c r="H6" s="1">
        <v>7.3</v>
      </c>
      <c r="I6" s="1"/>
      <c r="J6" s="1">
        <v>7.2</v>
      </c>
      <c r="K6" s="1">
        <v>9.3000000000000007</v>
      </c>
    </row>
    <row r="7" spans="1:11" x14ac:dyDescent="0.25">
      <c r="A7" s="4" t="s">
        <v>244</v>
      </c>
      <c r="B7" s="1">
        <v>104</v>
      </c>
      <c r="F7" s="4">
        <v>1972</v>
      </c>
      <c r="G7" s="1">
        <v>9.1999999999999993</v>
      </c>
      <c r="H7" s="1"/>
      <c r="I7" s="1"/>
      <c r="J7" s="1"/>
      <c r="K7" s="1">
        <v>9.1999999999999993</v>
      </c>
    </row>
    <row r="8" spans="1:11" x14ac:dyDescent="0.25">
      <c r="A8" s="4" t="s">
        <v>119</v>
      </c>
      <c r="B8" s="1">
        <v>82</v>
      </c>
      <c r="F8" s="4">
        <v>1974</v>
      </c>
      <c r="G8" s="1">
        <v>9</v>
      </c>
      <c r="H8" s="1">
        <v>6.8</v>
      </c>
      <c r="I8" s="1"/>
      <c r="J8" s="1"/>
      <c r="K8" s="1">
        <v>9</v>
      </c>
    </row>
    <row r="9" spans="1:11" x14ac:dyDescent="0.25">
      <c r="A9" s="4" t="s">
        <v>38</v>
      </c>
      <c r="B9" s="1">
        <v>62</v>
      </c>
      <c r="F9" s="4">
        <v>2008</v>
      </c>
      <c r="G9" s="1">
        <v>9</v>
      </c>
      <c r="H9" s="1">
        <v>8</v>
      </c>
      <c r="I9" s="1">
        <v>7.9</v>
      </c>
      <c r="J9" s="1">
        <v>6.7</v>
      </c>
      <c r="K9" s="1">
        <v>9</v>
      </c>
    </row>
    <row r="10" spans="1:11" x14ac:dyDescent="0.25">
      <c r="A10" s="4" t="s">
        <v>55</v>
      </c>
      <c r="B10" s="1">
        <v>40</v>
      </c>
      <c r="F10" s="4">
        <v>2016</v>
      </c>
      <c r="G10" s="1">
        <v>8.1999999999999993</v>
      </c>
      <c r="H10" s="1">
        <v>7.8</v>
      </c>
      <c r="I10" s="1">
        <v>7</v>
      </c>
      <c r="J10" s="1">
        <v>4.7</v>
      </c>
      <c r="K10" s="1">
        <v>8.1999999999999993</v>
      </c>
    </row>
    <row r="11" spans="1:11" x14ac:dyDescent="0.25">
      <c r="A11" s="4" t="s">
        <v>620</v>
      </c>
      <c r="B11" s="1">
        <v>22</v>
      </c>
      <c r="F11" s="4" t="s">
        <v>3838</v>
      </c>
      <c r="G11" s="1">
        <v>9.3000000000000007</v>
      </c>
      <c r="H11" s="1">
        <v>8</v>
      </c>
      <c r="I11" s="1">
        <v>7.9</v>
      </c>
      <c r="J11" s="1">
        <v>7.2</v>
      </c>
      <c r="K11" s="1">
        <v>9.3000000000000007</v>
      </c>
    </row>
    <row r="12" spans="1:11" x14ac:dyDescent="0.25">
      <c r="A12" s="4" t="s">
        <v>103</v>
      </c>
      <c r="B12" s="1">
        <v>17</v>
      </c>
    </row>
    <row r="13" spans="1:11" x14ac:dyDescent="0.25">
      <c r="A13" s="4" t="s">
        <v>142</v>
      </c>
      <c r="B13" s="1">
        <v>15</v>
      </c>
    </row>
    <row r="14" spans="1:11" x14ac:dyDescent="0.25">
      <c r="A14" s="4" t="s">
        <v>675</v>
      </c>
      <c r="B14" s="1">
        <v>13</v>
      </c>
    </row>
    <row r="15" spans="1:11" x14ac:dyDescent="0.25">
      <c r="A15" s="4" t="s">
        <v>1307</v>
      </c>
      <c r="B15" s="1">
        <v>11</v>
      </c>
    </row>
    <row r="16" spans="1:11" x14ac:dyDescent="0.25">
      <c r="A16" s="4" t="s">
        <v>23</v>
      </c>
      <c r="B16" s="1">
        <v>11</v>
      </c>
    </row>
    <row r="17" spans="1:11" x14ac:dyDescent="0.25">
      <c r="A17" s="4" t="s">
        <v>1013</v>
      </c>
      <c r="B17" s="1">
        <v>11</v>
      </c>
    </row>
    <row r="18" spans="1:11" ht="20.25" thickBot="1" x14ac:dyDescent="0.35">
      <c r="A18" s="4" t="s">
        <v>1028</v>
      </c>
      <c r="B18" s="1">
        <v>8</v>
      </c>
      <c r="F18" s="14" t="s">
        <v>3858</v>
      </c>
      <c r="G18" s="14"/>
    </row>
    <row r="19" spans="1:11" ht="15.75" thickTop="1" x14ac:dyDescent="0.25">
      <c r="A19" s="4" t="s">
        <v>1438</v>
      </c>
      <c r="B19" s="1">
        <v>8</v>
      </c>
    </row>
    <row r="20" spans="1:11" x14ac:dyDescent="0.25">
      <c r="A20" s="4" t="s">
        <v>496</v>
      </c>
      <c r="B20" s="1">
        <v>8</v>
      </c>
    </row>
    <row r="21" spans="1:11" x14ac:dyDescent="0.25">
      <c r="A21" s="4" t="s">
        <v>1489</v>
      </c>
      <c r="B21" s="1">
        <v>7</v>
      </c>
      <c r="F21" s="3" t="s">
        <v>3857</v>
      </c>
      <c r="G21" s="3" t="s">
        <v>3855</v>
      </c>
    </row>
    <row r="22" spans="1:11" x14ac:dyDescent="0.25">
      <c r="A22" s="4" t="s">
        <v>3097</v>
      </c>
      <c r="B22" s="1">
        <v>5</v>
      </c>
      <c r="F22" s="3" t="s">
        <v>3837</v>
      </c>
      <c r="G22" t="s">
        <v>2</v>
      </c>
      <c r="H22" t="s">
        <v>5</v>
      </c>
      <c r="I22" t="s">
        <v>38</v>
      </c>
      <c r="J22" t="s">
        <v>244</v>
      </c>
      <c r="K22" t="s">
        <v>3838</v>
      </c>
    </row>
    <row r="23" spans="1:11" x14ac:dyDescent="0.25">
      <c r="A23" s="4" t="s">
        <v>2380</v>
      </c>
      <c r="B23" s="1">
        <v>4</v>
      </c>
      <c r="F23" s="4">
        <v>2008</v>
      </c>
      <c r="G23" s="1">
        <v>6142600000</v>
      </c>
      <c r="H23" s="1">
        <v>527900000</v>
      </c>
      <c r="I23" s="1">
        <v>61500000</v>
      </c>
      <c r="J23" s="1">
        <v>95000000</v>
      </c>
      <c r="K23" s="1">
        <v>6827000000</v>
      </c>
    </row>
    <row r="24" spans="1:11" x14ac:dyDescent="0.25">
      <c r="A24" s="4" t="s">
        <v>2556</v>
      </c>
      <c r="B24" s="1">
        <v>4</v>
      </c>
      <c r="F24" s="4">
        <v>2016</v>
      </c>
      <c r="G24" s="1">
        <v>3725400000</v>
      </c>
      <c r="H24" s="1">
        <v>814500000</v>
      </c>
      <c r="I24" s="1">
        <v>3500000</v>
      </c>
      <c r="J24" s="1">
        <v>17000000</v>
      </c>
      <c r="K24" s="1">
        <v>4560400000</v>
      </c>
    </row>
    <row r="25" spans="1:11" x14ac:dyDescent="0.25">
      <c r="A25" s="4" t="s">
        <v>2509</v>
      </c>
      <c r="B25" s="1">
        <v>4</v>
      </c>
      <c r="F25" s="4">
        <v>1994</v>
      </c>
      <c r="G25" s="1">
        <v>1342130000</v>
      </c>
      <c r="H25" s="1">
        <v>34500000</v>
      </c>
      <c r="I25" s="1">
        <v>55000000</v>
      </c>
      <c r="J25" s="1"/>
      <c r="K25" s="1">
        <v>1431630000</v>
      </c>
    </row>
    <row r="26" spans="1:11" x14ac:dyDescent="0.25">
      <c r="A26" s="4" t="s">
        <v>1528</v>
      </c>
      <c r="B26" s="1">
        <v>3</v>
      </c>
      <c r="F26" s="4">
        <v>1974</v>
      </c>
      <c r="G26" s="1">
        <v>19067064</v>
      </c>
      <c r="H26" s="1">
        <v>13000000</v>
      </c>
      <c r="I26" s="1"/>
      <c r="J26" s="1"/>
      <c r="K26" s="1">
        <v>32067064</v>
      </c>
    </row>
    <row r="27" spans="1:11" x14ac:dyDescent="0.25">
      <c r="A27" s="4" t="s">
        <v>1324</v>
      </c>
      <c r="B27" s="1">
        <v>3</v>
      </c>
      <c r="F27" s="4">
        <v>1972</v>
      </c>
      <c r="G27" s="1">
        <v>7010000</v>
      </c>
      <c r="H27" s="1"/>
      <c r="I27" s="1"/>
      <c r="J27" s="1"/>
      <c r="K27" s="1">
        <v>7010000</v>
      </c>
    </row>
    <row r="28" spans="1:11" x14ac:dyDescent="0.25">
      <c r="A28" s="4" t="s">
        <v>3370</v>
      </c>
      <c r="B28" s="1">
        <v>3</v>
      </c>
      <c r="F28" s="4" t="s">
        <v>3838</v>
      </c>
      <c r="G28" s="1">
        <v>11236207064</v>
      </c>
      <c r="H28" s="1">
        <v>1389900000</v>
      </c>
      <c r="I28" s="1">
        <v>120000000</v>
      </c>
      <c r="J28" s="1">
        <v>112000000</v>
      </c>
      <c r="K28" s="1">
        <v>12858107064</v>
      </c>
    </row>
    <row r="29" spans="1:11" x14ac:dyDescent="0.25">
      <c r="A29" s="4" t="s">
        <v>1655</v>
      </c>
      <c r="B29" s="1">
        <v>3</v>
      </c>
    </row>
    <row r="30" spans="1:11" x14ac:dyDescent="0.25">
      <c r="A30" s="4" t="s">
        <v>1002</v>
      </c>
      <c r="B30" s="1">
        <v>3</v>
      </c>
    </row>
    <row r="31" spans="1:11" x14ac:dyDescent="0.25">
      <c r="A31" s="4" t="s">
        <v>1985</v>
      </c>
      <c r="B31" s="1">
        <v>3</v>
      </c>
    </row>
    <row r="32" spans="1:11" x14ac:dyDescent="0.25">
      <c r="A32" s="4" t="s">
        <v>1630</v>
      </c>
      <c r="B32" s="1">
        <v>2</v>
      </c>
    </row>
    <row r="33" spans="1:2" x14ac:dyDescent="0.25">
      <c r="A33" s="4" t="s">
        <v>3505</v>
      </c>
      <c r="B33" s="1">
        <v>2</v>
      </c>
    </row>
    <row r="34" spans="1:2" x14ac:dyDescent="0.25">
      <c r="A34" s="4" t="s">
        <v>2390</v>
      </c>
      <c r="B34" s="1">
        <v>2</v>
      </c>
    </row>
    <row r="35" spans="1:2" x14ac:dyDescent="0.25">
      <c r="A35" s="4" t="s">
        <v>88</v>
      </c>
      <c r="B35" s="1">
        <v>2</v>
      </c>
    </row>
    <row r="36" spans="1:2" x14ac:dyDescent="0.25">
      <c r="A36" s="4" t="s">
        <v>2084</v>
      </c>
      <c r="B36" s="1">
        <v>2</v>
      </c>
    </row>
    <row r="37" spans="1:2" x14ac:dyDescent="0.25">
      <c r="A37" s="4" t="s">
        <v>1054</v>
      </c>
      <c r="B37" s="1">
        <v>1</v>
      </c>
    </row>
    <row r="38" spans="1:2" x14ac:dyDescent="0.25">
      <c r="A38" s="4" t="s">
        <v>1719</v>
      </c>
      <c r="B38" s="1">
        <v>1</v>
      </c>
    </row>
    <row r="39" spans="1:2" x14ac:dyDescent="0.25">
      <c r="A39" s="4" t="s">
        <v>3190</v>
      </c>
      <c r="B39" s="1">
        <v>1</v>
      </c>
    </row>
    <row r="40" spans="1:2" x14ac:dyDescent="0.25">
      <c r="A40" s="4" t="s">
        <v>1427</v>
      </c>
      <c r="B40" s="1">
        <v>1</v>
      </c>
    </row>
    <row r="41" spans="1:2" x14ac:dyDescent="0.25">
      <c r="A41" s="4" t="s">
        <v>2354</v>
      </c>
      <c r="B41" s="1">
        <v>1</v>
      </c>
    </row>
    <row r="42" spans="1:2" x14ac:dyDescent="0.25">
      <c r="A42" s="4" t="s">
        <v>2274</v>
      </c>
      <c r="B42" s="1">
        <v>1</v>
      </c>
    </row>
    <row r="43" spans="1:2" x14ac:dyDescent="0.25">
      <c r="A43" s="4" t="s">
        <v>3388</v>
      </c>
      <c r="B43" s="1">
        <v>1</v>
      </c>
    </row>
    <row r="44" spans="1:2" x14ac:dyDescent="0.25">
      <c r="A44" s="4" t="s">
        <v>1865</v>
      </c>
      <c r="B44" s="1">
        <v>1</v>
      </c>
    </row>
    <row r="45" spans="1:2" x14ac:dyDescent="0.25">
      <c r="A45" s="4" t="s">
        <v>2566</v>
      </c>
      <c r="B45" s="1">
        <v>1</v>
      </c>
    </row>
    <row r="46" spans="1:2" x14ac:dyDescent="0.25">
      <c r="A46" s="4" t="s">
        <v>2727</v>
      </c>
      <c r="B46" s="1">
        <v>1</v>
      </c>
    </row>
    <row r="47" spans="1:2" x14ac:dyDescent="0.25">
      <c r="A47" s="4" t="s">
        <v>3716</v>
      </c>
      <c r="B47" s="1">
        <v>1</v>
      </c>
    </row>
    <row r="48" spans="1:2" x14ac:dyDescent="0.25">
      <c r="A48" s="4" t="s">
        <v>3611</v>
      </c>
      <c r="B48" s="1">
        <v>1</v>
      </c>
    </row>
    <row r="49" spans="1:2" x14ac:dyDescent="0.25">
      <c r="A49" s="4" t="s">
        <v>3838</v>
      </c>
      <c r="B49" s="1">
        <v>3856</v>
      </c>
    </row>
  </sheetData>
  <mergeCells count="3">
    <mergeCell ref="A1:B1"/>
    <mergeCell ref="F1:G1"/>
    <mergeCell ref="F18:G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8585-BF97-448E-9B51-08CBE1702B2A}">
  <sheetPr codeName="Sheet1"/>
  <dimension ref="A3:H217"/>
  <sheetViews>
    <sheetView topLeftCell="A187" workbookViewId="0">
      <selection activeCell="D6" sqref="D6"/>
    </sheetView>
  </sheetViews>
  <sheetFormatPr defaultColWidth="18.85546875" defaultRowHeight="15" x14ac:dyDescent="0.25"/>
  <cols>
    <col min="1" max="1" width="13.140625" bestFit="1" customWidth="1"/>
    <col min="2" max="2" width="20.85546875" bestFit="1" customWidth="1"/>
    <col min="3" max="3" width="17.5703125" bestFit="1" customWidth="1"/>
    <col min="4" max="4" width="20.42578125" bestFit="1" customWidth="1"/>
    <col min="5" max="5" width="11.28515625" bestFit="1" customWidth="1"/>
    <col min="6" max="6" width="12" bestFit="1" customWidth="1"/>
    <col min="7" max="7" width="10.85546875" bestFit="1" customWidth="1"/>
    <col min="8" max="8" width="14.42578125" bestFit="1" customWidth="1"/>
    <col min="9" max="9" width="20.5703125" bestFit="1" customWidth="1"/>
    <col min="10" max="10" width="16" bestFit="1" customWidth="1"/>
    <col min="11" max="11" width="19.85546875" bestFit="1" customWidth="1"/>
    <col min="12" max="15" width="12.5703125" bestFit="1" customWidth="1"/>
  </cols>
  <sheetData>
    <row r="3" spans="1:8" ht="20.25" thickBot="1" x14ac:dyDescent="0.35">
      <c r="A3" s="14" t="s">
        <v>3850</v>
      </c>
      <c r="B3" s="14"/>
    </row>
    <row r="4" spans="1:8" ht="15.75" thickTop="1" x14ac:dyDescent="0.25">
      <c r="A4" s="3" t="s">
        <v>3840</v>
      </c>
      <c r="B4" t="s">
        <v>38</v>
      </c>
    </row>
    <row r="6" spans="1:8" x14ac:dyDescent="0.25">
      <c r="A6" t="s">
        <v>3872</v>
      </c>
      <c r="B6" t="s">
        <v>3842</v>
      </c>
      <c r="C6" t="s">
        <v>3873</v>
      </c>
      <c r="D6" t="s">
        <v>3878</v>
      </c>
      <c r="E6" t="s">
        <v>3874</v>
      </c>
      <c r="F6" t="s">
        <v>3876</v>
      </c>
      <c r="G6" t="s">
        <v>3877</v>
      </c>
    </row>
    <row r="7" spans="1:8" x14ac:dyDescent="0.25">
      <c r="A7" s="1">
        <v>62</v>
      </c>
      <c r="B7" s="6">
        <v>102.12903225806451</v>
      </c>
      <c r="C7" s="1">
        <v>6.1854838709677447</v>
      </c>
      <c r="D7" s="1">
        <v>1.1415903164249523</v>
      </c>
      <c r="E7" s="1">
        <v>1981</v>
      </c>
      <c r="F7" s="1">
        <v>2004.2096774193549</v>
      </c>
      <c r="G7" s="1">
        <v>209660762</v>
      </c>
    </row>
    <row r="9" spans="1:8" ht="20.25" thickBot="1" x14ac:dyDescent="0.35">
      <c r="H9" s="13" t="s">
        <v>3849</v>
      </c>
    </row>
    <row r="10" spans="1:8" ht="15.75" thickTop="1" x14ac:dyDescent="0.25">
      <c r="H10" s="3" t="s">
        <v>3837</v>
      </c>
    </row>
    <row r="11" spans="1:8" x14ac:dyDescent="0.25">
      <c r="H11" s="4" t="s">
        <v>3716</v>
      </c>
    </row>
    <row r="12" spans="1:8" x14ac:dyDescent="0.25">
      <c r="H12" s="4" t="s">
        <v>3370</v>
      </c>
    </row>
    <row r="13" spans="1:8" x14ac:dyDescent="0.25">
      <c r="H13" s="4" t="s">
        <v>1427</v>
      </c>
    </row>
    <row r="14" spans="1:8" x14ac:dyDescent="0.25">
      <c r="H14" s="4" t="s">
        <v>55</v>
      </c>
    </row>
    <row r="15" spans="1:8" x14ac:dyDescent="0.25">
      <c r="H15" s="4" t="s">
        <v>88</v>
      </c>
    </row>
    <row r="16" spans="1:8" x14ac:dyDescent="0.25">
      <c r="H16" s="4" t="s">
        <v>3097</v>
      </c>
    </row>
    <row r="17" spans="1:8" x14ac:dyDescent="0.25">
      <c r="H17" s="4" t="s">
        <v>38</v>
      </c>
    </row>
    <row r="18" spans="1:8" x14ac:dyDescent="0.25">
      <c r="H18" s="4" t="s">
        <v>1865</v>
      </c>
    </row>
    <row r="19" spans="1:8" ht="20.25" thickBot="1" x14ac:dyDescent="0.35">
      <c r="A19" s="14" t="s">
        <v>3851</v>
      </c>
      <c r="B19" s="14"/>
      <c r="H19" s="4" t="s">
        <v>142</v>
      </c>
    </row>
    <row r="20" spans="1:8" ht="15.75" thickTop="1" x14ac:dyDescent="0.25">
      <c r="A20" s="3" t="s">
        <v>3840</v>
      </c>
      <c r="B20" t="s">
        <v>38</v>
      </c>
      <c r="H20" s="4" t="s">
        <v>3388</v>
      </c>
    </row>
    <row r="21" spans="1:8" x14ac:dyDescent="0.25">
      <c r="H21" s="4" t="s">
        <v>1002</v>
      </c>
    </row>
    <row r="22" spans="1:8" x14ac:dyDescent="0.25">
      <c r="A22" s="3" t="s">
        <v>3837</v>
      </c>
      <c r="B22" t="s">
        <v>3872</v>
      </c>
      <c r="H22" s="4" t="s">
        <v>1438</v>
      </c>
    </row>
    <row r="23" spans="1:8" x14ac:dyDescent="0.25">
      <c r="A23" s="4">
        <v>1981</v>
      </c>
      <c r="B23" s="1">
        <v>1</v>
      </c>
      <c r="H23" s="4" t="s">
        <v>3190</v>
      </c>
    </row>
    <row r="24" spans="1:8" x14ac:dyDescent="0.25">
      <c r="A24" s="4">
        <v>1994</v>
      </c>
      <c r="B24" s="1">
        <v>3</v>
      </c>
      <c r="H24" s="4" t="s">
        <v>244</v>
      </c>
    </row>
    <row r="25" spans="1:8" x14ac:dyDescent="0.25">
      <c r="A25" s="4">
        <v>1997</v>
      </c>
      <c r="B25" s="1">
        <v>3</v>
      </c>
      <c r="H25" s="4" t="s">
        <v>2727</v>
      </c>
    </row>
    <row r="26" spans="1:8" x14ac:dyDescent="0.25">
      <c r="A26" s="4">
        <v>1998</v>
      </c>
      <c r="B26" s="1">
        <v>5</v>
      </c>
      <c r="H26" s="4" t="s">
        <v>119</v>
      </c>
    </row>
    <row r="27" spans="1:8" x14ac:dyDescent="0.25">
      <c r="A27" s="4">
        <v>1999</v>
      </c>
      <c r="B27" s="1">
        <v>3</v>
      </c>
      <c r="H27" s="4" t="s">
        <v>2274</v>
      </c>
    </row>
    <row r="28" spans="1:8" x14ac:dyDescent="0.25">
      <c r="A28" s="4">
        <v>2001</v>
      </c>
      <c r="B28" s="1">
        <v>2</v>
      </c>
      <c r="H28" s="4" t="s">
        <v>675</v>
      </c>
    </row>
    <row r="29" spans="1:8" x14ac:dyDescent="0.25">
      <c r="A29" s="4">
        <v>2002</v>
      </c>
      <c r="B29" s="1">
        <v>5</v>
      </c>
      <c r="H29" s="4" t="s">
        <v>2084</v>
      </c>
    </row>
    <row r="30" spans="1:8" x14ac:dyDescent="0.25">
      <c r="A30" s="4">
        <v>2003</v>
      </c>
      <c r="B30" s="1">
        <v>7</v>
      </c>
      <c r="H30" s="4" t="s">
        <v>1630</v>
      </c>
    </row>
    <row r="31" spans="1:8" x14ac:dyDescent="0.25">
      <c r="A31" s="4">
        <v>2004</v>
      </c>
      <c r="B31" s="1">
        <v>2</v>
      </c>
      <c r="H31" s="4" t="s">
        <v>1013</v>
      </c>
    </row>
    <row r="32" spans="1:8" x14ac:dyDescent="0.25">
      <c r="A32" s="4">
        <v>2005</v>
      </c>
      <c r="B32" s="1">
        <v>6</v>
      </c>
      <c r="H32" s="4" t="s">
        <v>3611</v>
      </c>
    </row>
    <row r="33" spans="1:8" x14ac:dyDescent="0.25">
      <c r="A33" s="4">
        <v>2006</v>
      </c>
      <c r="B33" s="1">
        <v>4</v>
      </c>
      <c r="H33" s="4" t="s">
        <v>2556</v>
      </c>
    </row>
    <row r="34" spans="1:8" x14ac:dyDescent="0.25">
      <c r="A34" s="4">
        <v>2008</v>
      </c>
      <c r="B34" s="1">
        <v>3</v>
      </c>
      <c r="H34" s="4" t="s">
        <v>1489</v>
      </c>
    </row>
    <row r="35" spans="1:8" x14ac:dyDescent="0.25">
      <c r="A35" s="4">
        <v>2009</v>
      </c>
      <c r="B35" s="1">
        <v>6</v>
      </c>
      <c r="H35" s="4" t="s">
        <v>3505</v>
      </c>
    </row>
    <row r="36" spans="1:8" x14ac:dyDescent="0.25">
      <c r="A36" s="4">
        <v>2010</v>
      </c>
      <c r="B36" s="1">
        <v>4</v>
      </c>
      <c r="H36" s="4" t="s">
        <v>1307</v>
      </c>
    </row>
    <row r="37" spans="1:8" x14ac:dyDescent="0.25">
      <c r="A37" s="4">
        <v>2011</v>
      </c>
      <c r="B37" s="1">
        <v>1</v>
      </c>
      <c r="H37" s="4" t="s">
        <v>103</v>
      </c>
    </row>
    <row r="38" spans="1:8" x14ac:dyDescent="0.25">
      <c r="A38" s="4">
        <v>2012</v>
      </c>
      <c r="B38" s="1">
        <v>2</v>
      </c>
      <c r="H38" s="4" t="s">
        <v>496</v>
      </c>
    </row>
    <row r="39" spans="1:8" x14ac:dyDescent="0.25">
      <c r="A39" s="4">
        <v>2013</v>
      </c>
      <c r="B39" s="1">
        <v>1</v>
      </c>
      <c r="H39" s="4" t="s">
        <v>1985</v>
      </c>
    </row>
    <row r="40" spans="1:8" x14ac:dyDescent="0.25">
      <c r="A40" s="4">
        <v>2014</v>
      </c>
      <c r="B40" s="1">
        <v>2</v>
      </c>
      <c r="H40" s="4" t="s">
        <v>23</v>
      </c>
    </row>
    <row r="41" spans="1:8" x14ac:dyDescent="0.25">
      <c r="A41" s="4">
        <v>2015</v>
      </c>
      <c r="B41" s="1">
        <v>1</v>
      </c>
      <c r="H41" s="4" t="s">
        <v>2380</v>
      </c>
    </row>
    <row r="42" spans="1:8" x14ac:dyDescent="0.25">
      <c r="A42" s="4">
        <v>2016</v>
      </c>
      <c r="B42" s="1">
        <v>1</v>
      </c>
      <c r="H42" s="4" t="s">
        <v>1054</v>
      </c>
    </row>
    <row r="43" spans="1:8" x14ac:dyDescent="0.25">
      <c r="A43" s="4" t="s">
        <v>3838</v>
      </c>
      <c r="B43" s="1">
        <v>62</v>
      </c>
      <c r="H43" s="4" t="s">
        <v>2566</v>
      </c>
    </row>
    <row r="44" spans="1:8" x14ac:dyDescent="0.25">
      <c r="H44" s="4" t="s">
        <v>1655</v>
      </c>
    </row>
    <row r="45" spans="1:8" x14ac:dyDescent="0.25">
      <c r="H45" s="4" t="s">
        <v>1324</v>
      </c>
    </row>
    <row r="46" spans="1:8" x14ac:dyDescent="0.25">
      <c r="H46" s="4" t="s">
        <v>1528</v>
      </c>
    </row>
    <row r="47" spans="1:8" x14ac:dyDescent="0.25">
      <c r="H47" s="4" t="s">
        <v>1028</v>
      </c>
    </row>
    <row r="48" spans="1:8" x14ac:dyDescent="0.25">
      <c r="H48" s="4" t="s">
        <v>620</v>
      </c>
    </row>
    <row r="49" spans="8:8" x14ac:dyDescent="0.25">
      <c r="H49" s="4" t="s">
        <v>2354</v>
      </c>
    </row>
    <row r="50" spans="8:8" x14ac:dyDescent="0.25">
      <c r="H50" s="4" t="s">
        <v>2390</v>
      </c>
    </row>
    <row r="51" spans="8:8" x14ac:dyDescent="0.25">
      <c r="H51" s="4" t="s">
        <v>2509</v>
      </c>
    </row>
    <row r="52" spans="8:8" x14ac:dyDescent="0.25">
      <c r="H52" s="4" t="s">
        <v>5</v>
      </c>
    </row>
    <row r="53" spans="8:8" x14ac:dyDescent="0.25">
      <c r="H53" s="4" t="s">
        <v>2</v>
      </c>
    </row>
    <row r="54" spans="8:8" x14ac:dyDescent="0.25">
      <c r="H54" s="4" t="s">
        <v>1719</v>
      </c>
    </row>
    <row r="55" spans="8:8" x14ac:dyDescent="0.25">
      <c r="H55" s="4" t="s">
        <v>3838</v>
      </c>
    </row>
    <row r="96" spans="1:2" x14ac:dyDescent="0.25">
      <c r="A96" s="4"/>
      <c r="B96" s="1"/>
    </row>
    <row r="106" spans="1:3" ht="20.25" thickBot="1" x14ac:dyDescent="0.35">
      <c r="A106" s="14" t="s">
        <v>3852</v>
      </c>
      <c r="B106" s="14"/>
    </row>
    <row r="107" spans="1:3" ht="15.75" thickTop="1" x14ac:dyDescent="0.25">
      <c r="A107" s="3" t="s">
        <v>3840</v>
      </c>
      <c r="B107" t="s">
        <v>38</v>
      </c>
    </row>
    <row r="109" spans="1:3" x14ac:dyDescent="0.25">
      <c r="A109" s="3" t="s">
        <v>3837</v>
      </c>
      <c r="B109" t="s">
        <v>3873</v>
      </c>
      <c r="C109" t="s">
        <v>3841</v>
      </c>
    </row>
    <row r="110" spans="1:3" x14ac:dyDescent="0.25">
      <c r="A110" s="4">
        <v>1981</v>
      </c>
      <c r="B110" s="1">
        <v>6.2</v>
      </c>
      <c r="C110" s="1">
        <v>4000000</v>
      </c>
    </row>
    <row r="111" spans="1:3" x14ac:dyDescent="0.25">
      <c r="A111" s="4">
        <v>1994</v>
      </c>
      <c r="B111" s="1">
        <v>5.7666666666666666</v>
      </c>
      <c r="C111" s="1">
        <v>18333333.333333332</v>
      </c>
    </row>
    <row r="112" spans="1:3" x14ac:dyDescent="0.25">
      <c r="A112" s="4">
        <v>1997</v>
      </c>
      <c r="B112" s="1">
        <v>7.4333333333333336</v>
      </c>
      <c r="C112" s="1">
        <v>1796666.6666666667</v>
      </c>
    </row>
    <row r="113" spans="1:3" x14ac:dyDescent="0.25">
      <c r="A113" s="4">
        <v>1998</v>
      </c>
      <c r="B113" s="1">
        <v>5.8800000000000008</v>
      </c>
      <c r="C113" s="1">
        <v>13000000</v>
      </c>
    </row>
    <row r="114" spans="1:3" x14ac:dyDescent="0.25">
      <c r="A114" s="4">
        <v>1999</v>
      </c>
      <c r="B114" s="1">
        <v>6.1333333333333337</v>
      </c>
      <c r="C114" s="1">
        <v>24666666.666666668</v>
      </c>
    </row>
    <row r="115" spans="1:3" x14ac:dyDescent="0.25">
      <c r="A115" s="4">
        <v>2001</v>
      </c>
      <c r="B115" s="1">
        <v>5.85</v>
      </c>
      <c r="C115" s="1">
        <v>35000000</v>
      </c>
    </row>
    <row r="116" spans="1:3" x14ac:dyDescent="0.25">
      <c r="A116" s="4">
        <v>2002</v>
      </c>
      <c r="B116" s="1">
        <v>6.0400000000000009</v>
      </c>
      <c r="C116" s="1">
        <v>12620000</v>
      </c>
    </row>
    <row r="117" spans="1:3" x14ac:dyDescent="0.25">
      <c r="A117" s="4">
        <v>2003</v>
      </c>
      <c r="B117" s="1">
        <v>7.0285714285714294</v>
      </c>
      <c r="C117" s="1">
        <v>27571428.571428571</v>
      </c>
    </row>
    <row r="118" spans="1:3" x14ac:dyDescent="0.25">
      <c r="A118" s="4">
        <v>2004</v>
      </c>
      <c r="B118" s="1">
        <v>7.35</v>
      </c>
      <c r="C118" s="1">
        <v>12000000</v>
      </c>
    </row>
    <row r="119" spans="1:3" x14ac:dyDescent="0.25">
      <c r="A119" s="4">
        <v>2005</v>
      </c>
      <c r="B119" s="1">
        <v>5.45</v>
      </c>
      <c r="C119" s="1">
        <v>27666666.666666668</v>
      </c>
    </row>
    <row r="120" spans="1:3" x14ac:dyDescent="0.25">
      <c r="A120" s="4">
        <v>2006</v>
      </c>
      <c r="B120" s="1">
        <v>6.6750000000000007</v>
      </c>
      <c r="C120" s="1">
        <v>70875000</v>
      </c>
    </row>
    <row r="121" spans="1:3" x14ac:dyDescent="0.25">
      <c r="A121" s="4">
        <v>2008</v>
      </c>
      <c r="B121" s="1">
        <v>6.2333333333333343</v>
      </c>
      <c r="C121" s="1">
        <v>20500000</v>
      </c>
    </row>
    <row r="122" spans="1:3" x14ac:dyDescent="0.25">
      <c r="A122" s="4">
        <v>2009</v>
      </c>
      <c r="B122" s="1">
        <v>5.7666666666666666</v>
      </c>
      <c r="C122" s="1">
        <v>14833333.333333334</v>
      </c>
    </row>
    <row r="123" spans="1:3" x14ac:dyDescent="0.25">
      <c r="A123" s="4">
        <v>2010</v>
      </c>
      <c r="B123" s="1">
        <v>6.5250000000000004</v>
      </c>
      <c r="C123" s="1">
        <v>10725000</v>
      </c>
    </row>
    <row r="124" spans="1:3" x14ac:dyDescent="0.25">
      <c r="A124" s="4">
        <v>2011</v>
      </c>
      <c r="B124" s="1">
        <v>6.1</v>
      </c>
      <c r="C124" s="1">
        <v>3000000</v>
      </c>
    </row>
    <row r="125" spans="1:3" x14ac:dyDescent="0.25">
      <c r="A125" s="4">
        <v>2012</v>
      </c>
      <c r="B125" s="1">
        <v>5.4</v>
      </c>
      <c r="C125" s="1">
        <v>5450000</v>
      </c>
    </row>
    <row r="126" spans="1:3" x14ac:dyDescent="0.25">
      <c r="A126" s="4">
        <v>2013</v>
      </c>
      <c r="B126" s="1">
        <v>6.2</v>
      </c>
      <c r="C126" s="1">
        <v>20000000</v>
      </c>
    </row>
    <row r="127" spans="1:3" x14ac:dyDescent="0.25">
      <c r="A127" s="4">
        <v>2014</v>
      </c>
      <c r="B127" s="1">
        <v>5.6999999999999993</v>
      </c>
      <c r="C127" s="1">
        <v>61000000</v>
      </c>
    </row>
    <row r="128" spans="1:3" x14ac:dyDescent="0.25">
      <c r="A128" s="4">
        <v>2015</v>
      </c>
      <c r="B128" s="1">
        <v>6.1</v>
      </c>
      <c r="C128" s="1">
        <v>10000000</v>
      </c>
    </row>
    <row r="129" spans="1:3" x14ac:dyDescent="0.25">
      <c r="A129" s="4">
        <v>2016</v>
      </c>
      <c r="B129" s="1">
        <v>4.7</v>
      </c>
      <c r="C129" s="1">
        <v>3500000</v>
      </c>
    </row>
    <row r="130" spans="1:3" x14ac:dyDescent="0.25">
      <c r="A130" s="4" t="s">
        <v>3838</v>
      </c>
      <c r="B130" s="1">
        <v>6.1854838709677429</v>
      </c>
      <c r="C130" s="1">
        <v>22028870.967741936</v>
      </c>
    </row>
    <row r="193" spans="1:2" ht="20.25" thickBot="1" x14ac:dyDescent="0.35">
      <c r="A193" s="14" t="s">
        <v>3853</v>
      </c>
      <c r="B193" s="14"/>
    </row>
    <row r="194" spans="1:2" ht="15.75" thickTop="1" x14ac:dyDescent="0.25">
      <c r="A194" s="3" t="s">
        <v>3840</v>
      </c>
      <c r="B194" t="s">
        <v>38</v>
      </c>
    </row>
    <row r="196" spans="1:2" x14ac:dyDescent="0.25">
      <c r="A196" s="3" t="s">
        <v>3837</v>
      </c>
      <c r="B196" t="s">
        <v>3875</v>
      </c>
    </row>
    <row r="197" spans="1:2" x14ac:dyDescent="0.25">
      <c r="A197" s="4">
        <v>1981</v>
      </c>
      <c r="B197" s="5">
        <v>25.375</v>
      </c>
    </row>
    <row r="198" spans="1:2" x14ac:dyDescent="0.25">
      <c r="A198" s="4">
        <v>1994</v>
      </c>
      <c r="B198" s="5">
        <v>0.15294465454545447</v>
      </c>
    </row>
    <row r="199" spans="1:2" x14ac:dyDescent="0.25">
      <c r="A199" s="4">
        <v>1997</v>
      </c>
      <c r="B199" s="5">
        <v>0.41976604823747676</v>
      </c>
    </row>
    <row r="200" spans="1:2" x14ac:dyDescent="0.25">
      <c r="A200" s="4">
        <v>1998</v>
      </c>
      <c r="B200" s="5">
        <v>7.2028369230769274E-2</v>
      </c>
    </row>
    <row r="201" spans="1:2" x14ac:dyDescent="0.25">
      <c r="A201" s="4">
        <v>1999</v>
      </c>
      <c r="B201" s="5">
        <v>-0.61908697297297299</v>
      </c>
    </row>
    <row r="202" spans="1:2" x14ac:dyDescent="0.25">
      <c r="A202" s="4">
        <v>2001</v>
      </c>
      <c r="B202" s="5">
        <v>1.2286471428571533E-2</v>
      </c>
    </row>
    <row r="203" spans="1:2" x14ac:dyDescent="0.25">
      <c r="A203" s="4">
        <v>2002</v>
      </c>
      <c r="B203" s="5">
        <v>0.45619889064976227</v>
      </c>
    </row>
    <row r="204" spans="1:2" x14ac:dyDescent="0.25">
      <c r="A204" s="4">
        <v>2003</v>
      </c>
      <c r="B204" s="5">
        <v>0.22961144559585489</v>
      </c>
    </row>
    <row r="205" spans="1:2" x14ac:dyDescent="0.25">
      <c r="A205" s="4">
        <v>2004</v>
      </c>
      <c r="B205" s="5">
        <v>-0.64440937499999995</v>
      </c>
    </row>
    <row r="206" spans="1:2" x14ac:dyDescent="0.25">
      <c r="A206" s="4">
        <v>2005</v>
      </c>
      <c r="B206" s="5">
        <v>0.16024407228915671</v>
      </c>
    </row>
    <row r="207" spans="1:2" x14ac:dyDescent="0.25">
      <c r="A207" s="4">
        <v>2006</v>
      </c>
      <c r="B207" s="5">
        <v>2.0865911816578375E-2</v>
      </c>
    </row>
    <row r="208" spans="1:2" x14ac:dyDescent="0.25">
      <c r="A208" s="4">
        <v>2008</v>
      </c>
      <c r="B208" s="5">
        <v>-0.28838757723577235</v>
      </c>
    </row>
    <row r="209" spans="1:2" x14ac:dyDescent="0.25">
      <c r="A209" s="4">
        <v>2009</v>
      </c>
      <c r="B209" s="5">
        <v>-0.22099241573033712</v>
      </c>
    </row>
    <row r="210" spans="1:2" x14ac:dyDescent="0.25">
      <c r="A210" s="4">
        <v>2010</v>
      </c>
      <c r="B210" s="5">
        <v>0.24997550116550116</v>
      </c>
    </row>
    <row r="211" spans="1:2" x14ac:dyDescent="0.25">
      <c r="A211" s="4">
        <v>2011</v>
      </c>
      <c r="B211" s="5">
        <v>-0.76566599999999996</v>
      </c>
    </row>
    <row r="212" spans="1:2" x14ac:dyDescent="0.25">
      <c r="A212" s="4">
        <v>2012</v>
      </c>
      <c r="B212" s="5">
        <v>1.9001523853211011</v>
      </c>
    </row>
    <row r="213" spans="1:2" x14ac:dyDescent="0.25">
      <c r="A213" s="4">
        <v>2013</v>
      </c>
      <c r="B213" s="5">
        <v>2.5794109999999999</v>
      </c>
    </row>
    <row r="214" spans="1:2" x14ac:dyDescent="0.25">
      <c r="A214" s="4">
        <v>2014</v>
      </c>
      <c r="B214" s="5">
        <v>-0.28312690163934429</v>
      </c>
    </row>
    <row r="215" spans="1:2" x14ac:dyDescent="0.25">
      <c r="A215" s="4">
        <v>2015</v>
      </c>
      <c r="B215" s="5">
        <v>4.2200503999999999</v>
      </c>
    </row>
    <row r="216" spans="1:2" x14ac:dyDescent="0.25">
      <c r="A216" s="4">
        <v>2016</v>
      </c>
      <c r="B216" s="5">
        <v>-0.96463514285714291</v>
      </c>
    </row>
    <row r="217" spans="1:2" x14ac:dyDescent="0.25">
      <c r="A217" s="4" t="s">
        <v>3838</v>
      </c>
      <c r="B217" s="5">
        <v>0.15350878392725087</v>
      </c>
    </row>
  </sheetData>
  <mergeCells count="4">
    <mergeCell ref="A3:B3"/>
    <mergeCell ref="A19:B19"/>
    <mergeCell ref="A106:B106"/>
    <mergeCell ref="A193:B19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44749-59E8-4DE1-AFD4-4635EB505BF1}">
  <dimension ref="A1"/>
  <sheetViews>
    <sheetView workbookViewId="0">
      <selection activeCell="J27" sqref="J2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AC6B0-30ED-42E2-AF5B-D4B8F7BDF2EA}">
  <dimension ref="A1:N10"/>
  <sheetViews>
    <sheetView workbookViewId="0">
      <selection activeCell="L14" sqref="L14"/>
    </sheetView>
  </sheetViews>
  <sheetFormatPr defaultColWidth="11.42578125" defaultRowHeight="15" x14ac:dyDescent="0.25"/>
  <cols>
    <col min="1" max="1" width="20.7109375" customWidth="1"/>
    <col min="2" max="2" width="12" bestFit="1" customWidth="1"/>
    <col min="6" max="6" width="14.7109375" customWidth="1"/>
  </cols>
  <sheetData>
    <row r="1" spans="1:14" x14ac:dyDescent="0.25">
      <c r="A1" s="2" t="s">
        <v>3863</v>
      </c>
      <c r="B1" s="2" t="s">
        <v>2</v>
      </c>
      <c r="C1" s="2" t="s">
        <v>5</v>
      </c>
      <c r="D1" s="2" t="s">
        <v>244</v>
      </c>
      <c r="E1" s="2" t="s">
        <v>38</v>
      </c>
      <c r="F1" s="2" t="s">
        <v>3862</v>
      </c>
      <c r="I1" s="2" t="s">
        <v>3863</v>
      </c>
      <c r="J1" s="2" t="s">
        <v>2</v>
      </c>
      <c r="K1" s="2" t="s">
        <v>5</v>
      </c>
      <c r="L1" s="2" t="s">
        <v>244</v>
      </c>
      <c r="M1" s="2" t="s">
        <v>38</v>
      </c>
      <c r="N1" s="2" t="s">
        <v>3862</v>
      </c>
    </row>
    <row r="2" spans="1:14" x14ac:dyDescent="0.25">
      <c r="A2" s="4">
        <v>2008</v>
      </c>
      <c r="B2">
        <v>6154850000</v>
      </c>
      <c r="C2">
        <v>536400000</v>
      </c>
      <c r="D2">
        <v>195000000</v>
      </c>
      <c r="E2">
        <v>81500000</v>
      </c>
      <c r="F2">
        <v>6967750000</v>
      </c>
      <c r="I2" s="4">
        <v>2008</v>
      </c>
      <c r="J2">
        <v>6154850000</v>
      </c>
      <c r="K2">
        <v>3504030218.8726969</v>
      </c>
      <c r="L2">
        <v>11645480403.208136</v>
      </c>
      <c r="M2">
        <v>7931413912.6318388</v>
      </c>
      <c r="N2">
        <v>5829127896.4559088</v>
      </c>
    </row>
    <row r="3" spans="1:14" x14ac:dyDescent="0.25">
      <c r="A3" s="4">
        <v>2016</v>
      </c>
      <c r="B3">
        <v>4194050000</v>
      </c>
      <c r="C3">
        <v>843500000</v>
      </c>
      <c r="D3">
        <v>17000000</v>
      </c>
      <c r="E3">
        <v>12200000</v>
      </c>
      <c r="F3">
        <v>5066750000</v>
      </c>
      <c r="I3" s="4">
        <v>2016</v>
      </c>
      <c r="J3">
        <v>4194050000</v>
      </c>
      <c r="K3">
        <v>8181917548.2391806</v>
      </c>
      <c r="L3">
        <v>104026660.79186039</v>
      </c>
      <c r="M3">
        <v>188101426.30214277</v>
      </c>
      <c r="N3">
        <v>4464671075.7098265</v>
      </c>
    </row>
    <row r="4" spans="1:14" x14ac:dyDescent="0.25">
      <c r="A4" s="4">
        <v>1994</v>
      </c>
      <c r="B4">
        <v>1361230000</v>
      </c>
      <c r="C4">
        <v>34500000</v>
      </c>
      <c r="E4">
        <v>55000000</v>
      </c>
      <c r="F4">
        <v>1450730000</v>
      </c>
      <c r="I4" s="4">
        <v>1994</v>
      </c>
      <c r="J4">
        <v>1361230000</v>
      </c>
      <c r="K4">
        <v>46776383.207780801</v>
      </c>
      <c r="L4">
        <v>0</v>
      </c>
      <c r="M4">
        <v>3629991873.7660165</v>
      </c>
      <c r="N4">
        <v>1401370851.4134157</v>
      </c>
    </row>
    <row r="5" spans="1:14" x14ac:dyDescent="0.25">
      <c r="A5" s="4">
        <v>1974</v>
      </c>
      <c r="B5">
        <v>24667064</v>
      </c>
      <c r="C5">
        <v>13000000</v>
      </c>
      <c r="F5">
        <v>37667064</v>
      </c>
      <c r="I5" s="4">
        <v>1974</v>
      </c>
      <c r="J5">
        <v>24667064</v>
      </c>
      <c r="K5">
        <v>14743086.595771607</v>
      </c>
      <c r="L5">
        <v>0</v>
      </c>
      <c r="M5">
        <v>0</v>
      </c>
      <c r="N5">
        <v>37633789.00391034</v>
      </c>
    </row>
    <row r="6" spans="1:14" x14ac:dyDescent="0.25">
      <c r="A6" s="4">
        <v>1972</v>
      </c>
      <c r="B6">
        <v>14710000</v>
      </c>
      <c r="C6">
        <v>2000000</v>
      </c>
      <c r="F6">
        <v>16710000</v>
      </c>
      <c r="I6" s="4">
        <v>1972</v>
      </c>
      <c r="J6">
        <v>14710000</v>
      </c>
      <c r="K6">
        <v>2041256.4845693568</v>
      </c>
      <c r="L6">
        <v>0</v>
      </c>
      <c r="M6">
        <v>0</v>
      </c>
      <c r="N6">
        <v>16703451.416654736</v>
      </c>
    </row>
    <row r="7" spans="1:14" x14ac:dyDescent="0.25">
      <c r="A7" t="s">
        <v>3861</v>
      </c>
      <c r="B7">
        <f>SUM(B2:B6)</f>
        <v>11749507064</v>
      </c>
      <c r="C7">
        <f>SUM(C2:C6)</f>
        <v>1429400000</v>
      </c>
      <c r="D7">
        <f>SUM(D2:D6)</f>
        <v>212000000</v>
      </c>
      <c r="E7">
        <f>SUM(E2:E6)</f>
        <v>148700000</v>
      </c>
      <c r="F7">
        <f>SUM(F2:F6)</f>
        <v>13539607064</v>
      </c>
      <c r="I7" t="s">
        <v>3861</v>
      </c>
      <c r="J7">
        <f>SUM(J2:J6)</f>
        <v>11749507064</v>
      </c>
      <c r="K7">
        <f>SUM(K2:K6)</f>
        <v>11749508493.4</v>
      </c>
      <c r="L7">
        <f>SUM(L2:L6)</f>
        <v>11749507063.999996</v>
      </c>
      <c r="M7">
        <f>SUM(M2:M6)</f>
        <v>11749507212.699999</v>
      </c>
      <c r="N7">
        <f>SUM(N2:N6)</f>
        <v>11749507063.999716</v>
      </c>
    </row>
    <row r="10" spans="1:14" x14ac:dyDescent="0.25">
      <c r="A10" s="15" t="s">
        <v>3860</v>
      </c>
      <c r="B10" s="15"/>
      <c r="C10" s="15"/>
      <c r="D10" s="15"/>
      <c r="E10" s="15"/>
      <c r="F10" s="15"/>
      <c r="I10" s="15" t="s">
        <v>3859</v>
      </c>
      <c r="J10" s="15"/>
      <c r="K10" s="15"/>
      <c r="L10" s="15"/>
      <c r="M10" s="15"/>
      <c r="N10" s="15"/>
    </row>
  </sheetData>
  <mergeCells count="2">
    <mergeCell ref="A10:F10"/>
    <mergeCell ref="I10:N10"/>
  </mergeCell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DC272-4565-4ADD-B519-8CA110A775FB}">
  <sheetPr codeName="Sheet4">
    <pageSetUpPr fitToPage="1"/>
  </sheetPr>
  <dimension ref="A1:S70"/>
  <sheetViews>
    <sheetView tabSelected="1" topLeftCell="A28" zoomScaleNormal="100" workbookViewId="0">
      <selection activeCell="S40" sqref="S40"/>
    </sheetView>
  </sheetViews>
  <sheetFormatPr defaultRowHeight="15" x14ac:dyDescent="0.25"/>
  <cols>
    <col min="6" max="6" width="10.42578125" customWidth="1"/>
    <col min="9" max="9" width="18.7109375" customWidth="1"/>
  </cols>
  <sheetData>
    <row r="1" spans="1:19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</row>
    <row r="2" spans="1:19" ht="20.25" thickBot="1" x14ac:dyDescent="0.35">
      <c r="A2" s="7"/>
      <c r="B2" s="16" t="s">
        <v>3839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7"/>
    </row>
    <row r="3" spans="1:19" ht="15.75" thickTop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19" x14ac:dyDescent="0.25">
      <c r="A4" s="7"/>
      <c r="B4" s="27" t="s">
        <v>3840</v>
      </c>
      <c r="C4" s="27"/>
      <c r="D4" s="27"/>
      <c r="E4" s="27"/>
      <c r="F4" s="27"/>
      <c r="G4" s="27"/>
      <c r="H4" s="27"/>
      <c r="I4" s="17"/>
      <c r="J4" s="17"/>
      <c r="K4" s="17"/>
      <c r="L4" s="17"/>
      <c r="M4" s="17"/>
      <c r="N4" s="17"/>
      <c r="O4" s="17"/>
      <c r="P4" s="17"/>
      <c r="Q4" s="17"/>
      <c r="R4" s="17"/>
      <c r="S4" s="7"/>
    </row>
    <row r="5" spans="1:19" x14ac:dyDescent="0.25">
      <c r="A5" s="7"/>
      <c r="B5" s="27"/>
      <c r="C5" s="27"/>
      <c r="D5" s="27"/>
      <c r="E5" s="27"/>
      <c r="F5" s="27"/>
      <c r="G5" s="27"/>
      <c r="H5" s="2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25">
      <c r="A6" s="7"/>
      <c r="B6" s="27"/>
      <c r="C6" s="27"/>
      <c r="D6" s="27"/>
      <c r="E6" s="27"/>
      <c r="F6" s="27"/>
      <c r="G6" s="27"/>
      <c r="H6" s="2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</row>
    <row r="8" spans="1:19" x14ac:dyDescent="0.25">
      <c r="A8" s="7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7"/>
    </row>
    <row r="9" spans="1:19" x14ac:dyDescent="0.25">
      <c r="A9" s="7"/>
      <c r="B9" s="24"/>
      <c r="C9" s="24"/>
      <c r="D9" s="24"/>
      <c r="E9" s="24"/>
      <c r="F9" s="22" t="s">
        <v>3843</v>
      </c>
      <c r="G9" s="23"/>
      <c r="H9" s="23"/>
      <c r="I9" s="12">
        <f>GETPIVOTDATA("Count of Title",'DB - Pivot Tables'!$A$6)</f>
        <v>62</v>
      </c>
      <c r="J9" s="24"/>
      <c r="K9" s="24"/>
      <c r="L9" s="24"/>
      <c r="M9" s="24"/>
      <c r="N9" s="24"/>
      <c r="O9" s="24"/>
      <c r="P9" s="24"/>
      <c r="Q9" s="24"/>
      <c r="R9" s="24"/>
      <c r="S9" s="7"/>
    </row>
    <row r="10" spans="1:19" x14ac:dyDescent="0.25">
      <c r="A10" s="7"/>
      <c r="B10" s="24"/>
      <c r="C10" s="24"/>
      <c r="D10" s="24"/>
      <c r="E10" s="24"/>
      <c r="F10" s="20" t="s">
        <v>3848</v>
      </c>
      <c r="G10" s="21"/>
      <c r="H10" s="21"/>
      <c r="I10" s="9">
        <f>TIME(0,TRUNC(GETPIVOTDATA("Average of duration",'DB - Pivot Tables'!$A$6)),(GETPIVOTDATA("Average of duration",'DB - Pivot Tables'!$A$6)-TRUNC(GETPIVOTDATA("Average of duration",'DB - Pivot Tables'!$A$6)))*60)</f>
        <v>7.091435185185184E-2</v>
      </c>
      <c r="J10" s="24"/>
      <c r="K10" s="24"/>
      <c r="L10" s="24"/>
      <c r="M10" s="24"/>
      <c r="N10" s="24"/>
      <c r="O10" s="24"/>
      <c r="P10" s="24"/>
      <c r="Q10" s="24"/>
      <c r="R10" s="24"/>
      <c r="S10" s="7"/>
    </row>
    <row r="11" spans="1:19" x14ac:dyDescent="0.25">
      <c r="A11" s="7"/>
      <c r="B11" s="24"/>
      <c r="C11" s="24"/>
      <c r="D11" s="24"/>
      <c r="E11" s="24"/>
      <c r="F11" s="20" t="s">
        <v>3844</v>
      </c>
      <c r="G11" s="21"/>
      <c r="H11" s="21"/>
      <c r="I11" s="10">
        <f>GETPIVOTDATA("Average of IMDB Score",'DB - Pivot Tables'!$A$6)</f>
        <v>6.1854838709677447</v>
      </c>
      <c r="J11" s="24"/>
      <c r="K11" s="24"/>
      <c r="L11" s="22" t="s">
        <v>3847</v>
      </c>
      <c r="M11" s="23"/>
      <c r="N11" s="18">
        <f>IF(I9&lt;&gt;1,GETPIVOTDATA("StdDev of IMDB Score",'DB - Pivot Tables'!$A$6),"Not applicable")</f>
        <v>1.1415903164249523</v>
      </c>
      <c r="O11" s="19"/>
      <c r="P11" s="24"/>
      <c r="Q11" s="24"/>
      <c r="R11" s="24"/>
      <c r="S11" s="7"/>
    </row>
    <row r="12" spans="1:19" x14ac:dyDescent="0.25">
      <c r="A12" s="7"/>
      <c r="B12" s="24"/>
      <c r="C12" s="24"/>
      <c r="D12" s="24"/>
      <c r="E12" s="24"/>
      <c r="F12" s="20" t="s">
        <v>3845</v>
      </c>
      <c r="G12" s="21"/>
      <c r="H12" s="21"/>
      <c r="I12" s="8">
        <f>GETPIVOTDATA("Min of Year",'DB - Pivot Tables'!$A$6)</f>
        <v>1981</v>
      </c>
      <c r="J12" s="24"/>
      <c r="K12" s="24"/>
      <c r="L12" s="28" t="s">
        <v>3846</v>
      </c>
      <c r="M12" s="29"/>
      <c r="N12" s="25">
        <f>INT(GETPIVOTDATA("Mean year",'DB - Pivot Tables'!$A$6))</f>
        <v>2004</v>
      </c>
      <c r="O12" s="26"/>
      <c r="P12" s="24"/>
      <c r="Q12" s="24"/>
      <c r="R12" s="24"/>
      <c r="S12" s="7"/>
    </row>
    <row r="13" spans="1:19" x14ac:dyDescent="0.25">
      <c r="A13" s="7"/>
      <c r="B13" s="24"/>
      <c r="C13" s="24"/>
      <c r="D13" s="24"/>
      <c r="E13" s="24"/>
      <c r="F13" s="28" t="s">
        <v>3877</v>
      </c>
      <c r="G13" s="29"/>
      <c r="H13" s="29"/>
      <c r="I13" s="11">
        <f>GETPIVOTDATA("Total Profit",'DB - Pivot Tables'!$A$6)</f>
        <v>209660762</v>
      </c>
      <c r="J13" s="24"/>
      <c r="K13" s="24"/>
      <c r="L13" s="24"/>
      <c r="M13" s="24"/>
      <c r="N13" s="24"/>
      <c r="O13" s="24"/>
      <c r="P13" s="24"/>
      <c r="Q13" s="24"/>
      <c r="R13" s="24"/>
      <c r="S13" s="7"/>
    </row>
    <row r="14" spans="1:19" x14ac:dyDescent="0.25">
      <c r="A14" s="7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7"/>
    </row>
    <row r="15" spans="1:19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  <row r="16" spans="1:19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</row>
    <row r="17" spans="1:19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</row>
    <row r="18" spans="1:19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</row>
    <row r="19" spans="1:19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</row>
    <row r="20" spans="1:19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</row>
    <row r="24" spans="1:19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</row>
    <row r="25" spans="1:19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</row>
    <row r="26" spans="1:19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</row>
    <row r="27" spans="1:19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</row>
    <row r="28" spans="1:19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</row>
    <row r="29" spans="1:19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</row>
    <row r="30" spans="1:19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</row>
    <row r="31" spans="1:19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</row>
    <row r="32" spans="1:19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</row>
    <row r="33" spans="1:19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</row>
    <row r="34" spans="1:19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</row>
    <row r="35" spans="1:19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</row>
    <row r="36" spans="1:19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</row>
    <row r="37" spans="1:19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</row>
    <row r="38" spans="1:19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</row>
    <row r="39" spans="1:19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</row>
    <row r="40" spans="1:19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</row>
    <row r="41" spans="1:19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</row>
    <row r="42" spans="1:19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</row>
    <row r="43" spans="1:19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</row>
    <row r="44" spans="1:19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</row>
    <row r="45" spans="1:19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</row>
    <row r="46" spans="1:19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</row>
    <row r="47" spans="1:19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</row>
    <row r="48" spans="1:19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</row>
    <row r="49" spans="1:19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1:19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  <row r="51" spans="1:19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</row>
    <row r="52" spans="1:19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</row>
    <row r="53" spans="1:19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</row>
    <row r="54" spans="1:19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</row>
    <row r="55" spans="1:19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</row>
    <row r="56" spans="1:19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</row>
    <row r="57" spans="1:19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</row>
    <row r="58" spans="1:19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</row>
    <row r="59" spans="1:19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</row>
    <row r="60" spans="1:19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</row>
    <row r="61" spans="1:19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</row>
    <row r="62" spans="1:19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</row>
    <row r="63" spans="1:19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</row>
    <row r="64" spans="1:19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</row>
    <row r="65" spans="1:19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</row>
    <row r="66" spans="1:19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</row>
    <row r="67" spans="1:19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</row>
    <row r="68" spans="1:19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</row>
    <row r="69" spans="1:19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</row>
    <row r="70" spans="1:19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</row>
  </sheetData>
  <mergeCells count="19">
    <mergeCell ref="F14:R14"/>
    <mergeCell ref="B8:E14"/>
    <mergeCell ref="N12:O12"/>
    <mergeCell ref="B4:H6"/>
    <mergeCell ref="F8:I8"/>
    <mergeCell ref="P11:R12"/>
    <mergeCell ref="L8:R10"/>
    <mergeCell ref="J8:K12"/>
    <mergeCell ref="F9:H9"/>
    <mergeCell ref="F12:H12"/>
    <mergeCell ref="F13:H13"/>
    <mergeCell ref="L12:M12"/>
    <mergeCell ref="J13:R13"/>
    <mergeCell ref="B2:R2"/>
    <mergeCell ref="I4:R4"/>
    <mergeCell ref="N11:O11"/>
    <mergeCell ref="F10:H10"/>
    <mergeCell ref="F11:H11"/>
    <mergeCell ref="L11:M11"/>
  </mergeCells>
  <pageMargins left="0.7" right="0.7" top="0.75" bottom="0.75" header="0.3" footer="0.3"/>
  <pageSetup paperSize="9"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Drop Down 4">
              <controlPr defaultSize="0" autoLine="0" autoPict="0" macro="[0]!DropDown">
                <anchor moveWithCells="1">
                  <from>
                    <xdr:col>8</xdr:col>
                    <xdr:colOff>0</xdr:colOff>
                    <xdr:row>2</xdr:row>
                    <xdr:rowOff>190500</xdr:rowOff>
                  </from>
                  <to>
                    <xdr:col>16</xdr:col>
                    <xdr:colOff>581025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4692FBCA565049967D68F7718731FE" ma:contentTypeVersion="11" ma:contentTypeDescription="Crear nuevo documento." ma:contentTypeScope="" ma:versionID="b6760accf3df89a595628a10c02a0759">
  <xsd:schema xmlns:xsd="http://www.w3.org/2001/XMLSchema" xmlns:xs="http://www.w3.org/2001/XMLSchema" xmlns:p="http://schemas.microsoft.com/office/2006/metadata/properties" xmlns:ns3="dd9c50f4-94b5-4ad3-8dbd-b08535adcf34" xmlns:ns4="41c4e4b1-453a-4b35-a5c9-233dae147b16" targetNamespace="http://schemas.microsoft.com/office/2006/metadata/properties" ma:root="true" ma:fieldsID="1ed50a23f70daa602fb18763dbab2454" ns3:_="" ns4:_="">
    <xsd:import namespace="dd9c50f4-94b5-4ad3-8dbd-b08535adcf34"/>
    <xsd:import namespace="41c4e4b1-453a-4b35-a5c9-233dae147b1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9c50f4-94b5-4ad3-8dbd-b08535adcf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c4e4b1-453a-4b35-a5c9-233dae147b1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AE1634A-B356-449E-9769-7F7797F71F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9c50f4-94b5-4ad3-8dbd-b08535adcf34"/>
    <ds:schemaRef ds:uri="41c4e4b1-453a-4b35-a5c9-233dae147b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87D083-E559-4B19-B854-B444CD98ACF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590F9D-09B4-4B71-A77F-7E0E341ABDA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movie_metadata</vt:lpstr>
      <vt:lpstr>EDA - Pivot Tables</vt:lpstr>
      <vt:lpstr>DB - Pivot Tables</vt:lpstr>
      <vt:lpstr>Exploratory Data Analysis</vt:lpstr>
      <vt:lpstr>Solver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Aya;Alex</dc:creator>
  <cp:lastModifiedBy>Alejandro Bermejo Gordillo</cp:lastModifiedBy>
  <cp:lastPrinted>2020-05-05T11:49:05Z</cp:lastPrinted>
  <dcterms:created xsi:type="dcterms:W3CDTF">2018-03-12T07:43:34Z</dcterms:created>
  <dcterms:modified xsi:type="dcterms:W3CDTF">2020-05-05T15:27:42Z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0x010100B34692FBCA565049967D68F7718731FE</vt:lpwstr>
  </property>
</Properties>
</file>